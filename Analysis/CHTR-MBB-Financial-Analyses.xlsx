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Owner\Desktop\MAN6930 Case\Analysis\"/>
    </mc:Choice>
  </mc:AlternateContent>
  <xr:revisionPtr revIDLastSave="0" documentId="13_ncr:1_{77F68F77-E757-46C4-9D58-93E9C891E01E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00_ReadMe" sheetId="1" r:id="rId1"/>
    <sheet name="01_Assumptions" sheetId="2" r:id="rId2"/>
    <sheet name="02_IssueTree" sheetId="3" r:id="rId3"/>
    <sheet name="03_InternetBridge" sheetId="4" r:id="rId4"/>
    <sheet name="04_CompsEvent" sheetId="5" r:id="rId5"/>
    <sheet name="05_ReverseDCF" sheetId="6" r:id="rId6"/>
    <sheet name="06_ROIC_EP" sheetId="7" r:id="rId7"/>
    <sheet name="07_UnitEconomics" sheetId="8" r:id="rId8"/>
    <sheet name="08_FullPotential" sheetId="9" r:id="rId9"/>
    <sheet name="09_InitiativeNPV" sheetId="10" r:id="rId10"/>
    <sheet name="10_FundingBox" sheetId="11" r:id="rId11"/>
    <sheet name="11_Scorecard" sheetId="12" r:id="rId12"/>
  </sheets>
  <calcPr calcId="0"/>
</workbook>
</file>

<file path=xl/sharedStrings.xml><?xml version="1.0" encoding="utf-8"?>
<sst xmlns="http://schemas.openxmlformats.org/spreadsheetml/2006/main" count="1002" uniqueCount="693">
  <si>
    <t>Charter — nine MBB financial analyses</t>
  </si>
  <si>
    <t>Purpose</t>
  </si>
  <si>
    <t>Complete the McKinsey/Bain toolkit for the MAN6930 CEO engagement: diagnose, then convert a move into equity value, cost, and months-to-print. Analysis — not a filing. Do not copy conclusions into CORE-INFORMATION.md.</t>
  </si>
  <si>
    <t>Assignment anchor</t>
  </si>
  <si>
    <t>End of Q1 2026 (31 Mar 2026). Later public facts (Q2 2026, Jul 24 print) are purple-tinted and labeled.</t>
  </si>
  <si>
    <t>Color key</t>
  </si>
  <si>
    <t>Green = disclosed figure. Blue font / blue fill = labeled assumption. Yellow = calculated. Orange = caution. Purple = later public fact.</t>
  </si>
  <si>
    <t>Units</t>
  </si>
  <si>
    <t>Customers in thousands. Dollars in millions except per-share, ARPU, and per-sub NPV (those are labeled on the sheet).</t>
  </si>
  <si>
    <t>WACC convention</t>
  </si>
  <si>
    <t>Target-structure WACC (3.5x net debt / 6.5x mid-cycle EV), not spot market weights. Spot weights are circular after a crash and are shown only as a sensitivity.</t>
  </si>
  <si>
    <t>What this is not</t>
  </si>
  <si>
    <t>Not a team recommendation. Initiative NPV sizes three archetypal moves the diagnosis implies. Pick one, then replace the blue inputs.</t>
  </si>
  <si>
    <t>Sources</t>
  </si>
  <si>
    <t>CHTR 10-K FY2025, 10-Q/Ex99.1 Q1 2026, Ex99.1 Q2 2026; Yahoo close-to-close on earnings dates; CMCSA Ex99.1 Q1 2026 and 10-Q share count; TIKR/Devyara for published CMCSA multiples (labeled).</t>
  </si>
  <si>
    <t>#</t>
  </si>
  <si>
    <t>Analysis</t>
  </si>
  <si>
    <t>Sheet</t>
  </si>
  <si>
    <t>Status</t>
  </si>
  <si>
    <t>1</t>
  </si>
  <si>
    <t>Issue tree + hypothesis tests</t>
  </si>
  <si>
    <t>02_IssueTree</t>
  </si>
  <si>
    <t>Complete</t>
  </si>
  <si>
    <t>2</t>
  </si>
  <si>
    <t>Internet revenue bridge — volume vs price/mix</t>
  </si>
  <si>
    <t>03_InternetBridge</t>
  </si>
  <si>
    <t>3</t>
  </si>
  <si>
    <t>Trading comps + earnings-day event study</t>
  </si>
  <si>
    <t>04_CompsEvent</t>
  </si>
  <si>
    <t>Complete (was partial)</t>
  </si>
  <si>
    <t>4</t>
  </si>
  <si>
    <t>Reverse DCF / market-implied expectations</t>
  </si>
  <si>
    <t>05_ReverseDCF</t>
  </si>
  <si>
    <t>5</t>
  </si>
  <si>
    <t>ROIC vs WACC / economic profit + crude SOP</t>
  </si>
  <si>
    <t>06_ROIC_EP</t>
  </si>
  <si>
    <t>6</t>
  </si>
  <si>
    <t>Unit economics — NPV per Internet sub vs mobile line</t>
  </si>
  <si>
    <t>07_UnitEconomics</t>
  </si>
  <si>
    <t>7</t>
  </si>
  <si>
    <t>Full potential vs current trajectory</t>
  </si>
  <si>
    <t>08_FullPotential</t>
  </si>
  <si>
    <t>8</t>
  </si>
  <si>
    <t>Initiative NPV / size the prize</t>
  </si>
  <si>
    <t>09_InitiativeNPV</t>
  </si>
  <si>
    <t>Complete (illustrative moves)</t>
  </si>
  <si>
    <t>9</t>
  </si>
  <si>
    <t>Capital allocation / funding box</t>
  </si>
  <si>
    <t>10_FundingBox</t>
  </si>
  <si>
    <t>Scorecard</t>
  </si>
  <si>
    <t>See 11_Scorecard for pass/fail against a CEO recommendation.</t>
  </si>
  <si>
    <t>Legend (cells)</t>
  </si>
  <si>
    <t>Disclosed</t>
  </si>
  <si>
    <t>Assumption</t>
  </si>
  <si>
    <t>Calculated</t>
  </si>
  <si>
    <t>Inputs — disclosed vs labeled assumptions</t>
  </si>
  <si>
    <t>Item</t>
  </si>
  <si>
    <t>Value</t>
  </si>
  <si>
    <t>Unit</t>
  </si>
  <si>
    <t>Kind</t>
  </si>
  <si>
    <t>Source / note</t>
  </si>
  <si>
    <t>Assignment / prices</t>
  </si>
  <si>
    <t>Class A shares, 31 Mar 2026</t>
  </si>
  <si>
    <t>10-Q Q1 2026</t>
  </si>
  <si>
    <t>Class A shares, 31 Dec 2025</t>
  </si>
  <si>
    <t>10-K FY2025</t>
  </si>
  <si>
    <t>Class A shares, 30 Jun 2026</t>
  </si>
  <si>
    <t>Later fact</t>
  </si>
  <si>
    <t>10-Q Q2 2026 — later public fact</t>
  </si>
  <si>
    <t>CHTR close 23 Apr 2026 (pre-print)</t>
  </si>
  <si>
    <t>Yahoo Finance daily close</t>
  </si>
  <si>
    <t>CHTR close 24 Apr 2026 (print day)</t>
  </si>
  <si>
    <t>CMCSA close 23 Apr 2026</t>
  </si>
  <si>
    <t>Yahoo / contemporaneous (Deadline $31.64)</t>
  </si>
  <si>
    <t>CMCSA close 24 Apr 2026</t>
  </si>
  <si>
    <t>Yahoo / Deadline $27.51</t>
  </si>
  <si>
    <t>CMCSA shares (A+B), 15 Apr 2026, millions</t>
  </si>
  <si>
    <t>CMCSA 10-Q Q1 2026 cover</t>
  </si>
  <si>
    <t>FY2025 / Q1 2026 P&amp;L</t>
  </si>
  <si>
    <t>Revenue FY2025</t>
  </si>
  <si>
    <t>$M</t>
  </si>
  <si>
    <t>10-K</t>
  </si>
  <si>
    <t>Internet revenue FY2025</t>
  </si>
  <si>
    <t>10-K Item 7</t>
  </si>
  <si>
    <t>Mobile service revenue FY2025</t>
  </si>
  <si>
    <t>Video revenue FY2025</t>
  </si>
  <si>
    <t>Other revenue FY2025</t>
  </si>
  <si>
    <t>10-K; +$369 primarily mobile devices</t>
  </si>
  <si>
    <t>Income from operations FY2025</t>
  </si>
  <si>
    <t>D&amp;A FY2025</t>
  </si>
  <si>
    <t>Interest expense, net FY2025</t>
  </si>
  <si>
    <t>Income tax expense FY2025</t>
  </si>
  <si>
    <t>Effective tax rate FY2025</t>
  </si>
  <si>
    <t>10-K rate reconciliation 22.7%</t>
  </si>
  <si>
    <t>Adj. EBITDA FY2025</t>
  </si>
  <si>
    <t>Ex99.1 / 10-K non-GAAP</t>
  </si>
  <si>
    <t>Free cash flow FY2025</t>
  </si>
  <si>
    <t>Charter non-GAAP</t>
  </si>
  <si>
    <t>FCF LTM Q1 2026</t>
  </si>
  <si>
    <t>Ex99.1 Q1 2026 LTM column</t>
  </si>
  <si>
    <t>Adj. EBITDA Q1 2026</t>
  </si>
  <si>
    <t>Ex99.1 Q1 2026</t>
  </si>
  <si>
    <t>Adj. EBITDA Q1 2025</t>
  </si>
  <si>
    <t>Internet revenue Q1 2026</t>
  </si>
  <si>
    <t>Mobile service revenue Q1 2026</t>
  </si>
  <si>
    <t>Programming cost FY2025</t>
  </si>
  <si>
    <t>10-K note / Ex99.1</t>
  </si>
  <si>
    <t>Other costs of revenue FY2025</t>
  </si>
  <si>
    <t>10-K — includes mobile wholesale + devices</t>
  </si>
  <si>
    <t>Field &amp; technology FY2025</t>
  </si>
  <si>
    <t>10-K segment expense table</t>
  </si>
  <si>
    <t>Customer operations FY2025</t>
  </si>
  <si>
    <t>Marketing &amp; residential sales FY2025</t>
  </si>
  <si>
    <t>Other expense FY2025</t>
  </si>
  <si>
    <t>Capex FY2025</t>
  </si>
  <si>
    <t>10-K NCTA total</t>
  </si>
  <si>
    <t>CPE FY2025</t>
  </si>
  <si>
    <t>Mobile capex FY2025</t>
  </si>
  <si>
    <t>2026 capex guide (ex-Cox)</t>
  </si>
  <si>
    <t>Balance sheet / leverage</t>
  </si>
  <si>
    <t>Cash 31 Mar 2026</t>
  </si>
  <si>
    <t>Long-term debt 31 Mar 2026</t>
  </si>
  <si>
    <t>Ex99.1 Q1 2026 (current portion $0)</t>
  </si>
  <si>
    <t>EIP facility 31 Mar 2026</t>
  </si>
  <si>
    <t>Ex99.1 Q1 2026 — excluded from company leverage</t>
  </si>
  <si>
    <t>NCI book 31 Mar 2026</t>
  </si>
  <si>
    <t>Charter equity 31 Mar 2026</t>
  </si>
  <si>
    <t>Company net debt (LTD − cash) Q1</t>
  </si>
  <si>
    <t>Matches ~4.15× LTM EBITDA</t>
  </si>
  <si>
    <t>All interest-bearing net debt Q1</t>
  </si>
  <si>
    <t>Includes EIP</t>
  </si>
  <si>
    <t>Stated leverage Q1 2026</t>
  </si>
  <si>
    <t>Long-term leverage target (post-Cox)</t>
  </si>
  <si>
    <t>10-K / 10-Q — 3.5× (Q2 text)</t>
  </si>
  <si>
    <t>Leverage band high (pre-close)</t>
  </si>
  <si>
    <t>4.0–4.5× stated range</t>
  </si>
  <si>
    <t>Blended weighted-avg interest YE2025</t>
  </si>
  <si>
    <t>10-K: 5.1% blended</t>
  </si>
  <si>
    <t>Customers (000s, restated)</t>
  </si>
  <si>
    <t>Internet EOP 31 Dec 2025</t>
  </si>
  <si>
    <t>Ex99.1 / 10-K</t>
  </si>
  <si>
    <t>Internet EOP 31 Mar 2026</t>
  </si>
  <si>
    <t>Internet EOP 30 Jun 2026</t>
  </si>
  <si>
    <t>Ex99.1 Q2 2026</t>
  </si>
  <si>
    <t>Mobile EOP 31 Dec 2025</t>
  </si>
  <si>
    <t>Ex99.1</t>
  </si>
  <si>
    <t>Mobile EOP 31 Mar 2026</t>
  </si>
  <si>
    <t>Internet FY2025 10-K volume</t>
  </si>
  <si>
    <t>10-K: −$380M residential volume</t>
  </si>
  <si>
    <t>Internet FY2025 10-K rate/mix</t>
  </si>
  <si>
    <t>10-K: +$785M</t>
  </si>
  <si>
    <t>WACC (target structure)</t>
  </si>
  <si>
    <t>Risk-free rate</t>
  </si>
  <si>
    <t>Labeled: ~U.S. 10-year, Apr 2026 order of magnitude — not a print</t>
  </si>
  <si>
    <t>Equity risk premium</t>
  </si>
  <si>
    <t>McKinsey Valuation typical 4.5–5.5%; use 5.0%</t>
  </si>
  <si>
    <t>Levered equity beta</t>
  </si>
  <si>
    <t>Labeled. High financial leverage; not a Bloomberg print</t>
  </si>
  <si>
    <t>Cost of equity</t>
  </si>
  <si>
    <t>Rf + beta × ERP</t>
  </si>
  <si>
    <t>Cost of debt (pre-tax)</t>
  </si>
  <si>
    <t>YE2025 blended 5.1%</t>
  </si>
  <si>
    <t>Mid-cycle EV / EBITDA</t>
  </si>
  <si>
    <t>Pre-crash cable neighborhood; used only for target weights</t>
  </si>
  <si>
    <t>Target net debt / EBITDA</t>
  </si>
  <si>
    <t>Company long-term 3.5×</t>
  </si>
  <si>
    <t>WACC (target weights)</t>
  </si>
  <si>
    <t>Avoids crash-circular spot weights</t>
  </si>
  <si>
    <t>WACC at Apr 23 spot weights</t>
  </si>
  <si>
    <t>Sensitivity only — circular</t>
  </si>
  <si>
    <t>Terminal growth (Gordon / DCF)</t>
  </si>
  <si>
    <t>Mature last-mile; 0% real-ish. Do not use 2.5% GDP</t>
  </si>
  <si>
    <t>High ke (trajectory risk)</t>
  </si>
  <si>
    <t>If the market applies a 12% cost of equity to CHTR</t>
  </si>
  <si>
    <t>Unit economics (labeled)</t>
  </si>
  <si>
    <t>MVNO wholesale / mobile service rev</t>
  </si>
  <si>
    <t>Not disclosed. Cable-MVNO working range 50–70%</t>
  </si>
  <si>
    <t>Device revenue inside Other FY2025</t>
  </si>
  <si>
    <t>Other is $3,411; +$369 was primarily devices. $2.2B is a split, not a line item</t>
  </si>
  <si>
    <t>Device margin</t>
  </si>
  <si>
    <t>Working assumption: pass-through</t>
  </si>
  <si>
    <t>Internet monthly churn</t>
  </si>
  <si>
    <t>Not disclosed. 1.5%/mo ≈ 16.6% annual</t>
  </si>
  <si>
    <t>Mobile monthly churn</t>
  </si>
  <si>
    <t>Not disclosed. 2.0%/mo ≈ 21.5% annual</t>
  </si>
  <si>
    <t>Marketing allocated to Internet</t>
  </si>
  <si>
    <t>Of $3,782M marketing</t>
  </si>
  <si>
    <t>Marketing allocated to mobile</t>
  </si>
  <si>
    <t>CPE allocated to Internet</t>
  </si>
  <si>
    <t>Of $2,260M CPE</t>
  </si>
  <si>
    <t>Unit NPV discount rate</t>
  </si>
  <si>
    <t>Separate from WACC; customer-level</t>
  </si>
  <si>
    <t>Field ops to Internet / mobile</t>
  </si>
  <si>
    <t>70%/5%</t>
  </si>
  <si>
    <t>see note</t>
  </si>
  <si>
    <t>Labeled allocation — single segment reporter</t>
  </si>
  <si>
    <t>Full potential / initiatives</t>
  </si>
  <si>
    <t>Internet contribution $/sub-year</t>
  </si>
  <si>
    <t>Internet rev − allocated residual COR − 50% of allocated field, / avg subs</t>
  </si>
  <si>
    <t>Capex 2027 (post-guide)</t>
  </si>
  <si>
    <t>Network evolution still on; labeled</t>
  </si>
  <si>
    <t>Capex 2028+ (post evolution)</t>
  </si>
  <si>
    <t>Company: largely complete end-2027</t>
  </si>
  <si>
    <t>Initiative A opex (24 months)</t>
  </si>
  <si>
    <t>Retention / price-lock / FWA response — ILLUSTRATIVE</t>
  </si>
  <si>
    <t>Initiative A capture of prize</t>
  </si>
  <si>
    <t>If the run-rate actually goes to zero and stays</t>
  </si>
  <si>
    <t>Initiative B capex (5 years)</t>
  </si>
  <si>
    <t>Targeted competitive-footprint quality — ILLUSTRATIVE</t>
  </si>
  <si>
    <t>Initiative B capture of prize</t>
  </si>
  <si>
    <t>Half the full-potential gap, delayed 3 years</t>
  </si>
  <si>
    <t>Cox cash at close</t>
  </si>
  <si>
    <t>Q2 10-Q ~$4.2B; 10-K was $4.0B cash package</t>
  </si>
  <si>
    <t>Cox net debt assumed</t>
  </si>
  <si>
    <t>Q2 10-Q ~$12.4B; 10-K $12.6B</t>
  </si>
  <si>
    <t>FY2025 buybacks $</t>
  </si>
  <si>
    <t>Ex99.1 FY2025 17.1M shares/units / ~$5.4B</t>
  </si>
  <si>
    <t>Remaining repurchase authority 30 Jun</t>
  </si>
  <si>
    <t>Ex-Liberty; Q2 10-Q</t>
  </si>
  <si>
    <t>Key calculated identities used by every sheet</t>
  </si>
  <si>
    <t>Identity</t>
  </si>
  <si>
    <t>Formula</t>
  </si>
  <si>
    <t>Market cap 23 Apr 2026</t>
  </si>
  <si>
    <t>241.78 × 122,984,536</t>
  </si>
  <si>
    <t>Market cap 24 Apr 2026</t>
  </si>
  <si>
    <t>180.13 × 122,984,536</t>
  </si>
  <si>
    <t>EV 23 Apr (co. net debt + NCI)</t>
  </si>
  <si>
    <t>Mkt + 93,897 + 4,685</t>
  </si>
  <si>
    <t>EV 24 Apr (co. net debt + NCI)</t>
  </si>
  <si>
    <t>LTM EBITDA Q1 2026</t>
  </si>
  <si>
    <t>22,708 − 5,763 + 5,637</t>
  </si>
  <si>
    <t>Invested capital YE2025 (book)</t>
  </si>
  <si>
    <t>E + NCI + debt + EIP − cash</t>
  </si>
  <si>
    <t>NOPAT FY2025</t>
  </si>
  <si>
    <t>EBIT × (1 − 22.7%)</t>
  </si>
  <si>
    <t>ROIC FY2025</t>
  </si>
  <si>
    <t>ratio</t>
  </si>
  <si>
    <t>NOPAT / IC</t>
  </si>
  <si>
    <t>Internet monthly ARPU FY2025</t>
  </si>
  <si>
    <t>$/sub</t>
  </si>
  <si>
    <t>Internet rev / avg Internet / 12</t>
  </si>
  <si>
    <t>Mobile monthly ARPU FY2025</t>
  </si>
  <si>
    <t>$/line</t>
  </si>
  <si>
    <t>Mobile service / avg lines / 12</t>
  </si>
  <si>
    <t>UFCF FY2025 (const. debt identity)</t>
  </si>
  <si>
    <t>FCF + interest × (1 − t)</t>
  </si>
  <si>
    <t>WACC used in DCF / prize</t>
  </si>
  <si>
    <t>Target-weight WACC</t>
  </si>
  <si>
    <t>1. Issue tree + hypothesis tests — 10-quarter operating series</t>
  </si>
  <si>
    <t>Test: is the profit engine still shrinking, and did Q1 2026 break the slope? Any trajectory claim must show this series inflecting — not ARPU or mobile.</t>
  </si>
  <si>
    <t>Metric</t>
  </si>
  <si>
    <t>24Q1</t>
  </si>
  <si>
    <t>24Q2</t>
  </si>
  <si>
    <t>24Q3</t>
  </si>
  <si>
    <t>24Q4</t>
  </si>
  <si>
    <t>25Q1</t>
  </si>
  <si>
    <t>25Q2</t>
  </si>
  <si>
    <t>25Q3</t>
  </si>
  <si>
    <t>25Q4</t>
  </si>
  <si>
    <t>26Q1</t>
  </si>
  <si>
    <t>26Q2</t>
  </si>
  <si>
    <t>Source</t>
  </si>
  <si>
    <t>Internet net adds (000s)</t>
  </si>
  <si>
    <t>trending / Ex99.1, restated</t>
  </si>
  <si>
    <t>Internet EOP (000s)</t>
  </si>
  <si>
    <t>trending / Ex99.1</t>
  </si>
  <si>
    <t>Mobile EOP (000s)</t>
  </si>
  <si>
    <t>Adj. EBITDA ($M)</t>
  </si>
  <si>
    <t>FCF ($M)</t>
  </si>
  <si>
    <t>Upgrade/rebuild ($M)</t>
  </si>
  <si>
    <t>NCTA category</t>
  </si>
  <si>
    <t>Rural line extensions ($M)</t>
  </si>
  <si>
    <t>NCTA subsidized rural</t>
  </si>
  <si>
    <t>Total capex ($M)</t>
  </si>
  <si>
    <t>NCTA total</t>
  </si>
  <si>
    <t>Hypothesis tests (pass/fail for a recommendation)</t>
  </si>
  <si>
    <t>Hypothesis</t>
  </si>
  <si>
    <t>Test</t>
  </si>
  <si>
    <t>Result</t>
  </si>
  <si>
    <t>Implication</t>
  </si>
  <si>
    <t>The engine has inflected</t>
  </si>
  <si>
    <t>Internet net adds, 10q, zero line</t>
  </si>
  <si>
    <t>FAIL</t>
  </si>
  <si>
    <t>Still negative. Q1 26 (−120k) doubled Q1 25 (−59k). Q2 26 −172k (later) is worse. Do not claim inflection from ARPU or mobile.</t>
  </si>
  <si>
    <t>Market will net mobile vs broadband</t>
  </si>
  <si>
    <t>Internet EOP vs mobile EOP; Apr 25 25 vs Apr 24 26 tape</t>
  </si>
  <si>
    <t>Mobile +3.7M lines vs Internet −1.1M customers in-window. Apr 25 25 rallied on mobile; Apr 24 26 did not.</t>
  </si>
  <si>
    <t>FCF weakness is only front-loaded capex</t>
  </si>
  <si>
    <t>FCF vs upgrade/rebuild vs rural</t>
  </si>
  <si>
    <t>PARTIAL</t>
  </si>
  <si>
    <t>Upgrade/rebuild up; rural easing. FCF vs Internet adds r = 0.08. Waiting for 2027 is a wait, not the CEO charge.</t>
  </si>
  <si>
    <t>This is only a cable-multiple problem</t>
  </si>
  <si>
    <t>CHTR vs CMCSA Apr 24 2026</t>
  </si>
  <si>
    <t>Both sold. CHTR −25.5% vs CMCSA −12.9%. Industry + Charter-specific Internet/belief gap.</t>
  </si>
  <si>
    <t>Plot: Internet net adds</t>
  </si>
  <si>
    <t>Quarter</t>
  </si>
  <si>
    <t>2. Internet revenue waterfall — volume vs price/mix/allocation</t>
  </si>
  <si>
    <t>Identity: Δ Internet revenue = volume (Δ avg customers × prior-year revenue per customer) + price/mix/bundle allocation. Programmer-app costs are video ($218M Q1 26 vs $47M; $251M Q2 vs $67M) and are kept out. 23Q1–Q3 EOP used to form 2024 YoY averages are interpolated back from restated 23Q4 30,590 — labeled on 01_Assumptions notes / 23Q path. FY2025 10-K published split (−$380 / +$785 residential) is the audited analog.</t>
  </si>
  <si>
    <t>Internet rev</t>
  </si>
  <si>
    <t>YoY Δ rev</t>
  </si>
  <si>
    <t>Avg customers (000s)</t>
  </si>
  <si>
    <t>LY avg (000s)</t>
  </si>
  <si>
    <t>Volume $M</t>
  </si>
  <si>
    <t>Price/mix $M</t>
  </si>
  <si>
    <t>Volume share of Δ</t>
  </si>
  <si>
    <t>Dollars +/−</t>
  </si>
  <si>
    <t>Note</t>
  </si>
  <si>
    <t>positive</t>
  </si>
  <si>
    <t>NEGATIVE</t>
  </si>
  <si>
    <t>First quarter Internet *dollars* turn negative. Mix ~$0.</t>
  </si>
  <si>
    <t>Later fact: mix also negative.</t>
  </si>
  <si>
    <t>FY2025 10-K published (residential Internet)</t>
  </si>
  <si>
    <t>volume $M</t>
  </si>
  <si>
    <t>rate/mix $M</t>
  </si>
  <si>
    <t>net +$405 vs FY2024 Internet +$405 (23,765−23,360)</t>
  </si>
  <si>
    <t>Pass/fail</t>
  </si>
  <si>
    <t>Through 2025, price/mix more than offset volume. Q1 2026 is when Internet dollars turned negative (mix +~$8M, total −~$78M YoY). Q2 mix is also negative. The engine is shrinking in dollars, not just in subscribers.</t>
  </si>
  <si>
    <t>3. Trading comps + earnings-day event study</t>
  </si>
  <si>
    <t>Question: Charter-specific belief problem or cable-multiple problem? If peers de-rate too, industry structure. If Charter de-rates more, Internet trajectory + capital allocation. Event study is the correlation the brief asks for — operating r on 10 quarters will not substitute.</t>
  </si>
  <si>
    <t>A. Constructed snapshot — 23 Apr vs 24 Apr 2026 (assignment trigger)</t>
  </si>
  <si>
    <t>CHTR 23 Apr</t>
  </si>
  <si>
    <t>CHTR 24 Apr</t>
  </si>
  <si>
    <t>CMCSA 23 Apr</t>
  </si>
  <si>
    <t>CMCSA 24 Apr</t>
  </si>
  <si>
    <t>Gap (CHTR−CMCSA, 24 Apr)</t>
  </si>
  <si>
    <t>Share price ($)</t>
  </si>
  <si>
    <t>Yahoo close-to-close</t>
  </si>
  <si>
    <t>1-day %</t>
  </si>
  <si>
    <t>CHTR extra −12.6 pts vs CMCSA</t>
  </si>
  <si>
    <t>Shares (m)</t>
  </si>
  <si>
    <t>CHTR Class A 31 Mar; CMCSA A+B 15 Apr</t>
  </si>
  <si>
    <t>Market cap ($M)</t>
  </si>
  <si>
    <t>Price × shares</t>
  </si>
  <si>
    <t>Net debt + NCI ($M)</t>
  </si>
  <si>
    <t>CMCSA net debt not reconstructed here</t>
  </si>
  <si>
    <t>Enterprise value ($M)</t>
  </si>
  <si>
    <t>CHTR only — company net debt + book NCI</t>
  </si>
  <si>
    <t>LTM EBITDA ($M)</t>
  </si>
  <si>
    <t>CHTR constructed; CMCSA Q1 print $7,929 not LTM</t>
  </si>
  <si>
    <t>EV / LTM EBITDA</t>
  </si>
  <si>
    <t>Constructed. Published: Devyara CHTR 6.06x / CMCSA 5.65x ~Apr 26</t>
  </si>
  <si>
    <t>FCF used ($M)</t>
  </si>
  <si>
    <t>CHTR LTM Q1; CMCSA Q1 only</t>
  </si>
  <si>
    <t>FCF yield (equity)</t>
  </si>
  <si>
    <t>CMCSA yield uses Q1×4 annualized — labeled crude</t>
  </si>
  <si>
    <t>B. Published multiples (third-party — do not mix with constructed EV)</t>
  </si>
  <si>
    <t>Source / date</t>
  </si>
  <si>
    <t>CHTR</t>
  </si>
  <si>
    <t>CMCSA</t>
  </si>
  <si>
    <t>Read</t>
  </si>
  <si>
    <t>Devyara ~26 Apr 2026 EV/EBITDA</t>
  </si>
  <si>
    <t>6.06x</t>
  </si>
  <si>
    <t>5.65x</t>
  </si>
  <si>
    <t>Same neighborhood — not a 2-turn Charter-only EBITDA discount</t>
  </si>
  <si>
    <t>TIKR Apr 2026 forward EV/EBITDA</t>
  </si>
  <si>
    <t>—</t>
  </si>
  <si>
    <t>5.47x</t>
  </si>
  <si>
    <t>CMCSA after its Q1 print</t>
  </si>
  <si>
    <t>ValueSense CHTR LTM EV/EBITDA</t>
  </si>
  <si>
    <t>5.8x YE25 → 5.6x Q2 26</t>
  </si>
  <si>
    <t>Multiple compressed as the Internet print worsened</t>
  </si>
  <si>
    <t>FY2025 FCF (disclosed / compiled)</t>
  </si>
  <si>
    <t>$5.0B Charter non-GAAP</t>
  </si>
  <si>
    <t>CMCSA FY not taken as a filing line here</t>
  </si>
  <si>
    <t>Both cash-generative; yield is the sector, not a gift</t>
  </si>
  <si>
    <t>C. Earnings-day close-to-close vs Internet print (the brief's correlation)</t>
  </si>
  <si>
    <t>Print</t>
  </si>
  <si>
    <t>Internet adds (000s)</t>
  </si>
  <si>
    <t>vs year-ago (k)</t>
  </si>
  <si>
    <t>Prior close</t>
  </si>
  <si>
    <t>Close</t>
  </si>
  <si>
    <t>What the tape did</t>
  </si>
  <si>
    <t>Jan 31 2025 / Q4 24</t>
  </si>
  <si>
    <t>Losses large, not a new slope</t>
  </si>
  <si>
    <t>Apr 25 2025 / Q1 25</t>
  </si>
  <si>
    <t>Mobile/video beat; Internet miss ignored</t>
  </si>
  <si>
    <t>Jul 25 2025 / Q2 25</t>
  </si>
  <si>
    <t>Miss vs ~73k expected (Visible Alpha/Reuters)</t>
  </si>
  <si>
    <t>Oct 31 2025 / Q3 25</t>
  </si>
  <si>
    <t>EPS miss; open −5.6%</t>
  </si>
  <si>
    <t>Jan 30 2026 / Q4 25</t>
  </si>
  <si>
    <t>Almost same adds as Q1 26, opposite tape</t>
  </si>
  <si>
    <t>Apr 24 2026 / Q1 26</t>
  </si>
  <si>
    <t>Assignment trigger. CMCSA −12.9% same day</t>
  </si>
  <si>
    <t>Jul 24 2026 / Q2 26</t>
  </si>
  <si>
    <t>Later public fact; already de-rated</t>
  </si>
  <si>
    <t>Print short</t>
  </si>
  <si>
    <t>Q4'24</t>
  </si>
  <si>
    <t>Q1'25</t>
  </si>
  <si>
    <t>Q2'25</t>
  </si>
  <si>
    <t>Q3'25</t>
  </si>
  <si>
    <t>Q4'25</t>
  </si>
  <si>
    <t>Q1'26</t>
  </si>
  <si>
    <t>Q2'26</t>
  </si>
  <si>
    <t>Not a straight line through absolute −120k. Q4 2025 (−119k, better vs −177k) +7.6%; Q1 2026 (−120k, double −59k) −25.5%. CMCSA −12.9% the same day = industry; the extra ~13 pts is Charter-specific. High FCF yield is skepticism, not a buy signal. Buybacks (sheet 10) did not support the price.</t>
  </si>
  <si>
    <t>4. Reverse DCF — what Internet / FCF path is the stock pricing?</t>
  </si>
  <si>
    <t>McKinsey move for an 'undervalued / trajectory' case (Koller et al.; McKinsey on Finance). Hold ke and terminal g; solve for the FCF growth that equates to the Apr 23 vs Apr 24 equity value. This is not a full 10-year operating DCF of Charter — it is the implied-expectations test O'Donnell's undervalued comment needs.</t>
  </si>
  <si>
    <t>A. Setup (equity-side; levered FCF)</t>
  </si>
  <si>
    <t>FCF LTM Q1 2026 ($M)</t>
  </si>
  <si>
    <t>Ex99.1 LTM column — the cash the owners actually received</t>
  </si>
  <si>
    <t>Cost of equity (base)</t>
  </si>
  <si>
    <t>Rf 4.3% + 1.05 × 5.0% = 9.55% — labeled</t>
  </si>
  <si>
    <t>Cost of equity (high / trajectory risk)</t>
  </si>
  <si>
    <t>12% — if the crash added an uncertainty premium</t>
  </si>
  <si>
    <t>Terminal g after year 5</t>
  </si>
  <si>
    <t>0% — mature last-mile. GDP growth would overstate cable</t>
  </si>
  <si>
    <t>Stage length (years)</t>
  </si>
  <si>
    <t>5-year explicit then Gordon</t>
  </si>
  <si>
    <t>Equity value 23 Apr 2026 ($M)</t>
  </si>
  <si>
    <t>Last close the market was willing to pay before the print</t>
  </si>
  <si>
    <t>Equity value 24 Apr 2026 ($M)</t>
  </si>
  <si>
    <t>After −120k Internet, double the year-ago loss</t>
  </si>
  <si>
    <t>FCF yield 23 Apr</t>
  </si>
  <si>
    <t>16.2% — already a distressed cash yield before the print</t>
  </si>
  <si>
    <t>FCF yield 24 Apr</t>
  </si>
  <si>
    <t>21.7%</t>
  </si>
  <si>
    <t>B. Gordon implied perpetual FCF growth  g = (P·ke − FCF) / (P + FCF)</t>
  </si>
  <si>
    <t>ke used</t>
  </si>
  <si>
    <t>Implied g at 23 Apr ($242)</t>
  </si>
  <si>
    <t>Implied g at 24 Apr ($180)</t>
  </si>
  <si>
    <t>Change in implied g</t>
  </si>
  <si>
    <t>9.55% (CAPM)</t>
  </si>
  <si>
    <t>Even before the print the stock priced perpetual FCF decline. After the print it priced a steeper one.</t>
  </si>
  <si>
    <t>12% (trajectory ke)</t>
  </si>
  <si>
    <t>A higher hurdle rate still implies negative g after Apr 24. Cheap is not the same as inflecting.</t>
  </si>
  <si>
    <t>C. Two-stage: 5-year FCF CAGR, then g_term = 0%</t>
  </si>
  <si>
    <t>5-yr CAGR priced at $242</t>
  </si>
  <si>
    <t>5-yr CAGR priced at $180</t>
  </si>
  <si>
    <t>Delta</t>
  </si>
  <si>
    <t>If terminal is flat, the 5-year path has to do all the work. $180 prices a deep contraction.</t>
  </si>
  <si>
    <t>D. Sensitivity — equity value ($M) vs 5-year FCF CAGR at ke = 9.55%, g_term = 0%</t>
  </si>
  <si>
    <t>5-yr FCF CAGR</t>
  </si>
  <si>
    <t>-20%</t>
  </si>
  <si>
    <t>-12%</t>
  </si>
  <si>
    <t>-8%</t>
  </si>
  <si>
    <t>-4%</t>
  </si>
  <si>
    <t>0%</t>
  </si>
  <si>
    <t>4%</t>
  </si>
  <si>
    <t>8%</t>
  </si>
  <si>
    <t>Model equity value ($M)</t>
  </si>
  <si>
    <t>vs 23 Apr mkt cap</t>
  </si>
  <si>
    <t>vs 24 Apr mkt cap</t>
  </si>
  <si>
    <t>$242 priced a shallow-to-negative cash path (already skeptical). $180 priced a structural decline. That is the difference between 'cable is unloved' and 'the Internet engine is dying.' A recommendation has to change the Internet run-rate that produces this FCF path — or explain why the multiple should look through it, which it has not. O'Donnell: Winfrey can be right that $180 is cheap on cash and still need a strategic fix.</t>
  </si>
  <si>
    <t>5. ROIC vs WACC / economic profit — and a crude product SOP</t>
  </si>
  <si>
    <t>McKinsey: growth creates value only if ROIC &gt; WACC. Charter reports one segment, so product ROIC is allocated — every split below is labeled. The point is direction: Internet carries the capital (franchise + plant); mobile is asset-light and low-dollar economic profit even when ROIC looks fine.</t>
  </si>
  <si>
    <t>A. Firm-level ROIC (book invested capital)</t>
  </si>
  <si>
    <t>FY2025 / YE</t>
  </si>
  <si>
    <t>Q1 2026</t>
  </si>
  <si>
    <t>Income from operations (EBIT)</t>
  </si>
  <si>
    <t>10-K / Ex99.1</t>
  </si>
  <si>
    <t>NOPAT = EBIT × (1 − 22.7%)</t>
  </si>
  <si>
    <t>Cash tax $893M FY25 is lower (OBBBA); we use ETR for economic profit</t>
  </si>
  <si>
    <t>Book invested capital</t>
  </si>
  <si>
    <t>E + NCI + all interest-bearing debt − cash</t>
  </si>
  <si>
    <t>ROIC</t>
  </si>
  <si>
    <t>Q1 annualized is crude — do not over-read</t>
  </si>
  <si>
    <t>WACC (target)</t>
  </si>
  <si>
    <t>Sheet 01</t>
  </si>
  <si>
    <t>ROIC − WACC spread</t>
  </si>
  <si>
    <t>Positive on book IC — the firm still earns its cost of capital on yesterday's assets</t>
  </si>
  <si>
    <t>Economic profit (ROIC−WACC)×IC</t>
  </si>
  <si>
    <t>$M. Value is being created on the installed base; the multiple is about the future base</t>
  </si>
  <si>
    <t>Limitation: book IC is dominated by $67.5B franchises + $29.7B goodwill. Franchise fair value exceeded book by &gt;10% at 31 Oct 2025 (10-K). Using book IC understates capital and overstates ROIC vs a market IC. Using EV as IC (Apr 24 EV $128B) gives ROIC ≈ NOPAT/EV = 8.3% vs WACC 6.5% — spread near zero / negative. That is the market's view: the installed base is fully priced; growth is not.</t>
  </si>
  <si>
    <t>B. Crude product EBITDA (single-segment reporter — allocations are assumptions)</t>
  </si>
  <si>
    <t>Product</t>
  </si>
  <si>
    <t>Revenue $M</t>
  </si>
  <si>
    <t>Allocated EBITDA $M</t>
  </si>
  <si>
    <t>EBITDA margin</t>
  </si>
  <si>
    <t>Allocation rule</t>
  </si>
  <si>
    <t>Internet</t>
  </si>
  <si>
    <t>Residual COR 50% + field 70% + care 55% + mkt 40% + other 40%</t>
  </si>
  <si>
    <t>Mobile service + devices @ 0% margin</t>
  </si>
  <si>
    <t>Wholesale 60% of service; field 5% / care 15% / mkt 20% / other 8%</t>
  </si>
  <si>
    <t>Video (stub)</t>
  </si>
  <si>
    <t>100% programming; residual COR 40%; 15% of shared opex</t>
  </si>
  <si>
    <t>Firm Adj. EBITDA (disclosed check)</t>
  </si>
  <si>
    <t>Do not expect A+B+C to equal this — leftover voice/SMB/ads/other</t>
  </si>
  <si>
    <t>Internet allocated EBITDA / firm EBITDA</t>
  </si>
  <si>
    <t>Directionally: Internet is most of economic profit. Mobile is real but small in dollars.</t>
  </si>
  <si>
    <t>Mobile allocated EBITDA / firm EBITDA</t>
  </si>
  <si>
    <t>368k mobile lines cannot replace 120k Internet customers in enterprise value.</t>
  </si>
  <si>
    <t>Firm book ROIC still clears a 3.5×-structure WACC — Charter is not earning-destroying on the installed base. The market is using something closer to EV as capital and a fading Internet volume, which zeroes the spread. Mobile can show a passable ROIC on thin capital and still fail as the valuation fix because economic profit $ is small. Do not sell a connectivity-customer story.</t>
  </si>
  <si>
    <t>6. Unit economics — NPV of an Internet customer vs a mobile line</t>
  </si>
  <si>
    <t>Bain customer economics / McKinsey unit NPV. Churn, wholesale, and marketing splits are labeled assumptions (01_Assumptions). Identity: NPV = annual contribution / (r + annual churn) − SAC. This is why the tape will not net 368k mobile against 120k Internet.</t>
  </si>
  <si>
    <t>Mobile</t>
  </si>
  <si>
    <t>Average units FY2025 (000s)</t>
  </si>
  <si>
    <t>Avg of YE24 and YE25 EOP</t>
  </si>
  <si>
    <t>Reported revenue FY2025 ($M)</t>
  </si>
  <si>
    <t>Mobile = service only; devices in Other</t>
  </si>
  <si>
    <t>Monthly ARPU ($)</t>
  </si>
  <si>
    <t>Rev / avg units / 12</t>
  </si>
  <si>
    <t>Q1 2026 monthly ARPU ($)</t>
  </si>
  <si>
    <t>Cross-check; Internet slightly down</t>
  </si>
  <si>
    <t>Direct / wholesale take</t>
  </si>
  <si>
    <t>Internet = residual COR share; mobile = 60% assumption</t>
  </si>
  <si>
    <t>Annual contribution ($ / unit)</t>
  </si>
  <si>
    <t>After direct/wholesale and (Internet) half field</t>
  </si>
  <si>
    <t>Monthly churn (assumption)</t>
  </si>
  <si>
    <t>Not disclosed</t>
  </si>
  <si>
    <t>Annual churn</t>
  </si>
  <si>
    <t>1 − (1 − m)^12</t>
  </si>
  <si>
    <t>Implied expected life (years)</t>
  </si>
  <si>
    <t>1 / annual churn</t>
  </si>
  <si>
    <t>Gross adds FY2025 (000s)</t>
  </si>
  <si>
    <t>Net change + churn × avg</t>
  </si>
  <si>
    <t>Marketing SAC ($ / gross add)</t>
  </si>
  <si>
    <t>Allocated marketing / gross adds</t>
  </si>
  <si>
    <t>CPE / install ($ / gross add)</t>
  </si>
  <si>
    <t>70% of CPE to Internet; mobile SIM-ish</t>
  </si>
  <si>
    <t>Total SAC ($)</t>
  </si>
  <si>
    <t>Discount rate r</t>
  </si>
  <si>
    <t>Labeled 8%</t>
  </si>
  <si>
    <t>NPV per unit ($)</t>
  </si>
  <si>
    <t>contrib/(r+churn) − SAC</t>
  </si>
  <si>
    <t>Ratio: Internet NPV / mobile NPV</t>
  </si>
  <si>
    <t>One Internet customer is worth several mobile lines even before shared network capital.</t>
  </si>
  <si>
    <t>Q1 2026 print in NPV $</t>
  </si>
  <si>
    <t>Flow</t>
  </si>
  <si>
    <t>Units (000s)</t>
  </si>
  <si>
    <t>× NPV $</t>
  </si>
  <si>
    <t>Value created / destroyed ($M)</t>
  </si>
  <si>
    <t>Internet net adds Q1 2026</t>
  </si>
  <si>
    <t>Mobile net adds Q1 2026</t>
  </si>
  <si>
    <t>Net value of the quarter's adds</t>
  </si>
  <si>
    <t>Internet loss exceeds mobile gain in NPV $</t>
  </si>
  <si>
    <t>Sensitivity — mobile NPV $ if wholesale % or CAC changes (Internet NPV held)</t>
  </si>
  <si>
    <t>Mobile wholesale \ CAC $</t>
  </si>
  <si>
    <t>100</t>
  </si>
  <si>
    <t>250</t>
  </si>
  <si>
    <t>400</t>
  </si>
  <si>
    <t>550</t>
  </si>
  <si>
    <t>Do not sell total connectivity customers as the fix. Under these labeled assumptions, Q1's −120k Internet destroys more value than +368k mobile creates. If wholesale is 70% and mobile CAC is $400+, mobile NPV is near zero or negative. Recalibrate the blue inputs; the direction survives a wide range.</t>
  </si>
  <si>
    <t>7. Full potential vs current trajectory (Bain) — 8-year UFCF</t>
  </si>
  <si>
    <t>Bain Full Potential / McKinsey granularity of growth. Three Internet paths, same WACC and capex roll-off. UFCF_t = (EBITDA_t − D&amp;A) × (1−t) + D&amp;A − capex_t, with D&amp;A held at FY2025. EBITDA_t = FY2025 + volume (Δ avg Internet × contribution $/sub) + scenario mix/other. This is a size-the-prize model, not a fairness opinion.</t>
  </si>
  <si>
    <t>Year</t>
  </si>
  <si>
    <t>2026</t>
  </si>
  <si>
    <t>2027</t>
  </si>
  <si>
    <t>2028</t>
  </si>
  <si>
    <t>2029</t>
  </si>
  <si>
    <t>2030</t>
  </si>
  <si>
    <t>2031</t>
  </si>
  <si>
    <t>2032</t>
  </si>
  <si>
    <t>2033</t>
  </si>
  <si>
    <t>Internet EOP (000s) — Base</t>
  </si>
  <si>
    <t>−480k/yr through 2028, then −320k</t>
  </si>
  <si>
    <t>Internet EOP (000s) — Full potential</t>
  </si>
  <si>
    <t>−360 / −180 / 0 then flat — Internet to zero by YE2028</t>
  </si>
  <si>
    <t>Internet EOP (000s) — Bear</t>
  </si>
  <si>
    <t>−600k/yr through 2028 (near Q2 run-rate annualized)</t>
  </si>
  <si>
    <t>Capex ($M)</t>
  </si>
  <si>
    <t>2026 guide $11.4B; 2027–28 labeled roll-off</t>
  </si>
  <si>
    <t>EBITDA Base ($M)</t>
  </si>
  <si>
    <t>EBITDA Full ($M)</t>
  </si>
  <si>
    <t>EBITDA Bear ($M)</t>
  </si>
  <si>
    <t>UFCF Base ($M)</t>
  </si>
  <si>
    <t>UFCF Full ($M)</t>
  </si>
  <si>
    <t>UFCF Bear ($M)</t>
  </si>
  <si>
    <t>Valuation of each path (WACC target-structure, g_term = 0%)</t>
  </si>
  <si>
    <t>Base (current)</t>
  </si>
  <si>
    <t>Full potential</t>
  </si>
  <si>
    <t>Bear</t>
  </si>
  <si>
    <t>Full − Base (prize)</t>
  </si>
  <si>
    <t>PV of 2026–33 UFCF + terminal ($M)</t>
  </si>
  <si>
    <t>− Company net debt Q1</t>
  </si>
  <si>
    <t>− Book NCI Q1</t>
  </si>
  <si>
    <t>Equity value ($M)</t>
  </si>
  <si>
    <t>vs 24 Apr market cap ($M)</t>
  </si>
  <si>
    <t>Implied equity / Apr 24 price</t>
  </si>
  <si>
    <t>The prize for getting Internet to zero by 2028 vs staying on a −120k/q run-rate is about $42,007M of equity value in this model (~$42.0B). If FCF only inflects after 2027 because capex rolls off, that is already in the Base path — it is a wait, not an out-of-the-box move. The CEO charge is the Full column, not the Base column. Replace blue capex and contribution if the team has a tighter view; the gap is the slide.</t>
  </si>
  <si>
    <t>8. Initiative NPV / size the prize — illustrative, not the team's pick</t>
  </si>
  <si>
    <t>CEO charge: do X, targeting Y, funded by Z, over N months — and when does it show up in the Internet print (sheet 04: that is what Wall Street looks at). Three archetypes the diagnosis implies. Swap the blue cost/capture cells once the team chooses.</t>
  </si>
  <si>
    <t>A. Internet to zero in 24 months</t>
  </si>
  <si>
    <t>B. Targeted competitive quality (5y)</t>
  </si>
  <si>
    <t>C. Wait for 2027 / pause buybacks</t>
  </si>
  <si>
    <t>What it is</t>
  </si>
  <si>
    <t>Retention, price-lock, FWA response, save-desk — change the run-rate</t>
  </si>
  <si>
    <t>Capex in the 27% AT&amp;T / 16% Verizon fiber overlap plus worst FWA zips</t>
  </si>
  <si>
    <t>Stop buybacks, de-lever, let upgrade/rebuild finish</t>
  </si>
  <si>
    <t>Out-of-the-box test</t>
  </si>
  <si>
    <t>Only if the offer/operating model is new, not 'message harder'</t>
  </si>
  <si>
    <t>Strategic if it is a different network end-state, not the current evolution</t>
  </si>
  <si>
    <t>FAILS the CEO charge — this is the wait the issue tree rejected</t>
  </si>
  <si>
    <t>Cash cost (undiscounted, $M)</t>
  </si>
  <si>
    <t>A is opex; B is capex; C saves buybacks rather than spending</t>
  </si>
  <si>
    <t>When Internet print changes</t>
  </si>
  <si>
    <t>Month 24</t>
  </si>
  <si>
    <t>Year 3–4</t>
  </si>
  <si>
    <t>Does not</t>
  </si>
  <si>
    <t>Print = quarterly Internet net adds</t>
  </si>
  <si>
    <t>PV of cost @ WACC ($M)</t>
  </si>
  <si>
    <t>A after-tax; B capex not tax-shielded here (conservative)</t>
  </si>
  <si>
    <t>Share of Full−Base prize</t>
  </si>
  <si>
    <t>A assumes the run-rate actually sticks</t>
  </si>
  <si>
    <t>PV of benefit ($M)</t>
  </si>
  <si>
    <t>B delayed 3 years</t>
  </si>
  <si>
    <t>NPV ($M)</t>
  </si>
  <si>
    <t>C's 'NPV' below is Base equity − $180 mkt cap (already-in-the-price cheapness), not a move</t>
  </si>
  <si>
    <t>NPV vs doing the prize move ($M)</t>
  </si>
  <si>
    <t>C forgoes the prize</t>
  </si>
  <si>
    <t>How to use this in Week 7</t>
  </si>
  <si>
    <t>Replace column A or B with the team's move. Keep three numbers on the slide: cost, month the Internet print changes, NPV vs wait. If the honest print date is after 24 months, say so — sheet 04 says the multiple will not look through it. Funding for A or B is sheet 10 (cut buybacks + leverage room vs Cox cash).</t>
  </si>
  <si>
    <t>Waiting (C) can still leave the stock 'cheap' vs Base DCF and still fail the engagement. A beats B on time-to-print if — and only if — the team believes a commercial/operating move can actually zero the losses. That is a judgement call, not a formula. Do not present A as the recommendation until the team owns the $2B and the 80% capture.</t>
  </si>
  <si>
    <t>9. Capital allocation / funding box</t>
  </si>
  <si>
    <t>McKinsey capital productivity: what can you fund without a credit event? Company is not in distress (leverage 4.15× inside 4.0–4.5×). The constraint is Cox cash + the stated 3.5× long-term target + a buyback machine that has not supported the price.</t>
  </si>
  <si>
    <t>A. Capacity</t>
  </si>
  <si>
    <t>Constructed</t>
  </si>
  <si>
    <t>Company net debt Q1</t>
  </si>
  <si>
    <t>LTD − cash</t>
  </si>
  <si>
    <t>Stated leverage</t>
  </si>
  <si>
    <t>x</t>
  </si>
  <si>
    <t>4.15×</t>
  </si>
  <si>
    <t>Room to 4.5× (pre-close band)</t>
  </si>
  <si>
    <t>Additional net debt capacity</t>
  </si>
  <si>
    <t>Debt to retire to 3.5×</t>
  </si>
  <si>
    <t>Long-term target — a use, not a source</t>
  </si>
  <si>
    <t>FY2025 FCF</t>
  </si>
  <si>
    <t>Working 2026 FCF (ex-Cox)</t>
  </si>
  <si>
    <t>Labeled ≈ LTM; not a guide</t>
  </si>
  <si>
    <t>FY2025 buybacks</t>
  </si>
  <si>
    <t>17.1M shares/units — more than FY FCF</t>
  </si>
  <si>
    <t>Q1 2026 buybacks</t>
  </si>
  <si>
    <t>4.3M shares</t>
  </si>
  <si>
    <t>Q2 2026 buybacks (later)</t>
  </si>
  <si>
    <t>4.0M shares</t>
  </si>
  <si>
    <t>Remaining authority 30 Jun (later)</t>
  </si>
  <si>
    <t>Ex-Liberty — the program is effectively done</t>
  </si>
  <si>
    <t>Cox cash at close (later Q2 figure)</t>
  </si>
  <si>
    <t>Must fund ~$4.2B</t>
  </si>
  <si>
    <t>Cox net debt assumed (later)</t>
  </si>
  <si>
    <t>Pro forma leverage reset</t>
  </si>
  <si>
    <t>Cash + undrawn Q1</t>
  </si>
  <si>
    <t>Cash $517 + ~$4.6B facilities (10-Q Q1)</t>
  </si>
  <si>
    <t>B. 2026 uses of cash — three deployments of the same FCF</t>
  </si>
  <si>
    <t>Use ($M)</t>
  </si>
  <si>
    <t>Keep buybacks (status quo)</t>
  </si>
  <si>
    <t>Fund Initiative A + Cox</t>
  </si>
  <si>
    <t>De-lever toward 3.5×</t>
  </si>
  <si>
    <t>FCF 2026 (working)</t>
  </si>
  <si>
    <t>Cox cash</t>
  </si>
  <si>
    <t>Buybacks</t>
  </si>
  <si>
    <t>Initiative A opex</t>
  </si>
  <si>
    <t>Residual to debt / surplus</t>
  </si>
  <si>
    <t>Status-quo buybacks + Cox cash over-spends working FCF (negative residual). That is how FY2025 already worked ($5.4B buybacks vs $5.0B FCF) — incremental debt. Initiative A is payable if buybacks stop; it is not payable on top of $5B buybacks and Cox. Remaining authority after Q2 is $365M — the repurchase story is ending whether or not the team recommends it.</t>
  </si>
  <si>
    <t>C. Buyback vs price (why allocation is in the multiple)</t>
  </si>
  <si>
    <t>Earnings date</t>
  </si>
  <si>
    <t>CHTR close $</t>
  </si>
  <si>
    <t>Buybacks in the quarter just reported ($M)</t>
  </si>
  <si>
    <t>Jan 31 2025</t>
  </si>
  <si>
    <t>FY2024 buybacks were small vs later</t>
  </si>
  <si>
    <t>Apr 25 2025</t>
  </si>
  <si>
    <t>Local high — buybacks still 'working' as a story</t>
  </si>
  <si>
    <t>Jul 25 2025</t>
  </si>
  <si>
    <t>Q2 25 Internet miss</t>
  </si>
  <si>
    <t>Oct 31 2025</t>
  </si>
  <si>
    <t>Jan 30 2026</t>
  </si>
  <si>
    <t>FY2025 $5.4B — price did not follow</t>
  </si>
  <si>
    <t>Apr 24 2026</t>
  </si>
  <si>
    <t>Q1 $963M into the crash</t>
  </si>
  <si>
    <t>Jul 24 2026</t>
  </si>
  <si>
    <t>Later fact; program nearly exhausted</t>
  </si>
  <si>
    <t>Buybacks converted flat earnings into EPS and did not support the price once Internet YoY doubled. They also consume the cash a trajectory move needs (Cox $4.2B + Initiative A). A recommendation that keeps the $5B repurchase machine and adds a growth spend is not funded. De-lever-and-wait is funded and still fails the CEO charge.</t>
  </si>
  <si>
    <t>Scorecard — nine analyses vs a CEO recommendation</t>
  </si>
  <si>
    <t>Result vs a pitch</t>
  </si>
  <si>
    <t>1. Issue tree / Internet net adds</t>
  </si>
  <si>
    <t>FAIL — no inflection</t>
  </si>
  <si>
    <t>Cannot claim operating turn from ARPU or mobile</t>
  </si>
  <si>
    <t>2. Internet $ waterfall</t>
  </si>
  <si>
    <t>FAIL — dollars turned Q1 2026</t>
  </si>
  <si>
    <t>Engine shrinking in dollars; keep video app costs out</t>
  </si>
  <si>
    <t>3. Comps + event study</t>
  </si>
  <si>
    <t>Industry + Charter-specific</t>
  </si>
  <si>
    <t>Tape prices YoY acceleration and consensus miss, not FCF</t>
  </si>
  <si>
    <t>4. Reverse DCF</t>
  </si>
  <si>
    <t>$180 prices structural FCF decline</t>
  </si>
  <si>
    <t>Cheap on cash; still need a strategic fix</t>
  </si>
  <si>
    <t>5. ROIC / economic profit</t>
  </si>
  <si>
    <t>Book ROIC &gt; WACC; market IC does not</t>
  </si>
  <si>
    <t>Installed base is fine; future Internet base is the issue</t>
  </si>
  <si>
    <t>6. Unit economics</t>
  </si>
  <si>
    <t>Internet NPV &gt;&gt; mobile NPV</t>
  </si>
  <si>
    <t>Do not sell connectivity-customer math</t>
  </si>
  <si>
    <t>7. Full potential</t>
  </si>
  <si>
    <t>Prize is the Full−Base equity gap</t>
  </si>
  <si>
    <t>2027 capex roll-off is already in Base = wait</t>
  </si>
  <si>
    <t>8. Initiative NPV</t>
  </si>
  <si>
    <t>Complete (illustrative)</t>
  </si>
  <si>
    <t>Wait fails; A only if run-rate actually changes</t>
  </si>
  <si>
    <t>Replace blue cells with the team's move</t>
  </si>
  <si>
    <t>9. Funding box</t>
  </si>
  <si>
    <t>Buybacks + Cox + a move do not fit</t>
  </si>
  <si>
    <t>Cut buybacks to fund a print-changing move, or do not claim the move</t>
  </si>
  <si>
    <t>One sentence for the Week 5 pack</t>
  </si>
  <si>
    <t>The market is not confused about FCF or mobile; it has repriced a deteriorating Internet volume path. The firm still earns its cost of capital on the installed base. A recommendation that does not change Internet net adds inside ~24 months, and that is not funded after Cox and without relying on exhausted buybacks, will not change the trajectory the CEO asked for.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</si>
</sst>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.000"/>
    <numFmt numFmtId="165" formatCode="0.0%"/>
    <numFmt numFmtId="166" formatCode="0.0"/>
    <numFmt numFmtId="167" formatCode="#,##0.0"/>
    <numFmt numFmtId="168" formatCode="0.00\x"/>
    <numFmt numFmtId="169" formatCode="0.0\x"/>
  </numFmts>
  <fonts count="9" x14ac:knownFonts="1">
    <font>
      <sz val="10"/>
      <color theme="1"/>
      <name val="Calibri"/>
      <family val="2"/>
      <scheme val="minor"/>
    </font>
    <font>
      <b/>
      <sz val="11"/>
      <color rgb="FFFFFFFF"/>
      <name val="Georgia"/>
      <family val="1"/>
    </font>
    <font>
      <b/>
      <sz val="16"/>
      <name val="Georgia"/>
      <family val="1"/>
    </font>
    <font>
      <i/>
      <sz val="9"/>
      <color rgb="FF595959"/>
      <name val="Georgia"/>
      <family val="1"/>
    </font>
    <font>
      <b/>
      <sz val="10"/>
      <name val="Georgia"/>
      <family val="1"/>
    </font>
    <font>
      <b/>
      <sz val="12"/>
      <color rgb="FFFFFFFF"/>
      <name val="Georgia"/>
      <family val="1"/>
    </font>
    <font>
      <sz val="10"/>
      <name val="Georgia"/>
      <family val="1"/>
    </font>
    <font>
      <sz val="10"/>
      <color rgb="FF0000FF"/>
      <name val="Georgia"/>
      <family val="1"/>
    </font>
    <font>
      <sz val="10"/>
      <color theme="1"/>
      <name val="Georgia"/>
      <family val="1"/>
    </font>
  </fonts>
  <fills count="12">
    <fill>
      <patternFill patternType="none"/>
    </fill>
    <fill>
      <patternFill patternType="gray125"/>
    </fill>
    <fill>
      <patternFill patternType="solid">
        <fgColor rgb="FF2E75B6"/>
      </patternFill>
    </fill>
    <fill>
      <patternFill patternType="solid">
        <fgColor rgb="FFFFFFFF"/>
      </patternFill>
    </fill>
    <fill>
      <patternFill patternType="solid">
        <fgColor rgb="FFE2EFDA"/>
      </patternFill>
    </fill>
    <fill>
      <patternFill patternType="solid">
        <fgColor rgb="FF1F4E79"/>
      </patternFill>
    </fill>
    <fill>
      <patternFill patternType="solid">
        <fgColor rgb="FFC6EFCE"/>
      </patternFill>
    </fill>
    <fill>
      <patternFill patternType="solid">
        <fgColor rgb="FFDDEBF7"/>
      </patternFill>
    </fill>
    <fill>
      <patternFill patternType="solid">
        <fgColor rgb="FFFFF2CC"/>
      </patternFill>
    </fill>
    <fill>
      <patternFill patternType="solid">
        <fgColor rgb="FFE2D5F1"/>
      </patternFill>
    </fill>
    <fill>
      <patternFill patternType="solid">
        <fgColor rgb="FFF8CBAD"/>
      </patternFill>
    </fill>
    <fill>
      <patternFill patternType="solid">
        <fgColor rgb="FFFCE4D6"/>
      </patternFill>
    </fill>
  </fills>
  <borders count="5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/>
      <right/>
      <top style="thin">
        <color rgb="FFB0B0B0"/>
      </top>
      <bottom style="thin">
        <color rgb="FFB0B0B0"/>
      </bottom>
      <diagonal/>
    </border>
    <border>
      <left/>
      <right style="thin">
        <color rgb="FFB0B0B0"/>
      </right>
      <top style="thin">
        <color rgb="FFB0B0B0"/>
      </top>
      <bottom style="thin">
        <color rgb="FFB0B0B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62">
    <xf numFmtId="0" fontId="0" fillId="0" borderId="0" xfId="0"/>
    <xf numFmtId="0" fontId="8" fillId="0" borderId="0" xfId="0" applyFont="1"/>
    <xf numFmtId="0" fontId="3" fillId="0" borderId="1" xfId="0" applyFont="1" applyBorder="1" applyAlignment="1">
      <alignment vertical="center" wrapText="1"/>
    </xf>
    <xf numFmtId="0" fontId="4" fillId="4" borderId="1" xfId="0" applyFont="1" applyFill="1" applyBorder="1" applyAlignment="1">
      <alignment vertical="center"/>
    </xf>
    <xf numFmtId="0" fontId="5" fillId="5" borderId="1" xfId="0" applyFont="1" applyFill="1" applyBorder="1" applyAlignment="1">
      <alignment vertical="center" wrapText="1"/>
    </xf>
    <xf numFmtId="0" fontId="6" fillId="4" borderId="1" xfId="0" applyFont="1" applyFill="1" applyBorder="1" applyAlignment="1">
      <alignment vertical="center"/>
    </xf>
    <xf numFmtId="0" fontId="6" fillId="6" borderId="1" xfId="0" applyFont="1" applyFill="1" applyBorder="1" applyAlignment="1">
      <alignment vertical="center"/>
    </xf>
    <xf numFmtId="0" fontId="7" fillId="7" borderId="1" xfId="0" applyFont="1" applyFill="1" applyBorder="1" applyAlignment="1">
      <alignment vertical="center"/>
    </xf>
    <xf numFmtId="0" fontId="6" fillId="8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3" fontId="6" fillId="4" borderId="1" xfId="0" applyNumberFormat="1" applyFont="1" applyFill="1" applyBorder="1" applyAlignment="1">
      <alignment vertical="center"/>
    </xf>
    <xf numFmtId="3" fontId="6" fillId="9" borderId="1" xfId="0" applyNumberFormat="1" applyFont="1" applyFill="1" applyBorder="1" applyAlignment="1">
      <alignment vertical="center"/>
    </xf>
    <xf numFmtId="0" fontId="6" fillId="9" borderId="1" xfId="0" applyFont="1" applyFill="1" applyBorder="1" applyAlignment="1">
      <alignment vertical="center"/>
    </xf>
    <xf numFmtId="2" fontId="6" fillId="4" borderId="1" xfId="0" applyNumberFormat="1" applyFont="1" applyFill="1" applyBorder="1" applyAlignment="1">
      <alignment vertical="center"/>
    </xf>
    <xf numFmtId="164" fontId="6" fillId="4" borderId="1" xfId="0" applyNumberFormat="1" applyFont="1" applyFill="1" applyBorder="1" applyAlignment="1">
      <alignment vertical="center"/>
    </xf>
    <xf numFmtId="165" fontId="6" fillId="4" borderId="1" xfId="0" applyNumberFormat="1" applyFont="1" applyFill="1" applyBorder="1" applyAlignment="1">
      <alignment vertical="center"/>
    </xf>
    <xf numFmtId="3" fontId="4" fillId="8" borderId="1" xfId="0" applyNumberFormat="1" applyFont="1" applyFill="1" applyBorder="1" applyAlignment="1">
      <alignment vertical="center"/>
    </xf>
    <xf numFmtId="165" fontId="7" fillId="7" borderId="1" xfId="0" applyNumberFormat="1" applyFont="1" applyFill="1" applyBorder="1" applyAlignment="1">
      <alignment vertical="center"/>
    </xf>
    <xf numFmtId="2" fontId="7" fillId="7" borderId="1" xfId="0" applyNumberFormat="1" applyFont="1" applyFill="1" applyBorder="1" applyAlignment="1">
      <alignment vertical="center"/>
    </xf>
    <xf numFmtId="165" fontId="4" fillId="8" borderId="1" xfId="0" applyNumberFormat="1" applyFont="1" applyFill="1" applyBorder="1" applyAlignment="1">
      <alignment vertical="center"/>
    </xf>
    <xf numFmtId="166" fontId="7" fillId="7" borderId="1" xfId="0" applyNumberFormat="1" applyFont="1" applyFill="1" applyBorder="1" applyAlignment="1">
      <alignment vertical="center"/>
    </xf>
    <xf numFmtId="3" fontId="7" fillId="7" borderId="1" xfId="0" applyNumberFormat="1" applyFont="1" applyFill="1" applyBorder="1" applyAlignment="1">
      <alignment vertical="center"/>
    </xf>
    <xf numFmtId="167" fontId="4" fillId="8" borderId="1" xfId="0" applyNumberFormat="1" applyFont="1" applyFill="1" applyBorder="1" applyAlignment="1">
      <alignment vertical="center"/>
    </xf>
    <xf numFmtId="2" fontId="4" fillId="8" borderId="1" xfId="0" applyNumberFormat="1" applyFont="1" applyFill="1" applyBorder="1" applyAlignment="1">
      <alignment vertical="center"/>
    </xf>
    <xf numFmtId="0" fontId="4" fillId="10" borderId="1" xfId="0" applyFont="1" applyFill="1" applyBorder="1" applyAlignment="1">
      <alignment vertical="center"/>
    </xf>
    <xf numFmtId="0" fontId="4" fillId="11" borderId="1" xfId="0" applyFont="1" applyFill="1" applyBorder="1" applyAlignment="1">
      <alignment vertical="center"/>
    </xf>
    <xf numFmtId="3" fontId="6" fillId="8" borderId="1" xfId="0" applyNumberFormat="1" applyFont="1" applyFill="1" applyBorder="1" applyAlignment="1">
      <alignment vertical="center"/>
    </xf>
    <xf numFmtId="167" fontId="6" fillId="8" borderId="1" xfId="0" applyNumberFormat="1" applyFont="1" applyFill="1" applyBorder="1" applyAlignment="1">
      <alignment vertical="center"/>
    </xf>
    <xf numFmtId="165" fontId="6" fillId="8" borderId="1" xfId="0" applyNumberFormat="1" applyFont="1" applyFill="1" applyBorder="1" applyAlignment="1">
      <alignment vertical="center"/>
    </xf>
    <xf numFmtId="0" fontId="6" fillId="10" borderId="1" xfId="0" applyFont="1" applyFill="1" applyBorder="1" applyAlignment="1">
      <alignment vertical="center"/>
    </xf>
    <xf numFmtId="2" fontId="6" fillId="8" borderId="1" xfId="0" applyNumberFormat="1" applyFont="1" applyFill="1" applyBorder="1" applyAlignment="1">
      <alignment vertical="center"/>
    </xf>
    <xf numFmtId="166" fontId="6" fillId="8" borderId="1" xfId="0" applyNumberFormat="1" applyFont="1" applyFill="1" applyBorder="1" applyAlignment="1">
      <alignment vertical="center"/>
    </xf>
    <xf numFmtId="168" fontId="6" fillId="8" borderId="1" xfId="0" applyNumberFormat="1" applyFont="1" applyFill="1" applyBorder="1" applyAlignment="1">
      <alignment vertical="center"/>
    </xf>
    <xf numFmtId="3" fontId="3" fillId="0" borderId="1" xfId="0" applyNumberFormat="1" applyFont="1" applyBorder="1" applyAlignment="1">
      <alignment vertical="center" wrapText="1"/>
    </xf>
    <xf numFmtId="165" fontId="6" fillId="11" borderId="1" xfId="0" applyNumberFormat="1" applyFont="1" applyFill="1" applyBorder="1" applyAlignment="1">
      <alignment vertical="center"/>
    </xf>
    <xf numFmtId="165" fontId="6" fillId="6" borderId="1" xfId="0" applyNumberFormat="1" applyFont="1" applyFill="1" applyBorder="1" applyAlignment="1">
      <alignment vertical="center"/>
    </xf>
    <xf numFmtId="165" fontId="6" fillId="10" borderId="1" xfId="0" applyNumberFormat="1" applyFont="1" applyFill="1" applyBorder="1" applyAlignment="1">
      <alignment vertical="center"/>
    </xf>
    <xf numFmtId="2" fontId="6" fillId="9" borderId="1" xfId="0" applyNumberFormat="1" applyFont="1" applyFill="1" applyBorder="1" applyAlignment="1">
      <alignment vertical="center"/>
    </xf>
    <xf numFmtId="167" fontId="6" fillId="4" borderId="1" xfId="0" applyNumberFormat="1" applyFont="1" applyFill="1" applyBorder="1" applyAlignment="1">
      <alignment vertical="center"/>
    </xf>
    <xf numFmtId="1" fontId="6" fillId="4" borderId="1" xfId="0" applyNumberFormat="1" applyFont="1" applyFill="1" applyBorder="1" applyAlignment="1">
      <alignment vertical="center"/>
    </xf>
    <xf numFmtId="165" fontId="4" fillId="10" borderId="1" xfId="0" applyNumberFormat="1" applyFont="1" applyFill="1" applyBorder="1" applyAlignment="1">
      <alignment vertical="center"/>
    </xf>
    <xf numFmtId="0" fontId="4" fillId="8" borderId="1" xfId="0" applyFont="1" applyFill="1" applyBorder="1" applyAlignment="1">
      <alignment vertical="center"/>
    </xf>
    <xf numFmtId="0" fontId="6" fillId="11" borderId="1" xfId="0" applyFont="1" applyFill="1" applyBorder="1" applyAlignment="1">
      <alignment vertical="center"/>
    </xf>
    <xf numFmtId="4" fontId="6" fillId="8" borderId="1" xfId="0" applyNumberFormat="1" applyFont="1" applyFill="1" applyBorder="1" applyAlignment="1">
      <alignment vertical="center"/>
    </xf>
    <xf numFmtId="169" fontId="4" fillId="8" borderId="1" xfId="0" applyNumberFormat="1" applyFont="1" applyFill="1" applyBorder="1" applyAlignment="1">
      <alignment vertical="center"/>
    </xf>
    <xf numFmtId="167" fontId="4" fillId="10" borderId="1" xfId="0" applyNumberFormat="1" applyFont="1" applyFill="1" applyBorder="1" applyAlignment="1">
      <alignment vertical="center"/>
    </xf>
    <xf numFmtId="9" fontId="7" fillId="7" borderId="1" xfId="0" applyNumberFormat="1" applyFont="1" applyFill="1" applyBorder="1" applyAlignment="1">
      <alignment vertical="center"/>
    </xf>
    <xf numFmtId="3" fontId="6" fillId="10" borderId="1" xfId="0" applyNumberFormat="1" applyFont="1" applyFill="1" applyBorder="1" applyAlignment="1">
      <alignment vertical="center"/>
    </xf>
    <xf numFmtId="3" fontId="6" fillId="6" borderId="1" xfId="0" applyNumberFormat="1" applyFont="1" applyFill="1" applyBorder="1" applyAlignment="1">
      <alignment vertical="center"/>
    </xf>
    <xf numFmtId="3" fontId="4" fillId="6" borderId="1" xfId="0" applyNumberFormat="1" applyFont="1" applyFill="1" applyBorder="1" applyAlignment="1">
      <alignment vertical="center"/>
    </xf>
    <xf numFmtId="168" fontId="6" fillId="6" borderId="1" xfId="0" applyNumberFormat="1" applyFont="1" applyFill="1" applyBorder="1" applyAlignment="1">
      <alignment vertical="center"/>
    </xf>
    <xf numFmtId="168" fontId="6" fillId="10" borderId="1" xfId="0" applyNumberFormat="1" applyFont="1" applyFill="1" applyBorder="1" applyAlignment="1">
      <alignment vertical="center"/>
    </xf>
    <xf numFmtId="3" fontId="4" fillId="10" borderId="1" xfId="0" applyNumberFormat="1" applyFont="1" applyFill="1" applyBorder="1" applyAlignment="1">
      <alignment vertical="center"/>
    </xf>
    <xf numFmtId="0" fontId="3" fillId="0" borderId="1" xfId="0" applyFont="1" applyBorder="1" applyAlignment="1">
      <alignment vertical="center" wrapText="1"/>
    </xf>
    <xf numFmtId="0" fontId="8" fillId="0" borderId="0" xfId="0" applyFont="1"/>
    <xf numFmtId="0" fontId="2" fillId="3" borderId="4" xfId="0" applyFont="1" applyFill="1" applyBorder="1" applyAlignment="1">
      <alignment vertical="center"/>
    </xf>
    <xf numFmtId="0" fontId="8" fillId="0" borderId="2" xfId="0" applyFont="1" applyBorder="1"/>
    <xf numFmtId="0" fontId="8" fillId="0" borderId="3" xfId="0" applyFont="1" applyBorder="1"/>
    <xf numFmtId="0" fontId="1" fillId="2" borderId="1" xfId="0" applyFont="1" applyFill="1" applyBorder="1" applyAlignment="1">
      <alignment vertical="center"/>
    </xf>
    <xf numFmtId="0" fontId="6" fillId="4" borderId="1" xfId="0" applyFont="1" applyFill="1" applyBorder="1" applyAlignment="1">
      <alignment vertical="center"/>
    </xf>
    <xf numFmtId="0" fontId="6" fillId="10" borderId="1" xfId="0" applyFont="1" applyFill="1" applyBorder="1" applyAlignment="1">
      <alignment vertical="center"/>
    </xf>
    <xf numFmtId="0" fontId="6" fillId="11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Internet net adds — zero line test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'02_IssueTree'!$B$24</c:f>
              <c:strCache>
                <c:ptCount val="1"/>
                <c:pt idx="0">
                  <c:v>Internet net adds (000s)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'02_IssueTree'!$A$25:$A$34</c:f>
              <c:strCache>
                <c:ptCount val="10"/>
                <c:pt idx="0">
                  <c:v>24Q1</c:v>
                </c:pt>
                <c:pt idx="1">
                  <c:v>24Q2</c:v>
                </c:pt>
                <c:pt idx="2">
                  <c:v>24Q3</c:v>
                </c:pt>
                <c:pt idx="3">
                  <c:v>24Q4</c:v>
                </c:pt>
                <c:pt idx="4">
                  <c:v>25Q1</c:v>
                </c:pt>
                <c:pt idx="5">
                  <c:v>25Q2</c:v>
                </c:pt>
                <c:pt idx="6">
                  <c:v>25Q3</c:v>
                </c:pt>
                <c:pt idx="7">
                  <c:v>25Q4</c:v>
                </c:pt>
                <c:pt idx="8">
                  <c:v>26Q1</c:v>
                </c:pt>
                <c:pt idx="9">
                  <c:v>26Q2</c:v>
                </c:pt>
              </c:strCache>
            </c:strRef>
          </c:cat>
          <c:val>
            <c:numRef>
              <c:f>'02_IssueTree'!$B$25:$B$34</c:f>
              <c:numCache>
                <c:formatCode>#,##0</c:formatCode>
                <c:ptCount val="10"/>
                <c:pt idx="0">
                  <c:v>-72</c:v>
                </c:pt>
                <c:pt idx="1">
                  <c:v>-148</c:v>
                </c:pt>
                <c:pt idx="2">
                  <c:v>-110</c:v>
                </c:pt>
                <c:pt idx="3">
                  <c:v>-177</c:v>
                </c:pt>
                <c:pt idx="4">
                  <c:v>-59</c:v>
                </c:pt>
                <c:pt idx="5">
                  <c:v>-116</c:v>
                </c:pt>
                <c:pt idx="6">
                  <c:v>-109</c:v>
                </c:pt>
                <c:pt idx="7">
                  <c:v>-119</c:v>
                </c:pt>
                <c:pt idx="8">
                  <c:v>-120</c:v>
                </c:pt>
                <c:pt idx="9">
                  <c:v>-172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49C-48F8-8564-5F91C9CD7F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Quarter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ax val="50"/>
          <c:min val="-200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000s</a:t>
                </a:r>
              </a:p>
            </c:rich>
          </c:tx>
          <c:overlay val="1"/>
        </c:title>
        <c:numFmt formatCode="#,##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Internet YoY: volume vs price/mix ($M)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'03_InternetBridge'!$B$20</c:f>
              <c:strCache>
                <c:ptCount val="1"/>
                <c:pt idx="0">
                  <c:v>Volume $M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'03_InternetBridge'!$A$21:$A$30</c:f>
              <c:strCache>
                <c:ptCount val="10"/>
                <c:pt idx="0">
                  <c:v>24Q1</c:v>
                </c:pt>
                <c:pt idx="1">
                  <c:v>24Q2</c:v>
                </c:pt>
                <c:pt idx="2">
                  <c:v>24Q3</c:v>
                </c:pt>
                <c:pt idx="3">
                  <c:v>24Q4</c:v>
                </c:pt>
                <c:pt idx="4">
                  <c:v>25Q1</c:v>
                </c:pt>
                <c:pt idx="5">
                  <c:v>25Q2</c:v>
                </c:pt>
                <c:pt idx="6">
                  <c:v>25Q3</c:v>
                </c:pt>
                <c:pt idx="7">
                  <c:v>25Q4</c:v>
                </c:pt>
                <c:pt idx="8">
                  <c:v>26Q1</c:v>
                </c:pt>
                <c:pt idx="9">
                  <c:v>26Q2</c:v>
                </c:pt>
              </c:strCache>
            </c:strRef>
          </c:cat>
          <c:val>
            <c:numRef>
              <c:f>'03_InternetBridge'!$B$21:$B$30</c:f>
              <c:numCache>
                <c:formatCode>#,##0.0</c:formatCode>
                <c:ptCount val="10"/>
                <c:pt idx="0">
                  <c:v>-27.193094462540721</c:v>
                </c:pt>
                <c:pt idx="1">
                  <c:v>-41.317234632316968</c:v>
                </c:pt>
                <c:pt idx="2">
                  <c:v>-60.33360535335401</c:v>
                </c:pt>
                <c:pt idx="3">
                  <c:v>-82.224064695311213</c:v>
                </c:pt>
                <c:pt idx="4">
                  <c:v>-95.434738495777964</c:v>
                </c:pt>
                <c:pt idx="5">
                  <c:v>-91.15976875574826</c:v>
                </c:pt>
                <c:pt idx="6">
                  <c:v>-89.392314035955792</c:v>
                </c:pt>
                <c:pt idx="7">
                  <c:v>-83.84707422567655</c:v>
                </c:pt>
                <c:pt idx="8">
                  <c:v>-85.535960869782215</c:v>
                </c:pt>
                <c:pt idx="9">
                  <c:v>-98.002669692317966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8BF-49D9-B227-B6DD155A0EC2}"/>
            </c:ext>
          </c:extLst>
        </c:ser>
        <c:ser>
          <c:idx val="1"/>
          <c:order val="1"/>
          <c:tx>
            <c:strRef>
              <c:f>'03_InternetBridge'!$C$20</c:f>
              <c:strCache>
                <c:ptCount val="1"/>
                <c:pt idx="0">
                  <c:v>Price/mix $M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'03_InternetBridge'!$A$21:$A$30</c:f>
              <c:strCache>
                <c:ptCount val="10"/>
                <c:pt idx="0">
                  <c:v>24Q1</c:v>
                </c:pt>
                <c:pt idx="1">
                  <c:v>24Q2</c:v>
                </c:pt>
                <c:pt idx="2">
                  <c:v>24Q3</c:v>
                </c:pt>
                <c:pt idx="3">
                  <c:v>24Q4</c:v>
                </c:pt>
                <c:pt idx="4">
                  <c:v>25Q1</c:v>
                </c:pt>
                <c:pt idx="5">
                  <c:v>25Q2</c:v>
                </c:pt>
                <c:pt idx="6">
                  <c:v>25Q3</c:v>
                </c:pt>
                <c:pt idx="7">
                  <c:v>25Q4</c:v>
                </c:pt>
                <c:pt idx="8">
                  <c:v>26Q1</c:v>
                </c:pt>
                <c:pt idx="9">
                  <c:v>26Q2</c:v>
                </c:pt>
              </c:strCache>
            </c:strRef>
          </c:cat>
          <c:val>
            <c:numRef>
              <c:f>'03_InternetBridge'!$C$21:$C$30</c:f>
              <c:numCache>
                <c:formatCode>#,##0.0</c:formatCode>
                <c:ptCount val="10"/>
                <c:pt idx="0">
                  <c:v>135.1930944625407</c:v>
                </c:pt>
                <c:pt idx="1">
                  <c:v>114.317234632317</c:v>
                </c:pt>
                <c:pt idx="2">
                  <c:v>156.33360535335399</c:v>
                </c:pt>
                <c:pt idx="3">
                  <c:v>133.2240646953112</c:v>
                </c:pt>
                <c:pt idx="4">
                  <c:v>199.43473849577799</c:v>
                </c:pt>
                <c:pt idx="5">
                  <c:v>254.15976875574819</c:v>
                </c:pt>
                <c:pt idx="6">
                  <c:v>188.39231403595579</c:v>
                </c:pt>
                <c:pt idx="7">
                  <c:v>122.84707422567659</c:v>
                </c:pt>
                <c:pt idx="8">
                  <c:v>7.5359608697822154</c:v>
                </c:pt>
                <c:pt idx="9">
                  <c:v>-94.997330307682034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8BF-49D9-B227-B6DD155A0E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$M</a:t>
                </a:r>
              </a:p>
            </c:rich>
          </c:tx>
          <c:overlay val="1"/>
        </c:title>
        <c:numFmt formatCode="#,##0.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Earnings-day return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'04_CompsEvent'!$C$37</c:f>
              <c:strCache>
                <c:ptCount val="1"/>
                <c:pt idx="0">
                  <c:v>1-day %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'04_CompsEvent'!$A$38:$A$44</c:f>
              <c:strCache>
                <c:ptCount val="7"/>
                <c:pt idx="0">
                  <c:v>Q4'24</c:v>
                </c:pt>
                <c:pt idx="1">
                  <c:v>Q1'25</c:v>
                </c:pt>
                <c:pt idx="2">
                  <c:v>Q2'25</c:v>
                </c:pt>
                <c:pt idx="3">
                  <c:v>Q3'25</c:v>
                </c:pt>
                <c:pt idx="4">
                  <c:v>Q4'25</c:v>
                </c:pt>
                <c:pt idx="5">
                  <c:v>Q1'26</c:v>
                </c:pt>
                <c:pt idx="6">
                  <c:v>Q2'26</c:v>
                </c:pt>
              </c:strCache>
            </c:strRef>
          </c:cat>
          <c:val>
            <c:numRef>
              <c:f>'04_CompsEvent'!$C$38:$C$44</c:f>
              <c:numCache>
                <c:formatCode>0.0%</c:formatCode>
                <c:ptCount val="7"/>
                <c:pt idx="0">
                  <c:v>2.5999999999999999E-2</c:v>
                </c:pt>
                <c:pt idx="1">
                  <c:v>0.114</c:v>
                </c:pt>
                <c:pt idx="2">
                  <c:v>-0.185</c:v>
                </c:pt>
                <c:pt idx="3">
                  <c:v>1.2999999999999999E-2</c:v>
                </c:pt>
                <c:pt idx="4">
                  <c:v>7.5999999999999998E-2</c:v>
                </c:pt>
                <c:pt idx="5">
                  <c:v>-0.255</c:v>
                </c:pt>
                <c:pt idx="6">
                  <c:v>-2.5000000000000001E-2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87A-495F-9B1B-E4368807D0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Close-to-close</a:t>
                </a:r>
              </a:p>
            </c:rich>
          </c:tx>
          <c:overlay val="1"/>
        </c:title>
        <c:numFmt formatCode="0.0%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Internet adds vs earnings-day return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Earnings days</c:v>
          </c:tx>
          <c:spPr>
            <a:ln>
              <a:prstDash val="solid"/>
            </a:ln>
          </c:spPr>
          <c:marker>
            <c:symbol val="none"/>
          </c:marker>
          <c:xVal>
            <c:numRef>
              <c:f>'04_CompsEvent'!$B$38:$B$44</c:f>
              <c:numCache>
                <c:formatCode>#,##0</c:formatCode>
                <c:ptCount val="7"/>
                <c:pt idx="0">
                  <c:v>-177</c:v>
                </c:pt>
                <c:pt idx="1">
                  <c:v>-59</c:v>
                </c:pt>
                <c:pt idx="2">
                  <c:v>-116</c:v>
                </c:pt>
                <c:pt idx="3">
                  <c:v>-109</c:v>
                </c:pt>
                <c:pt idx="4">
                  <c:v>-119</c:v>
                </c:pt>
                <c:pt idx="5">
                  <c:v>-120</c:v>
                </c:pt>
                <c:pt idx="6">
                  <c:v>-172</c:v>
                </c:pt>
              </c:numCache>
            </c:numRef>
          </c:xVal>
          <c:yVal>
            <c:numRef>
              <c:f>'04_CompsEvent'!$C$37:$C$44</c:f>
              <c:numCache>
                <c:formatCode>0.0%</c:formatCode>
                <c:ptCount val="8"/>
                <c:pt idx="0" formatCode="General">
                  <c:v>0</c:v>
                </c:pt>
                <c:pt idx="1">
                  <c:v>2.5999999999999999E-2</c:v>
                </c:pt>
                <c:pt idx="2">
                  <c:v>0.114</c:v>
                </c:pt>
                <c:pt idx="3">
                  <c:v>-0.185</c:v>
                </c:pt>
                <c:pt idx="4">
                  <c:v>1.2999999999999999E-2</c:v>
                </c:pt>
                <c:pt idx="5">
                  <c:v>7.5999999999999998E-2</c:v>
                </c:pt>
                <c:pt idx="6">
                  <c:v>-0.255</c:v>
                </c:pt>
                <c:pt idx="7">
                  <c:v>-2.5000000000000001E-2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E59-4DF4-A4A6-1AB9B2CB08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Internet net adds (000s)</a:t>
                </a:r>
              </a:p>
            </c:rich>
          </c:tx>
          <c:overlay val="1"/>
        </c:title>
        <c:numFmt formatCode="#,##0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1-day %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UFCF by scenario ($M)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'08_FullPotential'!$A$27</c:f>
              <c:strCache>
                <c:ptCount val="1"/>
                <c:pt idx="0">
                  <c:v>UFCF Base ($M)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'08_FullPotential'!$B$26:$I$26</c:f>
              <c:strCache>
                <c:ptCount val="8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</c:strCache>
            </c:strRef>
          </c:cat>
          <c:val>
            <c:numRef>
              <c:f>'08_FullPotential'!$B$27:$I$27</c:f>
              <c:numCache>
                <c:formatCode>#,##0</c:formatCode>
                <c:ptCount val="8"/>
                <c:pt idx="0">
                  <c:v>7699.4855852425426</c:v>
                </c:pt>
                <c:pt idx="1">
                  <c:v>8147.5406835809772</c:v>
                </c:pt>
                <c:pt idx="2">
                  <c:v>9695.5957819194155</c:v>
                </c:pt>
                <c:pt idx="3">
                  <c:v>9586.7666972014486</c:v>
                </c:pt>
                <c:pt idx="4">
                  <c:v>9421.0534294270692</c:v>
                </c:pt>
                <c:pt idx="5">
                  <c:v>9055.3401616526935</c:v>
                </c:pt>
                <c:pt idx="6">
                  <c:v>8689.6268938783178</c:v>
                </c:pt>
                <c:pt idx="7">
                  <c:v>8323.9136261039457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0B15-4D31-BE70-62B78E0C98D1}"/>
            </c:ext>
          </c:extLst>
        </c:ser>
        <c:ser>
          <c:idx val="1"/>
          <c:order val="1"/>
          <c:tx>
            <c:strRef>
              <c:f>'08_FullPotential'!$A$28</c:f>
              <c:strCache>
                <c:ptCount val="1"/>
                <c:pt idx="0">
                  <c:v>UFCF Full ($M)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'08_FullPotential'!$B$26:$I$26</c:f>
              <c:strCache>
                <c:ptCount val="8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</c:strCache>
            </c:strRef>
          </c:cat>
          <c:val>
            <c:numRef>
              <c:f>'08_FullPotential'!$B$28:$I$28</c:f>
              <c:numCache>
                <c:formatCode>#,##0</c:formatCode>
                <c:ptCount val="8"/>
                <c:pt idx="0">
                  <c:v>8002.372447950238</c:v>
                </c:pt>
                <c:pt idx="1">
                  <c:v>8834.1565657656065</c:v>
                </c:pt>
                <c:pt idx="2">
                  <c:v>10862.95127170406</c:v>
                </c:pt>
                <c:pt idx="3">
                  <c:v>11240.25127170407</c:v>
                </c:pt>
                <c:pt idx="4">
                  <c:v>11517.551271704069</c:v>
                </c:pt>
                <c:pt idx="5">
                  <c:v>11594.851271704059</c:v>
                </c:pt>
                <c:pt idx="6">
                  <c:v>11672.15127170406</c:v>
                </c:pt>
                <c:pt idx="7">
                  <c:v>11749.45127170406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0B15-4D31-BE70-62B78E0C98D1}"/>
            </c:ext>
          </c:extLst>
        </c:ser>
        <c:ser>
          <c:idx val="2"/>
          <c:order val="2"/>
          <c:tx>
            <c:strRef>
              <c:f>'08_FullPotential'!$A$29</c:f>
              <c:strCache>
                <c:ptCount val="1"/>
                <c:pt idx="0">
                  <c:v>UFCF Bear ($M)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'08_FullPotential'!$B$26:$I$26</c:f>
              <c:strCache>
                <c:ptCount val="8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</c:strCache>
            </c:strRef>
          </c:cat>
          <c:val>
            <c:numRef>
              <c:f>'08_FullPotential'!$B$29:$I$29</c:f>
              <c:numCache>
                <c:formatCode>#,##0</c:formatCode>
                <c:ptCount val="8"/>
                <c:pt idx="0">
                  <c:v>7551.1987225348457</c:v>
                </c:pt>
                <c:pt idx="1">
                  <c:v>7818.630095457891</c:v>
                </c:pt>
                <c:pt idx="2">
                  <c:v>9186.0614683809399</c:v>
                </c:pt>
                <c:pt idx="3">
                  <c:v>8907.3876124834787</c:v>
                </c:pt>
                <c:pt idx="4">
                  <c:v>8582.6085277655075</c:v>
                </c:pt>
                <c:pt idx="5">
                  <c:v>8057.8294430475398</c:v>
                </c:pt>
                <c:pt idx="6">
                  <c:v>7533.0503583295686</c:v>
                </c:pt>
                <c:pt idx="7">
                  <c:v>7008.2712736116009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0B15-4D31-BE70-62B78E0C98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Year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$M</a:t>
                </a:r>
              </a:p>
            </c:rich>
          </c:tx>
          <c:overlay val="1"/>
        </c:title>
        <c:numFmt formatCode="#,##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22</xdr:row>
      <xdr:rowOff>0</xdr:rowOff>
    </xdr:from>
    <xdr:ext cx="6480000" cy="288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19</xdr:row>
      <xdr:rowOff>0</xdr:rowOff>
    </xdr:from>
    <xdr:ext cx="6480000" cy="288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45</xdr:row>
      <xdr:rowOff>0</xdr:rowOff>
    </xdr:from>
    <xdr:ext cx="5400000" cy="288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4</xdr:col>
      <xdr:colOff>0</xdr:colOff>
      <xdr:row>45</xdr:row>
      <xdr:rowOff>0</xdr:rowOff>
    </xdr:from>
    <xdr:ext cx="4320000" cy="288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30</xdr:row>
      <xdr:rowOff>0</xdr:rowOff>
    </xdr:from>
    <xdr:ext cx="6480000" cy="288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4E79"/>
    <pageSetUpPr fitToPage="1"/>
  </sheetPr>
  <dimension ref="A1:D25"/>
  <sheetViews>
    <sheetView showGridLines="0" tabSelected="1" workbookViewId="0">
      <pane ySplit="1" topLeftCell="A2" activePane="bottomLeft" state="frozen"/>
      <selection pane="bottomLeft" activeCell="F6" sqref="F6"/>
    </sheetView>
  </sheetViews>
  <sheetFormatPr defaultRowHeight="13" x14ac:dyDescent="0.3"/>
  <cols>
    <col min="1" max="1" width="28" customWidth="1"/>
    <col min="2" max="2" width="88" customWidth="1"/>
    <col min="3" max="3" width="28" customWidth="1"/>
    <col min="4" max="4" width="22" customWidth="1"/>
  </cols>
  <sheetData>
    <row r="1" spans="1:4" ht="20" x14ac:dyDescent="0.3">
      <c r="A1" s="55" t="s">
        <v>0</v>
      </c>
      <c r="B1" s="56"/>
      <c r="C1" s="56"/>
      <c r="D1" s="57"/>
    </row>
    <row r="2" spans="1:4" x14ac:dyDescent="0.3">
      <c r="A2" s="1"/>
      <c r="B2" s="1"/>
      <c r="C2" s="1"/>
      <c r="D2" s="1"/>
    </row>
    <row r="3" spans="1:4" ht="39" customHeight="1" x14ac:dyDescent="0.3">
      <c r="A3" s="2" t="s">
        <v>1</v>
      </c>
      <c r="B3" s="53" t="s">
        <v>2</v>
      </c>
      <c r="C3" s="54"/>
      <c r="D3" s="54"/>
    </row>
    <row r="4" spans="1:4" x14ac:dyDescent="0.3">
      <c r="A4" s="1"/>
      <c r="B4" s="1"/>
      <c r="C4" s="1"/>
      <c r="D4" s="1"/>
    </row>
    <row r="5" spans="1:4" ht="36" customHeight="1" x14ac:dyDescent="0.3">
      <c r="A5" s="3" t="s">
        <v>3</v>
      </c>
      <c r="B5" s="53" t="s">
        <v>4</v>
      </c>
      <c r="C5" s="54"/>
      <c r="D5" s="54"/>
    </row>
    <row r="6" spans="1:4" ht="36" customHeight="1" x14ac:dyDescent="0.3">
      <c r="A6" s="3" t="s">
        <v>5</v>
      </c>
      <c r="B6" s="53" t="s">
        <v>6</v>
      </c>
      <c r="C6" s="54"/>
      <c r="D6" s="54"/>
    </row>
    <row r="7" spans="1:4" ht="36" customHeight="1" x14ac:dyDescent="0.3">
      <c r="A7" s="3" t="s">
        <v>7</v>
      </c>
      <c r="B7" s="53" t="s">
        <v>8</v>
      </c>
      <c r="C7" s="54"/>
      <c r="D7" s="54"/>
    </row>
    <row r="8" spans="1:4" ht="36" customHeight="1" x14ac:dyDescent="0.3">
      <c r="A8" s="3" t="s">
        <v>9</v>
      </c>
      <c r="B8" s="53" t="s">
        <v>10</v>
      </c>
      <c r="C8" s="54"/>
      <c r="D8" s="54"/>
    </row>
    <row r="9" spans="1:4" ht="36" customHeight="1" x14ac:dyDescent="0.3">
      <c r="A9" s="3" t="s">
        <v>11</v>
      </c>
      <c r="B9" s="53" t="s">
        <v>12</v>
      </c>
      <c r="C9" s="54"/>
      <c r="D9" s="54"/>
    </row>
    <row r="10" spans="1:4" ht="36" customHeight="1" x14ac:dyDescent="0.3">
      <c r="A10" s="3" t="s">
        <v>13</v>
      </c>
      <c r="B10" s="53" t="s">
        <v>14</v>
      </c>
      <c r="C10" s="54"/>
      <c r="D10" s="54"/>
    </row>
    <row r="11" spans="1:4" x14ac:dyDescent="0.3">
      <c r="A11" s="1"/>
      <c r="B11" s="1"/>
      <c r="C11" s="1"/>
      <c r="D11" s="1"/>
    </row>
    <row r="12" spans="1:4" ht="28" customHeight="1" x14ac:dyDescent="0.3">
      <c r="A12" s="4" t="s">
        <v>15</v>
      </c>
      <c r="B12" s="4" t="s">
        <v>16</v>
      </c>
      <c r="C12" s="4" t="s">
        <v>17</v>
      </c>
      <c r="D12" s="4" t="s">
        <v>18</v>
      </c>
    </row>
    <row r="13" spans="1:4" x14ac:dyDescent="0.3">
      <c r="A13" s="5" t="s">
        <v>19</v>
      </c>
      <c r="B13" s="5" t="s">
        <v>20</v>
      </c>
      <c r="C13" s="5" t="s">
        <v>21</v>
      </c>
      <c r="D13" s="6" t="s">
        <v>22</v>
      </c>
    </row>
    <row r="14" spans="1:4" x14ac:dyDescent="0.3">
      <c r="A14" s="5" t="s">
        <v>23</v>
      </c>
      <c r="B14" s="5" t="s">
        <v>24</v>
      </c>
      <c r="C14" s="5" t="s">
        <v>25</v>
      </c>
      <c r="D14" s="6" t="s">
        <v>22</v>
      </c>
    </row>
    <row r="15" spans="1:4" x14ac:dyDescent="0.3">
      <c r="A15" s="5" t="s">
        <v>26</v>
      </c>
      <c r="B15" s="5" t="s">
        <v>27</v>
      </c>
      <c r="C15" s="5" t="s">
        <v>28</v>
      </c>
      <c r="D15" s="6" t="s">
        <v>29</v>
      </c>
    </row>
    <row r="16" spans="1:4" x14ac:dyDescent="0.3">
      <c r="A16" s="5" t="s">
        <v>30</v>
      </c>
      <c r="B16" s="5" t="s">
        <v>31</v>
      </c>
      <c r="C16" s="5" t="s">
        <v>32</v>
      </c>
      <c r="D16" s="6" t="s">
        <v>22</v>
      </c>
    </row>
    <row r="17" spans="1:4" x14ac:dyDescent="0.3">
      <c r="A17" s="5" t="s">
        <v>33</v>
      </c>
      <c r="B17" s="5" t="s">
        <v>34</v>
      </c>
      <c r="C17" s="5" t="s">
        <v>35</v>
      </c>
      <c r="D17" s="6" t="s">
        <v>22</v>
      </c>
    </row>
    <row r="18" spans="1:4" x14ac:dyDescent="0.3">
      <c r="A18" s="5" t="s">
        <v>36</v>
      </c>
      <c r="B18" s="5" t="s">
        <v>37</v>
      </c>
      <c r="C18" s="5" t="s">
        <v>38</v>
      </c>
      <c r="D18" s="6" t="s">
        <v>22</v>
      </c>
    </row>
    <row r="19" spans="1:4" x14ac:dyDescent="0.3">
      <c r="A19" s="5" t="s">
        <v>39</v>
      </c>
      <c r="B19" s="5" t="s">
        <v>40</v>
      </c>
      <c r="C19" s="5" t="s">
        <v>41</v>
      </c>
      <c r="D19" s="6" t="s">
        <v>22</v>
      </c>
    </row>
    <row r="20" spans="1:4" x14ac:dyDescent="0.3">
      <c r="A20" s="5" t="s">
        <v>42</v>
      </c>
      <c r="B20" s="5" t="s">
        <v>43</v>
      </c>
      <c r="C20" s="5" t="s">
        <v>44</v>
      </c>
      <c r="D20" s="6" t="s">
        <v>45</v>
      </c>
    </row>
    <row r="21" spans="1:4" x14ac:dyDescent="0.3">
      <c r="A21" s="5" t="s">
        <v>46</v>
      </c>
      <c r="B21" s="5" t="s">
        <v>47</v>
      </c>
      <c r="C21" s="5" t="s">
        <v>48</v>
      </c>
      <c r="D21" s="6" t="s">
        <v>22</v>
      </c>
    </row>
    <row r="22" spans="1:4" x14ac:dyDescent="0.3">
      <c r="A22" s="1"/>
      <c r="B22" s="1"/>
      <c r="C22" s="1"/>
      <c r="D22" s="1"/>
    </row>
    <row r="23" spans="1:4" x14ac:dyDescent="0.3">
      <c r="A23" s="2" t="s">
        <v>49</v>
      </c>
      <c r="B23" s="2" t="s">
        <v>50</v>
      </c>
      <c r="C23" s="1"/>
      <c r="D23" s="1"/>
    </row>
    <row r="24" spans="1:4" x14ac:dyDescent="0.3">
      <c r="A24" s="1"/>
      <c r="B24" s="1"/>
      <c r="C24" s="1"/>
      <c r="D24" s="1"/>
    </row>
    <row r="25" spans="1:4" x14ac:dyDescent="0.3">
      <c r="A25" s="3" t="s">
        <v>51</v>
      </c>
      <c r="B25" s="5" t="s">
        <v>52</v>
      </c>
      <c r="C25" s="7" t="s">
        <v>53</v>
      </c>
      <c r="D25" s="8" t="s">
        <v>54</v>
      </c>
    </row>
  </sheetData>
  <mergeCells count="8">
    <mergeCell ref="B10:D10"/>
    <mergeCell ref="A1:D1"/>
    <mergeCell ref="B3:D3"/>
    <mergeCell ref="B5:D5"/>
    <mergeCell ref="B8:D8"/>
    <mergeCell ref="B9:D9"/>
    <mergeCell ref="B7:D7"/>
    <mergeCell ref="B6:D6"/>
  </mergeCells>
  <pageMargins left="0.75" right="0.75" top="1" bottom="1" header="0.5" footer="0.5"/>
  <pageSetup paperSize="3"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1F4E79"/>
    <pageSetUpPr fitToPage="1"/>
  </sheetPr>
  <dimension ref="A1:E109"/>
  <sheetViews>
    <sheetView showGridLines="0" workbookViewId="0">
      <pane ySplit="1" topLeftCell="A2" activePane="bottomLeft" state="frozen"/>
      <selection pane="bottomLeft"/>
    </sheetView>
  </sheetViews>
  <sheetFormatPr defaultRowHeight="13" x14ac:dyDescent="0.3"/>
  <cols>
    <col min="1" max="1" width="36" customWidth="1"/>
    <col min="2" max="2" width="18" customWidth="1"/>
    <col min="3" max="4" width="16" customWidth="1"/>
    <col min="5" max="5" width="72" customWidth="1"/>
  </cols>
  <sheetData>
    <row r="1" spans="1:5" ht="14.5" x14ac:dyDescent="0.3">
      <c r="A1" s="58" t="s">
        <v>55</v>
      </c>
      <c r="B1" s="56"/>
      <c r="C1" s="56"/>
      <c r="D1" s="56"/>
      <c r="E1" s="57"/>
    </row>
    <row r="2" spans="1:5" ht="28" customHeight="1" x14ac:dyDescent="0.3">
      <c r="A2" s="4" t="s">
        <v>56</v>
      </c>
      <c r="B2" s="4" t="s">
        <v>57</v>
      </c>
      <c r="C2" s="4" t="s">
        <v>58</v>
      </c>
      <c r="D2" s="4" t="s">
        <v>59</v>
      </c>
      <c r="E2" s="4" t="s">
        <v>60</v>
      </c>
    </row>
    <row r="3" spans="1:5" ht="14.5" x14ac:dyDescent="0.3">
      <c r="A3" s="58" t="s">
        <v>61</v>
      </c>
      <c r="B3" s="56"/>
      <c r="C3" s="56"/>
      <c r="D3" s="56"/>
      <c r="E3" s="57"/>
    </row>
    <row r="4" spans="1:5" x14ac:dyDescent="0.3">
      <c r="A4" s="5" t="s">
        <v>62</v>
      </c>
      <c r="B4" s="10">
        <v>122984536</v>
      </c>
      <c r="C4" s="2"/>
      <c r="D4" s="5" t="s">
        <v>52</v>
      </c>
      <c r="E4" s="2" t="s">
        <v>63</v>
      </c>
    </row>
    <row r="5" spans="1:5" x14ac:dyDescent="0.3">
      <c r="A5" s="5" t="s">
        <v>64</v>
      </c>
      <c r="B5" s="10">
        <v>126631549</v>
      </c>
      <c r="C5" s="2"/>
      <c r="D5" s="5" t="s">
        <v>52</v>
      </c>
      <c r="E5" s="2" t="s">
        <v>65</v>
      </c>
    </row>
    <row r="6" spans="1:5" x14ac:dyDescent="0.3">
      <c r="A6" s="5" t="s">
        <v>66</v>
      </c>
      <c r="B6" s="11">
        <v>119277492</v>
      </c>
      <c r="C6" s="2"/>
      <c r="D6" s="12" t="s">
        <v>67</v>
      </c>
      <c r="E6" s="2" t="s">
        <v>68</v>
      </c>
    </row>
    <row r="7" spans="1:5" x14ac:dyDescent="0.3">
      <c r="A7" s="5" t="s">
        <v>69</v>
      </c>
      <c r="B7" s="13">
        <v>241.78</v>
      </c>
      <c r="C7" s="2"/>
      <c r="D7" s="5" t="s">
        <v>52</v>
      </c>
      <c r="E7" s="2" t="s">
        <v>70</v>
      </c>
    </row>
    <row r="8" spans="1:5" x14ac:dyDescent="0.3">
      <c r="A8" s="5" t="s">
        <v>71</v>
      </c>
      <c r="B8" s="13">
        <v>180.13</v>
      </c>
      <c r="C8" s="2"/>
      <c r="D8" s="5" t="s">
        <v>52</v>
      </c>
      <c r="E8" s="2" t="s">
        <v>70</v>
      </c>
    </row>
    <row r="9" spans="1:5" x14ac:dyDescent="0.3">
      <c r="A9" s="5" t="s">
        <v>72</v>
      </c>
      <c r="B9" s="13">
        <v>31.64</v>
      </c>
      <c r="C9" s="2"/>
      <c r="D9" s="5" t="s">
        <v>52</v>
      </c>
      <c r="E9" s="2" t="s">
        <v>73</v>
      </c>
    </row>
    <row r="10" spans="1:5" x14ac:dyDescent="0.3">
      <c r="A10" s="5" t="s">
        <v>74</v>
      </c>
      <c r="B10" s="13">
        <v>27.51</v>
      </c>
      <c r="C10" s="2"/>
      <c r="D10" s="5" t="s">
        <v>52</v>
      </c>
      <c r="E10" s="2" t="s">
        <v>75</v>
      </c>
    </row>
    <row r="11" spans="1:5" x14ac:dyDescent="0.3">
      <c r="A11" s="5" t="s">
        <v>76</v>
      </c>
      <c r="B11" s="14">
        <v>3572.2280000000001</v>
      </c>
      <c r="C11" s="2"/>
      <c r="D11" s="5" t="s">
        <v>52</v>
      </c>
      <c r="E11" s="2" t="s">
        <v>77</v>
      </c>
    </row>
    <row r="12" spans="1:5" ht="14.5" x14ac:dyDescent="0.3">
      <c r="A12" s="58" t="s">
        <v>78</v>
      </c>
      <c r="B12" s="56"/>
      <c r="C12" s="56"/>
      <c r="D12" s="56"/>
      <c r="E12" s="57"/>
    </row>
    <row r="13" spans="1:5" x14ac:dyDescent="0.3">
      <c r="A13" s="5" t="s">
        <v>79</v>
      </c>
      <c r="B13" s="10">
        <v>54774</v>
      </c>
      <c r="C13" s="2" t="s">
        <v>80</v>
      </c>
      <c r="D13" s="5" t="s">
        <v>52</v>
      </c>
      <c r="E13" s="2" t="s">
        <v>81</v>
      </c>
    </row>
    <row r="14" spans="1:5" x14ac:dyDescent="0.3">
      <c r="A14" s="5" t="s">
        <v>82</v>
      </c>
      <c r="B14" s="10">
        <v>23765</v>
      </c>
      <c r="C14" s="2" t="s">
        <v>80</v>
      </c>
      <c r="D14" s="5" t="s">
        <v>52</v>
      </c>
      <c r="E14" s="2" t="s">
        <v>83</v>
      </c>
    </row>
    <row r="15" spans="1:5" x14ac:dyDescent="0.3">
      <c r="A15" s="5" t="s">
        <v>84</v>
      </c>
      <c r="B15" s="10">
        <v>3762</v>
      </c>
      <c r="C15" s="2" t="s">
        <v>80</v>
      </c>
      <c r="D15" s="5" t="s">
        <v>52</v>
      </c>
      <c r="E15" s="2" t="s">
        <v>83</v>
      </c>
    </row>
    <row r="16" spans="1:5" x14ac:dyDescent="0.3">
      <c r="A16" s="5" t="s">
        <v>85</v>
      </c>
      <c r="B16" s="10">
        <v>13703</v>
      </c>
      <c r="C16" s="2" t="s">
        <v>80</v>
      </c>
      <c r="D16" s="5" t="s">
        <v>52</v>
      </c>
      <c r="E16" s="2" t="s">
        <v>83</v>
      </c>
    </row>
    <row r="17" spans="1:5" x14ac:dyDescent="0.3">
      <c r="A17" s="5" t="s">
        <v>86</v>
      </c>
      <c r="B17" s="10">
        <v>3411</v>
      </c>
      <c r="C17" s="2" t="s">
        <v>80</v>
      </c>
      <c r="D17" s="5" t="s">
        <v>52</v>
      </c>
      <c r="E17" s="2" t="s">
        <v>87</v>
      </c>
    </row>
    <row r="18" spans="1:5" x14ac:dyDescent="0.3">
      <c r="A18" s="5" t="s">
        <v>88</v>
      </c>
      <c r="B18" s="10">
        <v>12908</v>
      </c>
      <c r="C18" s="2" t="s">
        <v>80</v>
      </c>
      <c r="D18" s="5" t="s">
        <v>52</v>
      </c>
      <c r="E18" s="2" t="s">
        <v>81</v>
      </c>
    </row>
    <row r="19" spans="1:5" x14ac:dyDescent="0.3">
      <c r="A19" s="5" t="s">
        <v>89</v>
      </c>
      <c r="B19" s="10">
        <v>8711</v>
      </c>
      <c r="C19" s="2" t="s">
        <v>80</v>
      </c>
      <c r="D19" s="5" t="s">
        <v>52</v>
      </c>
      <c r="E19" s="2" t="s">
        <v>81</v>
      </c>
    </row>
    <row r="20" spans="1:5" x14ac:dyDescent="0.3">
      <c r="A20" s="5" t="s">
        <v>90</v>
      </c>
      <c r="B20" s="10">
        <v>5042</v>
      </c>
      <c r="C20" s="2" t="s">
        <v>80</v>
      </c>
      <c r="D20" s="5" t="s">
        <v>52</v>
      </c>
      <c r="E20" s="2" t="s">
        <v>81</v>
      </c>
    </row>
    <row r="21" spans="1:5" x14ac:dyDescent="0.3">
      <c r="A21" s="5" t="s">
        <v>91</v>
      </c>
      <c r="B21" s="10">
        <v>1692</v>
      </c>
      <c r="C21" s="2" t="s">
        <v>80</v>
      </c>
      <c r="D21" s="5" t="s">
        <v>52</v>
      </c>
      <c r="E21" s="2" t="s">
        <v>81</v>
      </c>
    </row>
    <row r="22" spans="1:5" x14ac:dyDescent="0.3">
      <c r="A22" s="5" t="s">
        <v>92</v>
      </c>
      <c r="B22" s="15">
        <v>0.22700000000000001</v>
      </c>
      <c r="C22" s="2"/>
      <c r="D22" s="5" t="s">
        <v>52</v>
      </c>
      <c r="E22" s="2" t="s">
        <v>93</v>
      </c>
    </row>
    <row r="23" spans="1:5" x14ac:dyDescent="0.3">
      <c r="A23" s="5" t="s">
        <v>94</v>
      </c>
      <c r="B23" s="10">
        <v>22708</v>
      </c>
      <c r="C23" s="2" t="s">
        <v>80</v>
      </c>
      <c r="D23" s="5" t="s">
        <v>52</v>
      </c>
      <c r="E23" s="2" t="s">
        <v>95</v>
      </c>
    </row>
    <row r="24" spans="1:5" x14ac:dyDescent="0.3">
      <c r="A24" s="5" t="s">
        <v>96</v>
      </c>
      <c r="B24" s="10">
        <v>5004</v>
      </c>
      <c r="C24" s="2" t="s">
        <v>80</v>
      </c>
      <c r="D24" s="5" t="s">
        <v>52</v>
      </c>
      <c r="E24" s="2" t="s">
        <v>97</v>
      </c>
    </row>
    <row r="25" spans="1:5" x14ac:dyDescent="0.3">
      <c r="A25" s="5" t="s">
        <v>98</v>
      </c>
      <c r="B25" s="10">
        <v>4812</v>
      </c>
      <c r="C25" s="2" t="s">
        <v>80</v>
      </c>
      <c r="D25" s="5" t="s">
        <v>52</v>
      </c>
      <c r="E25" s="2" t="s">
        <v>99</v>
      </c>
    </row>
    <row r="26" spans="1:5" x14ac:dyDescent="0.3">
      <c r="A26" s="5" t="s">
        <v>100</v>
      </c>
      <c r="B26" s="10">
        <v>5637</v>
      </c>
      <c r="C26" s="2" t="s">
        <v>80</v>
      </c>
      <c r="D26" s="5" t="s">
        <v>52</v>
      </c>
      <c r="E26" s="2" t="s">
        <v>101</v>
      </c>
    </row>
    <row r="27" spans="1:5" x14ac:dyDescent="0.3">
      <c r="A27" s="5" t="s">
        <v>102</v>
      </c>
      <c r="B27" s="10">
        <v>5763</v>
      </c>
      <c r="C27" s="2" t="s">
        <v>80</v>
      </c>
      <c r="D27" s="5" t="s">
        <v>52</v>
      </c>
      <c r="E27" s="2" t="s">
        <v>101</v>
      </c>
    </row>
    <row r="28" spans="1:5" x14ac:dyDescent="0.3">
      <c r="A28" s="5" t="s">
        <v>103</v>
      </c>
      <c r="B28" s="10">
        <v>5852</v>
      </c>
      <c r="C28" s="2" t="s">
        <v>80</v>
      </c>
      <c r="D28" s="5" t="s">
        <v>52</v>
      </c>
      <c r="E28" s="2" t="s">
        <v>101</v>
      </c>
    </row>
    <row r="29" spans="1:5" x14ac:dyDescent="0.3">
      <c r="A29" s="5" t="s">
        <v>104</v>
      </c>
      <c r="B29" s="10">
        <v>1052</v>
      </c>
      <c r="C29" s="2" t="s">
        <v>80</v>
      </c>
      <c r="D29" s="5" t="s">
        <v>52</v>
      </c>
      <c r="E29" s="2" t="s">
        <v>101</v>
      </c>
    </row>
    <row r="30" spans="1:5" x14ac:dyDescent="0.3">
      <c r="A30" s="5" t="s">
        <v>105</v>
      </c>
      <c r="B30" s="10">
        <v>8822</v>
      </c>
      <c r="C30" s="2" t="s">
        <v>80</v>
      </c>
      <c r="D30" s="5" t="s">
        <v>52</v>
      </c>
      <c r="E30" s="2" t="s">
        <v>106</v>
      </c>
    </row>
    <row r="31" spans="1:5" x14ac:dyDescent="0.3">
      <c r="A31" s="5" t="s">
        <v>107</v>
      </c>
      <c r="B31" s="10">
        <v>6704</v>
      </c>
      <c r="C31" s="2" t="s">
        <v>80</v>
      </c>
      <c r="D31" s="5" t="s">
        <v>52</v>
      </c>
      <c r="E31" s="2" t="s">
        <v>108</v>
      </c>
    </row>
    <row r="32" spans="1:5" x14ac:dyDescent="0.3">
      <c r="A32" s="5" t="s">
        <v>109</v>
      </c>
      <c r="B32" s="10">
        <v>5165</v>
      </c>
      <c r="C32" s="2" t="s">
        <v>80</v>
      </c>
      <c r="D32" s="5" t="s">
        <v>52</v>
      </c>
      <c r="E32" s="2" t="s">
        <v>110</v>
      </c>
    </row>
    <row r="33" spans="1:5" x14ac:dyDescent="0.3">
      <c r="A33" s="5" t="s">
        <v>111</v>
      </c>
      <c r="B33" s="10">
        <v>3115</v>
      </c>
      <c r="C33" s="2" t="s">
        <v>80</v>
      </c>
      <c r="D33" s="5" t="s">
        <v>52</v>
      </c>
      <c r="E33" s="2" t="s">
        <v>81</v>
      </c>
    </row>
    <row r="34" spans="1:5" x14ac:dyDescent="0.3">
      <c r="A34" s="5" t="s">
        <v>112</v>
      </c>
      <c r="B34" s="10">
        <v>3782</v>
      </c>
      <c r="C34" s="2" t="s">
        <v>80</v>
      </c>
      <c r="D34" s="5" t="s">
        <v>52</v>
      </c>
      <c r="E34" s="2" t="s">
        <v>81</v>
      </c>
    </row>
    <row r="35" spans="1:5" x14ac:dyDescent="0.3">
      <c r="A35" s="5" t="s">
        <v>113</v>
      </c>
      <c r="B35" s="10">
        <v>4459</v>
      </c>
      <c r="C35" s="2" t="s">
        <v>80</v>
      </c>
      <c r="D35" s="5" t="s">
        <v>52</v>
      </c>
      <c r="E35" s="2" t="s">
        <v>81</v>
      </c>
    </row>
    <row r="36" spans="1:5" x14ac:dyDescent="0.3">
      <c r="A36" s="5" t="s">
        <v>114</v>
      </c>
      <c r="B36" s="10">
        <v>11659</v>
      </c>
      <c r="C36" s="2" t="s">
        <v>80</v>
      </c>
      <c r="D36" s="5" t="s">
        <v>52</v>
      </c>
      <c r="E36" s="2" t="s">
        <v>115</v>
      </c>
    </row>
    <row r="37" spans="1:5" x14ac:dyDescent="0.3">
      <c r="A37" s="5" t="s">
        <v>116</v>
      </c>
      <c r="B37" s="10">
        <v>2260</v>
      </c>
      <c r="C37" s="2" t="s">
        <v>80</v>
      </c>
      <c r="D37" s="5" t="s">
        <v>52</v>
      </c>
      <c r="E37" s="2" t="s">
        <v>81</v>
      </c>
    </row>
    <row r="38" spans="1:5" x14ac:dyDescent="0.3">
      <c r="A38" s="5" t="s">
        <v>117</v>
      </c>
      <c r="B38" s="10">
        <v>267</v>
      </c>
      <c r="C38" s="2" t="s">
        <v>80</v>
      </c>
      <c r="D38" s="5" t="s">
        <v>52</v>
      </c>
      <c r="E38" s="2" t="s">
        <v>81</v>
      </c>
    </row>
    <row r="39" spans="1:5" x14ac:dyDescent="0.3">
      <c r="A39" s="5" t="s">
        <v>118</v>
      </c>
      <c r="B39" s="10">
        <v>11400</v>
      </c>
      <c r="C39" s="2" t="s">
        <v>80</v>
      </c>
      <c r="D39" s="5" t="s">
        <v>52</v>
      </c>
      <c r="E39" s="2" t="s">
        <v>101</v>
      </c>
    </row>
    <row r="40" spans="1:5" ht="14.5" x14ac:dyDescent="0.3">
      <c r="A40" s="58" t="s">
        <v>119</v>
      </c>
      <c r="B40" s="56"/>
      <c r="C40" s="56"/>
      <c r="D40" s="56"/>
      <c r="E40" s="57"/>
    </row>
    <row r="41" spans="1:5" x14ac:dyDescent="0.3">
      <c r="A41" s="5" t="s">
        <v>120</v>
      </c>
      <c r="B41" s="10">
        <v>517</v>
      </c>
      <c r="C41" s="2" t="s">
        <v>80</v>
      </c>
      <c r="D41" s="5" t="s">
        <v>52</v>
      </c>
      <c r="E41" s="2" t="s">
        <v>101</v>
      </c>
    </row>
    <row r="42" spans="1:5" x14ac:dyDescent="0.3">
      <c r="A42" s="5" t="s">
        <v>121</v>
      </c>
      <c r="B42" s="10">
        <v>94414</v>
      </c>
      <c r="C42" s="2" t="s">
        <v>80</v>
      </c>
      <c r="D42" s="5" t="s">
        <v>52</v>
      </c>
      <c r="E42" s="2" t="s">
        <v>122</v>
      </c>
    </row>
    <row r="43" spans="1:5" x14ac:dyDescent="0.3">
      <c r="A43" s="5" t="s">
        <v>123</v>
      </c>
      <c r="B43" s="10">
        <v>1596</v>
      </c>
      <c r="C43" s="2" t="s">
        <v>80</v>
      </c>
      <c r="D43" s="5" t="s">
        <v>52</v>
      </c>
      <c r="E43" s="2" t="s">
        <v>124</v>
      </c>
    </row>
    <row r="44" spans="1:5" x14ac:dyDescent="0.3">
      <c r="A44" s="5" t="s">
        <v>125</v>
      </c>
      <c r="B44" s="10">
        <v>4685</v>
      </c>
      <c r="C44" s="2" t="s">
        <v>80</v>
      </c>
      <c r="D44" s="5" t="s">
        <v>52</v>
      </c>
      <c r="E44" s="2" t="s">
        <v>101</v>
      </c>
    </row>
    <row r="45" spans="1:5" x14ac:dyDescent="0.3">
      <c r="A45" s="5" t="s">
        <v>126</v>
      </c>
      <c r="B45" s="10">
        <v>16385</v>
      </c>
      <c r="C45" s="2" t="s">
        <v>80</v>
      </c>
      <c r="D45" s="5" t="s">
        <v>52</v>
      </c>
      <c r="E45" s="2" t="s">
        <v>101</v>
      </c>
    </row>
    <row r="46" spans="1:5" x14ac:dyDescent="0.3">
      <c r="A46" s="5" t="s">
        <v>127</v>
      </c>
      <c r="B46" s="16">
        <v>93897</v>
      </c>
      <c r="C46" s="2" t="s">
        <v>80</v>
      </c>
      <c r="D46" s="8" t="s">
        <v>54</v>
      </c>
      <c r="E46" s="2" t="s">
        <v>128</v>
      </c>
    </row>
    <row r="47" spans="1:5" x14ac:dyDescent="0.3">
      <c r="A47" s="5" t="s">
        <v>129</v>
      </c>
      <c r="B47" s="16">
        <v>95493</v>
      </c>
      <c r="C47" s="2" t="s">
        <v>80</v>
      </c>
      <c r="D47" s="8" t="s">
        <v>54</v>
      </c>
      <c r="E47" s="2" t="s">
        <v>130</v>
      </c>
    </row>
    <row r="48" spans="1:5" x14ac:dyDescent="0.3">
      <c r="A48" s="5" t="s">
        <v>131</v>
      </c>
      <c r="B48" s="13">
        <v>4.1500000000000004</v>
      </c>
      <c r="C48" s="2"/>
      <c r="D48" s="5" t="s">
        <v>52</v>
      </c>
      <c r="E48" s="2" t="s">
        <v>63</v>
      </c>
    </row>
    <row r="49" spans="1:5" x14ac:dyDescent="0.3">
      <c r="A49" s="5" t="s">
        <v>132</v>
      </c>
      <c r="B49" s="13">
        <v>3.5</v>
      </c>
      <c r="C49" s="2"/>
      <c r="D49" s="5" t="s">
        <v>52</v>
      </c>
      <c r="E49" s="2" t="s">
        <v>133</v>
      </c>
    </row>
    <row r="50" spans="1:5" x14ac:dyDescent="0.3">
      <c r="A50" s="5" t="s">
        <v>134</v>
      </c>
      <c r="B50" s="13">
        <v>4.5</v>
      </c>
      <c r="C50" s="2"/>
      <c r="D50" s="5" t="s">
        <v>52</v>
      </c>
      <c r="E50" s="2" t="s">
        <v>135</v>
      </c>
    </row>
    <row r="51" spans="1:5" x14ac:dyDescent="0.3">
      <c r="A51" s="5" t="s">
        <v>136</v>
      </c>
      <c r="B51" s="15">
        <v>5.0999999999999997E-2</v>
      </c>
      <c r="C51" s="2"/>
      <c r="D51" s="5" t="s">
        <v>52</v>
      </c>
      <c r="E51" s="2" t="s">
        <v>137</v>
      </c>
    </row>
    <row r="52" spans="1:5" ht="14.5" x14ac:dyDescent="0.3">
      <c r="A52" s="58" t="s">
        <v>138</v>
      </c>
      <c r="B52" s="56"/>
      <c r="C52" s="56"/>
      <c r="D52" s="56"/>
      <c r="E52" s="57"/>
    </row>
    <row r="53" spans="1:5" x14ac:dyDescent="0.3">
      <c r="A53" s="5" t="s">
        <v>139</v>
      </c>
      <c r="B53" s="10">
        <v>29680</v>
      </c>
      <c r="C53" s="2" t="s">
        <v>80</v>
      </c>
      <c r="D53" s="5" t="s">
        <v>52</v>
      </c>
      <c r="E53" s="2" t="s">
        <v>140</v>
      </c>
    </row>
    <row r="54" spans="1:5" x14ac:dyDescent="0.3">
      <c r="A54" s="5" t="s">
        <v>141</v>
      </c>
      <c r="B54" s="10">
        <v>29560</v>
      </c>
      <c r="C54" s="2" t="s">
        <v>80</v>
      </c>
      <c r="D54" s="5" t="s">
        <v>52</v>
      </c>
      <c r="E54" s="2" t="s">
        <v>101</v>
      </c>
    </row>
    <row r="55" spans="1:5" x14ac:dyDescent="0.3">
      <c r="A55" s="5" t="s">
        <v>142</v>
      </c>
      <c r="B55" s="11">
        <v>29388</v>
      </c>
      <c r="C55" s="2" t="s">
        <v>80</v>
      </c>
      <c r="D55" s="12" t="s">
        <v>67</v>
      </c>
      <c r="E55" s="2" t="s">
        <v>143</v>
      </c>
    </row>
    <row r="56" spans="1:5" x14ac:dyDescent="0.3">
      <c r="A56" s="5" t="s">
        <v>144</v>
      </c>
      <c r="B56" s="10">
        <v>11766</v>
      </c>
      <c r="C56" s="2" t="s">
        <v>80</v>
      </c>
      <c r="D56" s="5" t="s">
        <v>52</v>
      </c>
      <c r="E56" s="2" t="s">
        <v>145</v>
      </c>
    </row>
    <row r="57" spans="1:5" x14ac:dyDescent="0.3">
      <c r="A57" s="5" t="s">
        <v>146</v>
      </c>
      <c r="B57" s="10">
        <v>12134</v>
      </c>
      <c r="C57" s="2" t="s">
        <v>80</v>
      </c>
      <c r="D57" s="5" t="s">
        <v>52</v>
      </c>
      <c r="E57" s="2" t="s">
        <v>101</v>
      </c>
    </row>
    <row r="58" spans="1:5" x14ac:dyDescent="0.3">
      <c r="A58" s="5" t="s">
        <v>147</v>
      </c>
      <c r="B58" s="10">
        <v>-380</v>
      </c>
      <c r="C58" s="2" t="s">
        <v>80</v>
      </c>
      <c r="D58" s="5" t="s">
        <v>52</v>
      </c>
      <c r="E58" s="2" t="s">
        <v>148</v>
      </c>
    </row>
    <row r="59" spans="1:5" x14ac:dyDescent="0.3">
      <c r="A59" s="5" t="s">
        <v>149</v>
      </c>
      <c r="B59" s="10">
        <v>785</v>
      </c>
      <c r="C59" s="2" t="s">
        <v>80</v>
      </c>
      <c r="D59" s="5" t="s">
        <v>52</v>
      </c>
      <c r="E59" s="2" t="s">
        <v>150</v>
      </c>
    </row>
    <row r="60" spans="1:5" ht="14.5" x14ac:dyDescent="0.3">
      <c r="A60" s="58" t="s">
        <v>151</v>
      </c>
      <c r="B60" s="56"/>
      <c r="C60" s="56"/>
      <c r="D60" s="56"/>
      <c r="E60" s="57"/>
    </row>
    <row r="61" spans="1:5" x14ac:dyDescent="0.3">
      <c r="A61" s="5" t="s">
        <v>152</v>
      </c>
      <c r="B61" s="17">
        <v>4.2999999999999997E-2</v>
      </c>
      <c r="C61" s="2"/>
      <c r="D61" s="7" t="s">
        <v>53</v>
      </c>
      <c r="E61" s="2" t="s">
        <v>153</v>
      </c>
    </row>
    <row r="62" spans="1:5" x14ac:dyDescent="0.3">
      <c r="A62" s="5" t="s">
        <v>154</v>
      </c>
      <c r="B62" s="17">
        <v>0.05</v>
      </c>
      <c r="C62" s="2"/>
      <c r="D62" s="7" t="s">
        <v>53</v>
      </c>
      <c r="E62" s="2" t="s">
        <v>155</v>
      </c>
    </row>
    <row r="63" spans="1:5" x14ac:dyDescent="0.3">
      <c r="A63" s="5" t="s">
        <v>156</v>
      </c>
      <c r="B63" s="18">
        <v>1.05</v>
      </c>
      <c r="C63" s="2"/>
      <c r="D63" s="7" t="s">
        <v>53</v>
      </c>
      <c r="E63" s="2" t="s">
        <v>157</v>
      </c>
    </row>
    <row r="64" spans="1:5" x14ac:dyDescent="0.3">
      <c r="A64" s="5" t="s">
        <v>158</v>
      </c>
      <c r="B64" s="19">
        <v>9.5500000000000002E-2</v>
      </c>
      <c r="C64" s="2"/>
      <c r="D64" s="8" t="s">
        <v>54</v>
      </c>
      <c r="E64" s="2" t="s">
        <v>159</v>
      </c>
    </row>
    <row r="65" spans="1:5" x14ac:dyDescent="0.3">
      <c r="A65" s="5" t="s">
        <v>160</v>
      </c>
      <c r="B65" s="15">
        <v>5.0999999999999997E-2</v>
      </c>
      <c r="C65" s="2"/>
      <c r="D65" s="5" t="s">
        <v>52</v>
      </c>
      <c r="E65" s="2" t="s">
        <v>161</v>
      </c>
    </row>
    <row r="66" spans="1:5" x14ac:dyDescent="0.3">
      <c r="A66" s="5" t="s">
        <v>162</v>
      </c>
      <c r="B66" s="20">
        <v>6.5</v>
      </c>
      <c r="C66" s="2"/>
      <c r="D66" s="7" t="s">
        <v>53</v>
      </c>
      <c r="E66" s="2" t="s">
        <v>163</v>
      </c>
    </row>
    <row r="67" spans="1:5" x14ac:dyDescent="0.3">
      <c r="A67" s="5" t="s">
        <v>164</v>
      </c>
      <c r="B67" s="13">
        <v>3.5</v>
      </c>
      <c r="C67" s="2"/>
      <c r="D67" s="5" t="s">
        <v>52</v>
      </c>
      <c r="E67" s="2" t="s">
        <v>165</v>
      </c>
    </row>
    <row r="68" spans="1:5" x14ac:dyDescent="0.3">
      <c r="A68" s="5" t="s">
        <v>166</v>
      </c>
      <c r="B68" s="19">
        <v>6.53046923076923E-2</v>
      </c>
      <c r="C68" s="2"/>
      <c r="D68" s="8" t="s">
        <v>54</v>
      </c>
      <c r="E68" s="2" t="s">
        <v>167</v>
      </c>
    </row>
    <row r="69" spans="1:5" x14ac:dyDescent="0.3">
      <c r="A69" s="5" t="s">
        <v>168</v>
      </c>
      <c r="B69" s="19">
        <v>5.4465267140461099E-2</v>
      </c>
      <c r="C69" s="2"/>
      <c r="D69" s="8" t="s">
        <v>54</v>
      </c>
      <c r="E69" s="2" t="s">
        <v>169</v>
      </c>
    </row>
    <row r="70" spans="1:5" x14ac:dyDescent="0.3">
      <c r="A70" s="5" t="s">
        <v>170</v>
      </c>
      <c r="B70" s="17">
        <v>0</v>
      </c>
      <c r="C70" s="2"/>
      <c r="D70" s="7" t="s">
        <v>53</v>
      </c>
      <c r="E70" s="2" t="s">
        <v>171</v>
      </c>
    </row>
    <row r="71" spans="1:5" x14ac:dyDescent="0.3">
      <c r="A71" s="5" t="s">
        <v>172</v>
      </c>
      <c r="B71" s="17">
        <v>0.12</v>
      </c>
      <c r="C71" s="2"/>
      <c r="D71" s="7" t="s">
        <v>53</v>
      </c>
      <c r="E71" s="2" t="s">
        <v>173</v>
      </c>
    </row>
    <row r="72" spans="1:5" ht="14.5" x14ac:dyDescent="0.3">
      <c r="A72" s="58" t="s">
        <v>174</v>
      </c>
      <c r="B72" s="56"/>
      <c r="C72" s="56"/>
      <c r="D72" s="56"/>
      <c r="E72" s="57"/>
    </row>
    <row r="73" spans="1:5" x14ac:dyDescent="0.3">
      <c r="A73" s="5" t="s">
        <v>175</v>
      </c>
      <c r="B73" s="17">
        <v>0.6</v>
      </c>
      <c r="C73" s="2"/>
      <c r="D73" s="7" t="s">
        <v>53</v>
      </c>
      <c r="E73" s="2" t="s">
        <v>176</v>
      </c>
    </row>
    <row r="74" spans="1:5" x14ac:dyDescent="0.3">
      <c r="A74" s="5" t="s">
        <v>177</v>
      </c>
      <c r="B74" s="21">
        <v>2200</v>
      </c>
      <c r="C74" s="2" t="s">
        <v>80</v>
      </c>
      <c r="D74" s="7" t="s">
        <v>53</v>
      </c>
      <c r="E74" s="2" t="s">
        <v>178</v>
      </c>
    </row>
    <row r="75" spans="1:5" x14ac:dyDescent="0.3">
      <c r="A75" s="5" t="s">
        <v>179</v>
      </c>
      <c r="B75" s="17">
        <v>0</v>
      </c>
      <c r="C75" s="2"/>
      <c r="D75" s="7" t="s">
        <v>53</v>
      </c>
      <c r="E75" s="2" t="s">
        <v>180</v>
      </c>
    </row>
    <row r="76" spans="1:5" x14ac:dyDescent="0.3">
      <c r="A76" s="5" t="s">
        <v>181</v>
      </c>
      <c r="B76" s="17">
        <v>1.4999999999999999E-2</v>
      </c>
      <c r="C76" s="2"/>
      <c r="D76" s="7" t="s">
        <v>53</v>
      </c>
      <c r="E76" s="2" t="s">
        <v>182</v>
      </c>
    </row>
    <row r="77" spans="1:5" x14ac:dyDescent="0.3">
      <c r="A77" s="5" t="s">
        <v>183</v>
      </c>
      <c r="B77" s="17">
        <v>0.02</v>
      </c>
      <c r="C77" s="2"/>
      <c r="D77" s="7" t="s">
        <v>53</v>
      </c>
      <c r="E77" s="2" t="s">
        <v>184</v>
      </c>
    </row>
    <row r="78" spans="1:5" x14ac:dyDescent="0.3">
      <c r="A78" s="5" t="s">
        <v>185</v>
      </c>
      <c r="B78" s="17">
        <v>0.4</v>
      </c>
      <c r="C78" s="2"/>
      <c r="D78" s="7" t="s">
        <v>53</v>
      </c>
      <c r="E78" s="2" t="s">
        <v>186</v>
      </c>
    </row>
    <row r="79" spans="1:5" x14ac:dyDescent="0.3">
      <c r="A79" s="5" t="s">
        <v>187</v>
      </c>
      <c r="B79" s="17">
        <v>0.2</v>
      </c>
      <c r="C79" s="2"/>
      <c r="D79" s="7" t="s">
        <v>53</v>
      </c>
      <c r="E79" s="2" t="s">
        <v>186</v>
      </c>
    </row>
    <row r="80" spans="1:5" x14ac:dyDescent="0.3">
      <c r="A80" s="5" t="s">
        <v>188</v>
      </c>
      <c r="B80" s="17">
        <v>0.7</v>
      </c>
      <c r="C80" s="2"/>
      <c r="D80" s="7" t="s">
        <v>53</v>
      </c>
      <c r="E80" s="2" t="s">
        <v>189</v>
      </c>
    </row>
    <row r="81" spans="1:5" x14ac:dyDescent="0.3">
      <c r="A81" s="5" t="s">
        <v>190</v>
      </c>
      <c r="B81" s="17">
        <v>0.08</v>
      </c>
      <c r="C81" s="2"/>
      <c r="D81" s="7" t="s">
        <v>53</v>
      </c>
      <c r="E81" s="2" t="s">
        <v>191</v>
      </c>
    </row>
    <row r="82" spans="1:5" x14ac:dyDescent="0.3">
      <c r="A82" s="5" t="s">
        <v>192</v>
      </c>
      <c r="B82" s="7" t="s">
        <v>193</v>
      </c>
      <c r="C82" s="2" t="s">
        <v>194</v>
      </c>
      <c r="D82" s="7" t="s">
        <v>53</v>
      </c>
      <c r="E82" s="2" t="s">
        <v>195</v>
      </c>
    </row>
    <row r="83" spans="1:5" ht="14.5" x14ac:dyDescent="0.3">
      <c r="A83" s="58" t="s">
        <v>196</v>
      </c>
      <c r="B83" s="56"/>
      <c r="C83" s="56"/>
      <c r="D83" s="56"/>
      <c r="E83" s="57"/>
    </row>
    <row r="84" spans="1:5" x14ac:dyDescent="0.3">
      <c r="A84" s="5" t="s">
        <v>197</v>
      </c>
      <c r="B84" s="16">
        <v>697.21566855746869</v>
      </c>
      <c r="C84" s="2" t="s">
        <v>80</v>
      </c>
      <c r="D84" s="8" t="s">
        <v>54</v>
      </c>
      <c r="E84" s="2" t="s">
        <v>198</v>
      </c>
    </row>
    <row r="85" spans="1:5" x14ac:dyDescent="0.3">
      <c r="A85" s="5" t="s">
        <v>199</v>
      </c>
      <c r="B85" s="21">
        <v>10500</v>
      </c>
      <c r="C85" s="2" t="s">
        <v>80</v>
      </c>
      <c r="D85" s="7" t="s">
        <v>53</v>
      </c>
      <c r="E85" s="2" t="s">
        <v>200</v>
      </c>
    </row>
    <row r="86" spans="1:5" x14ac:dyDescent="0.3">
      <c r="A86" s="5" t="s">
        <v>201</v>
      </c>
      <c r="B86" s="21">
        <v>8500</v>
      </c>
      <c r="C86" s="2" t="s">
        <v>80</v>
      </c>
      <c r="D86" s="7" t="s">
        <v>53</v>
      </c>
      <c r="E86" s="2" t="s">
        <v>202</v>
      </c>
    </row>
    <row r="87" spans="1:5" x14ac:dyDescent="0.3">
      <c r="A87" s="5" t="s">
        <v>203</v>
      </c>
      <c r="B87" s="21">
        <v>2000</v>
      </c>
      <c r="C87" s="2" t="s">
        <v>80</v>
      </c>
      <c r="D87" s="7" t="s">
        <v>53</v>
      </c>
      <c r="E87" s="2" t="s">
        <v>204</v>
      </c>
    </row>
    <row r="88" spans="1:5" x14ac:dyDescent="0.3">
      <c r="A88" s="5" t="s">
        <v>205</v>
      </c>
      <c r="B88" s="17">
        <v>0.8</v>
      </c>
      <c r="C88" s="2"/>
      <c r="D88" s="7" t="s">
        <v>53</v>
      </c>
      <c r="E88" s="2" t="s">
        <v>206</v>
      </c>
    </row>
    <row r="89" spans="1:5" x14ac:dyDescent="0.3">
      <c r="A89" s="5" t="s">
        <v>207</v>
      </c>
      <c r="B89" s="21">
        <v>8000</v>
      </c>
      <c r="C89" s="2" t="s">
        <v>80</v>
      </c>
      <c r="D89" s="7" t="s">
        <v>53</v>
      </c>
      <c r="E89" s="2" t="s">
        <v>208</v>
      </c>
    </row>
    <row r="90" spans="1:5" x14ac:dyDescent="0.3">
      <c r="A90" s="5" t="s">
        <v>209</v>
      </c>
      <c r="B90" s="17">
        <v>0.5</v>
      </c>
      <c r="C90" s="2"/>
      <c r="D90" s="7" t="s">
        <v>53</v>
      </c>
      <c r="E90" s="2" t="s">
        <v>210</v>
      </c>
    </row>
    <row r="91" spans="1:5" x14ac:dyDescent="0.3">
      <c r="A91" s="5" t="s">
        <v>211</v>
      </c>
      <c r="B91" s="11">
        <v>4200</v>
      </c>
      <c r="C91" s="2" t="s">
        <v>80</v>
      </c>
      <c r="D91" s="12" t="s">
        <v>67</v>
      </c>
      <c r="E91" s="2" t="s">
        <v>212</v>
      </c>
    </row>
    <row r="92" spans="1:5" x14ac:dyDescent="0.3">
      <c r="A92" s="5" t="s">
        <v>213</v>
      </c>
      <c r="B92" s="11">
        <v>12400</v>
      </c>
      <c r="C92" s="2" t="s">
        <v>80</v>
      </c>
      <c r="D92" s="12" t="s">
        <v>67</v>
      </c>
      <c r="E92" s="2" t="s">
        <v>214</v>
      </c>
    </row>
    <row r="93" spans="1:5" x14ac:dyDescent="0.3">
      <c r="A93" s="5" t="s">
        <v>215</v>
      </c>
      <c r="B93" s="10">
        <v>5400</v>
      </c>
      <c r="C93" s="2" t="s">
        <v>80</v>
      </c>
      <c r="D93" s="5" t="s">
        <v>52</v>
      </c>
      <c r="E93" s="2" t="s">
        <v>216</v>
      </c>
    </row>
    <row r="94" spans="1:5" x14ac:dyDescent="0.3">
      <c r="A94" s="5" t="s">
        <v>217</v>
      </c>
      <c r="B94" s="11">
        <v>365</v>
      </c>
      <c r="C94" s="2" t="s">
        <v>80</v>
      </c>
      <c r="D94" s="12" t="s">
        <v>67</v>
      </c>
      <c r="E94" s="2" t="s">
        <v>218</v>
      </c>
    </row>
    <row r="95" spans="1:5" x14ac:dyDescent="0.3">
      <c r="A95" s="1"/>
      <c r="B95" s="1"/>
      <c r="C95" s="1"/>
      <c r="D95" s="1"/>
      <c r="E95" s="1"/>
    </row>
    <row r="96" spans="1:5" ht="14.5" x14ac:dyDescent="0.3">
      <c r="A96" s="58" t="s">
        <v>219</v>
      </c>
      <c r="B96" s="56"/>
      <c r="C96" s="56"/>
      <c r="D96" s="56"/>
      <c r="E96" s="57"/>
    </row>
    <row r="97" spans="1:5" ht="28" customHeight="1" x14ac:dyDescent="0.3">
      <c r="A97" s="4" t="s">
        <v>220</v>
      </c>
      <c r="B97" s="4" t="s">
        <v>57</v>
      </c>
      <c r="C97" s="4" t="s">
        <v>58</v>
      </c>
      <c r="D97" s="4" t="s">
        <v>59</v>
      </c>
      <c r="E97" s="4" t="s">
        <v>221</v>
      </c>
    </row>
    <row r="98" spans="1:5" x14ac:dyDescent="0.3">
      <c r="A98" s="5" t="s">
        <v>222</v>
      </c>
      <c r="B98" s="22">
        <v>29735.201114079999</v>
      </c>
      <c r="C98" s="2" t="s">
        <v>80</v>
      </c>
      <c r="D98" s="8" t="s">
        <v>54</v>
      </c>
      <c r="E98" s="2" t="s">
        <v>223</v>
      </c>
    </row>
    <row r="99" spans="1:5" x14ac:dyDescent="0.3">
      <c r="A99" s="5" t="s">
        <v>224</v>
      </c>
      <c r="B99" s="22">
        <v>22153.20446968</v>
      </c>
      <c r="C99" s="2" t="s">
        <v>80</v>
      </c>
      <c r="D99" s="8" t="s">
        <v>54</v>
      </c>
      <c r="E99" s="2" t="s">
        <v>225</v>
      </c>
    </row>
    <row r="100" spans="1:5" x14ac:dyDescent="0.3">
      <c r="A100" s="5" t="s">
        <v>226</v>
      </c>
      <c r="B100" s="22">
        <v>128317.20111408</v>
      </c>
      <c r="C100" s="2" t="s">
        <v>80</v>
      </c>
      <c r="D100" s="8" t="s">
        <v>54</v>
      </c>
      <c r="E100" s="2" t="s">
        <v>227</v>
      </c>
    </row>
    <row r="101" spans="1:5" x14ac:dyDescent="0.3">
      <c r="A101" s="5" t="s">
        <v>228</v>
      </c>
      <c r="B101" s="22">
        <v>120735.20446968</v>
      </c>
      <c r="C101" s="2" t="s">
        <v>80</v>
      </c>
      <c r="D101" s="8" t="s">
        <v>54</v>
      </c>
      <c r="E101" s="2" t="s">
        <v>227</v>
      </c>
    </row>
    <row r="102" spans="1:5" x14ac:dyDescent="0.3">
      <c r="A102" s="5" t="s">
        <v>229</v>
      </c>
      <c r="B102" s="16">
        <v>22582</v>
      </c>
      <c r="C102" s="2" t="s">
        <v>80</v>
      </c>
      <c r="D102" s="8" t="s">
        <v>54</v>
      </c>
      <c r="E102" s="2" t="s">
        <v>230</v>
      </c>
    </row>
    <row r="103" spans="1:5" x14ac:dyDescent="0.3">
      <c r="A103" s="5" t="s">
        <v>231</v>
      </c>
      <c r="B103" s="16">
        <v>116245</v>
      </c>
      <c r="C103" s="2" t="s">
        <v>80</v>
      </c>
      <c r="D103" s="8" t="s">
        <v>54</v>
      </c>
      <c r="E103" s="2" t="s">
        <v>232</v>
      </c>
    </row>
    <row r="104" spans="1:5" x14ac:dyDescent="0.3">
      <c r="A104" s="5" t="s">
        <v>233</v>
      </c>
      <c r="B104" s="16">
        <v>9977.884</v>
      </c>
      <c r="C104" s="2" t="s">
        <v>80</v>
      </c>
      <c r="D104" s="8" t="s">
        <v>54</v>
      </c>
      <c r="E104" s="2" t="s">
        <v>234</v>
      </c>
    </row>
    <row r="105" spans="1:5" x14ac:dyDescent="0.3">
      <c r="A105" s="5" t="s">
        <v>235</v>
      </c>
      <c r="B105" s="19">
        <v>8.5834952040948001E-2</v>
      </c>
      <c r="C105" s="2" t="s">
        <v>236</v>
      </c>
      <c r="D105" s="8" t="s">
        <v>54</v>
      </c>
      <c r="E105" s="2" t="s">
        <v>237</v>
      </c>
    </row>
    <row r="106" spans="1:5" x14ac:dyDescent="0.3">
      <c r="A106" s="5" t="s">
        <v>238</v>
      </c>
      <c r="B106" s="23">
        <v>6.6275677816263132E-2</v>
      </c>
      <c r="C106" s="2" t="s">
        <v>239</v>
      </c>
      <c r="D106" s="8" t="s">
        <v>54</v>
      </c>
      <c r="E106" s="2" t="s">
        <v>240</v>
      </c>
    </row>
    <row r="107" spans="1:5" x14ac:dyDescent="0.3">
      <c r="A107" s="5" t="s">
        <v>241</v>
      </c>
      <c r="B107" s="23">
        <v>2.899556048834628E-2</v>
      </c>
      <c r="C107" s="2" t="s">
        <v>242</v>
      </c>
      <c r="D107" s="8" t="s">
        <v>54</v>
      </c>
      <c r="E107" s="2" t="s">
        <v>243</v>
      </c>
    </row>
    <row r="108" spans="1:5" x14ac:dyDescent="0.3">
      <c r="A108" s="5" t="s">
        <v>244</v>
      </c>
      <c r="B108" s="16">
        <v>8901.4660000000003</v>
      </c>
      <c r="C108" s="2" t="s">
        <v>80</v>
      </c>
      <c r="D108" s="8" t="s">
        <v>54</v>
      </c>
      <c r="E108" s="2" t="s">
        <v>245</v>
      </c>
    </row>
    <row r="109" spans="1:5" x14ac:dyDescent="0.3">
      <c r="A109" s="5" t="s">
        <v>246</v>
      </c>
      <c r="B109" s="19">
        <v>6.53046923076923E-2</v>
      </c>
      <c r="C109" s="2" t="s">
        <v>236</v>
      </c>
      <c r="D109" s="8" t="s">
        <v>54</v>
      </c>
      <c r="E109" s="2" t="s">
        <v>247</v>
      </c>
    </row>
  </sheetData>
  <mergeCells count="9">
    <mergeCell ref="A1:E1"/>
    <mergeCell ref="A40:E40"/>
    <mergeCell ref="A3:E3"/>
    <mergeCell ref="A83:E83"/>
    <mergeCell ref="A12:E12"/>
    <mergeCell ref="A96:E96"/>
    <mergeCell ref="A72:E72"/>
    <mergeCell ref="A52:E52"/>
    <mergeCell ref="A60:E60"/>
  </mergeCells>
  <pageMargins left="0.75" right="0.75" top="1" bottom="1" header="0.5" footer="0.5"/>
  <pageSetup paperSize="3"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1F4E79"/>
    <pageSetUpPr fitToPage="1"/>
  </sheetPr>
  <dimension ref="A1:L34"/>
  <sheetViews>
    <sheetView showGridLines="0" workbookViewId="0">
      <pane ySplit="1" topLeftCell="A2" activePane="bottomLeft" state="frozen"/>
      <selection pane="bottomLeft"/>
    </sheetView>
  </sheetViews>
  <sheetFormatPr defaultRowHeight="13" x14ac:dyDescent="0.3"/>
  <cols>
    <col min="1" max="1" width="14" customWidth="1"/>
    <col min="2" max="11" width="16" customWidth="1"/>
    <col min="12" max="12" width="56" customWidth="1"/>
  </cols>
  <sheetData>
    <row r="1" spans="1:12" ht="14.5" x14ac:dyDescent="0.3">
      <c r="A1" s="58" t="s">
        <v>248</v>
      </c>
      <c r="B1" s="56"/>
      <c r="C1" s="56"/>
      <c r="D1" s="56"/>
      <c r="E1" s="56"/>
      <c r="F1" s="56"/>
      <c r="G1" s="56"/>
      <c r="H1" s="56"/>
      <c r="I1" s="56"/>
      <c r="J1" s="56"/>
      <c r="K1" s="56"/>
      <c r="L1" s="57"/>
    </row>
    <row r="2" spans="1:12" x14ac:dyDescent="0.3">
      <c r="A2" s="53" t="s">
        <v>249</v>
      </c>
      <c r="B2" s="56"/>
      <c r="C2" s="56"/>
      <c r="D2" s="56"/>
      <c r="E2" s="56"/>
      <c r="F2" s="56"/>
      <c r="G2" s="56"/>
      <c r="H2" s="56"/>
      <c r="I2" s="56"/>
      <c r="J2" s="56"/>
      <c r="K2" s="56"/>
      <c r="L2" s="57"/>
    </row>
    <row r="3" spans="1:12" x14ac:dyDescent="0.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</row>
    <row r="4" spans="1:12" ht="28" customHeight="1" x14ac:dyDescent="0.3">
      <c r="A4" s="4" t="s">
        <v>250</v>
      </c>
      <c r="B4" s="4" t="s">
        <v>251</v>
      </c>
      <c r="C4" s="4" t="s">
        <v>252</v>
      </c>
      <c r="D4" s="4" t="s">
        <v>253</v>
      </c>
      <c r="E4" s="4" t="s">
        <v>254</v>
      </c>
      <c r="F4" s="4" t="s">
        <v>255</v>
      </c>
      <c r="G4" s="4" t="s">
        <v>256</v>
      </c>
      <c r="H4" s="4" t="s">
        <v>257</v>
      </c>
      <c r="I4" s="4" t="s">
        <v>258</v>
      </c>
      <c r="J4" s="4" t="s">
        <v>259</v>
      </c>
      <c r="K4" s="4" t="s">
        <v>260</v>
      </c>
      <c r="L4" s="4" t="s">
        <v>261</v>
      </c>
    </row>
    <row r="5" spans="1:12" x14ac:dyDescent="0.3">
      <c r="A5" s="3" t="s">
        <v>262</v>
      </c>
      <c r="B5" s="10">
        <v>-72</v>
      </c>
      <c r="C5" s="10">
        <v>-148</v>
      </c>
      <c r="D5" s="10">
        <v>-110</v>
      </c>
      <c r="E5" s="10">
        <v>-177</v>
      </c>
      <c r="F5" s="10">
        <v>-59</v>
      </c>
      <c r="G5" s="10">
        <v>-116</v>
      </c>
      <c r="H5" s="10">
        <v>-109</v>
      </c>
      <c r="I5" s="10">
        <v>-119</v>
      </c>
      <c r="J5" s="10">
        <v>-120</v>
      </c>
      <c r="K5" s="11">
        <v>-172</v>
      </c>
      <c r="L5" s="2" t="s">
        <v>263</v>
      </c>
    </row>
    <row r="6" spans="1:12" x14ac:dyDescent="0.3">
      <c r="A6" s="3" t="s">
        <v>264</v>
      </c>
      <c r="B6" s="10">
        <v>30518</v>
      </c>
      <c r="C6" s="10">
        <v>30370</v>
      </c>
      <c r="D6" s="10">
        <v>30260</v>
      </c>
      <c r="E6" s="10">
        <v>30083</v>
      </c>
      <c r="F6" s="10">
        <v>30024</v>
      </c>
      <c r="G6" s="10">
        <v>29908</v>
      </c>
      <c r="H6" s="10">
        <v>29799</v>
      </c>
      <c r="I6" s="10">
        <v>29680</v>
      </c>
      <c r="J6" s="10">
        <v>29560</v>
      </c>
      <c r="K6" s="11">
        <v>29388</v>
      </c>
      <c r="L6" s="2" t="s">
        <v>265</v>
      </c>
    </row>
    <row r="7" spans="1:12" x14ac:dyDescent="0.3">
      <c r="A7" s="3" t="s">
        <v>266</v>
      </c>
      <c r="B7" s="10">
        <v>8244</v>
      </c>
      <c r="C7" s="10">
        <v>8796</v>
      </c>
      <c r="D7" s="10">
        <v>9336</v>
      </c>
      <c r="E7" s="10">
        <v>9858</v>
      </c>
      <c r="F7" s="10">
        <v>10365</v>
      </c>
      <c r="G7" s="10">
        <v>10856</v>
      </c>
      <c r="H7" s="10">
        <v>11338</v>
      </c>
      <c r="I7" s="10">
        <v>11766</v>
      </c>
      <c r="J7" s="10">
        <v>12134</v>
      </c>
      <c r="K7" s="11">
        <v>12540</v>
      </c>
      <c r="L7" s="2" t="s">
        <v>265</v>
      </c>
    </row>
    <row r="8" spans="1:12" x14ac:dyDescent="0.3">
      <c r="A8" s="3" t="s">
        <v>267</v>
      </c>
      <c r="B8" s="10">
        <v>5497</v>
      </c>
      <c r="C8" s="10">
        <v>5665</v>
      </c>
      <c r="D8" s="10">
        <v>5647</v>
      </c>
      <c r="E8" s="10">
        <v>5760</v>
      </c>
      <c r="F8" s="10">
        <v>5763</v>
      </c>
      <c r="G8" s="10">
        <v>5693</v>
      </c>
      <c r="H8" s="10">
        <v>5561</v>
      </c>
      <c r="I8" s="10">
        <v>5691</v>
      </c>
      <c r="J8" s="10">
        <v>5637</v>
      </c>
      <c r="K8" s="11">
        <v>5449</v>
      </c>
      <c r="L8" s="2" t="s">
        <v>265</v>
      </c>
    </row>
    <row r="9" spans="1:12" x14ac:dyDescent="0.3">
      <c r="A9" s="3" t="s">
        <v>268</v>
      </c>
      <c r="B9" s="10">
        <v>358</v>
      </c>
      <c r="C9" s="10">
        <v>1296</v>
      </c>
      <c r="D9" s="10">
        <v>1619</v>
      </c>
      <c r="E9" s="10">
        <v>984</v>
      </c>
      <c r="F9" s="10">
        <v>1564</v>
      </c>
      <c r="G9" s="10">
        <v>1046</v>
      </c>
      <c r="H9" s="10">
        <v>1621</v>
      </c>
      <c r="I9" s="10">
        <v>773</v>
      </c>
      <c r="J9" s="10">
        <v>1372</v>
      </c>
      <c r="K9" s="11">
        <v>969</v>
      </c>
      <c r="L9" s="2" t="s">
        <v>97</v>
      </c>
    </row>
    <row r="10" spans="1:12" x14ac:dyDescent="0.3">
      <c r="A10" s="3" t="s">
        <v>269</v>
      </c>
      <c r="B10" s="10">
        <v>481</v>
      </c>
      <c r="C10" s="10">
        <v>389</v>
      </c>
      <c r="D10" s="10">
        <v>358</v>
      </c>
      <c r="E10" s="10">
        <v>543</v>
      </c>
      <c r="F10" s="10">
        <v>395</v>
      </c>
      <c r="G10" s="10">
        <v>457</v>
      </c>
      <c r="H10" s="10">
        <v>484</v>
      </c>
      <c r="I10" s="10">
        <v>601</v>
      </c>
      <c r="J10" s="10">
        <v>675</v>
      </c>
      <c r="K10" s="11">
        <v>657</v>
      </c>
      <c r="L10" s="2" t="s">
        <v>270</v>
      </c>
    </row>
    <row r="11" spans="1:12" x14ac:dyDescent="0.3">
      <c r="A11" s="3" t="s">
        <v>271</v>
      </c>
      <c r="B11" s="10">
        <v>427</v>
      </c>
      <c r="C11" s="10">
        <v>565</v>
      </c>
      <c r="D11" s="10">
        <v>577</v>
      </c>
      <c r="E11" s="10">
        <v>575</v>
      </c>
      <c r="F11" s="10">
        <v>467</v>
      </c>
      <c r="G11" s="10">
        <v>543</v>
      </c>
      <c r="H11" s="10">
        <v>580</v>
      </c>
      <c r="I11" s="10">
        <v>612</v>
      </c>
      <c r="J11" s="10">
        <v>426</v>
      </c>
      <c r="K11" s="11">
        <v>390</v>
      </c>
      <c r="L11" s="2" t="s">
        <v>272</v>
      </c>
    </row>
    <row r="12" spans="1:12" x14ac:dyDescent="0.3">
      <c r="A12" s="3" t="s">
        <v>273</v>
      </c>
      <c r="B12" s="10">
        <v>2791</v>
      </c>
      <c r="C12" s="10">
        <v>2853</v>
      </c>
      <c r="D12" s="10">
        <v>2563</v>
      </c>
      <c r="E12" s="10">
        <v>3062</v>
      </c>
      <c r="F12" s="10">
        <v>2399</v>
      </c>
      <c r="G12" s="10">
        <v>2874</v>
      </c>
      <c r="H12" s="10">
        <v>3051</v>
      </c>
      <c r="I12" s="10">
        <v>3335</v>
      </c>
      <c r="J12" s="10">
        <v>2855</v>
      </c>
      <c r="K12" s="11">
        <v>2871</v>
      </c>
      <c r="L12" s="2" t="s">
        <v>274</v>
      </c>
    </row>
    <row r="13" spans="1:12" x14ac:dyDescent="0.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</row>
    <row r="14" spans="1:12" x14ac:dyDescent="0.3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</row>
    <row r="15" spans="1:12" ht="14.5" x14ac:dyDescent="0.3">
      <c r="A15" s="58" t="s">
        <v>275</v>
      </c>
      <c r="B15" s="56"/>
      <c r="C15" s="56"/>
      <c r="D15" s="56"/>
      <c r="E15" s="56"/>
      <c r="F15" s="56"/>
      <c r="G15" s="56"/>
      <c r="H15" s="56"/>
      <c r="I15" s="56"/>
      <c r="J15" s="56"/>
      <c r="K15" s="56"/>
      <c r="L15" s="57"/>
    </row>
    <row r="16" spans="1:12" ht="28" customHeight="1" x14ac:dyDescent="0.3">
      <c r="A16" s="4" t="s">
        <v>276</v>
      </c>
      <c r="B16" s="4" t="s">
        <v>277</v>
      </c>
      <c r="C16" s="4" t="s">
        <v>278</v>
      </c>
      <c r="D16" s="4" t="s">
        <v>279</v>
      </c>
      <c r="E16" s="4"/>
      <c r="F16" s="4"/>
      <c r="G16" s="4"/>
      <c r="H16" s="4"/>
      <c r="I16" s="4"/>
      <c r="J16" s="4"/>
      <c r="K16" s="4"/>
      <c r="L16" s="4"/>
    </row>
    <row r="17" spans="1:12" ht="36" customHeight="1" x14ac:dyDescent="0.3">
      <c r="A17" s="59" t="s">
        <v>280</v>
      </c>
      <c r="B17" s="53" t="s">
        <v>281</v>
      </c>
      <c r="C17" s="57"/>
      <c r="D17" s="24" t="s">
        <v>282</v>
      </c>
      <c r="E17" s="53" t="s">
        <v>283</v>
      </c>
      <c r="F17" s="56"/>
      <c r="G17" s="56"/>
      <c r="H17" s="56"/>
      <c r="I17" s="56"/>
      <c r="J17" s="56"/>
      <c r="K17" s="56"/>
      <c r="L17" s="57"/>
    </row>
    <row r="18" spans="1:12" ht="36" customHeight="1" x14ac:dyDescent="0.3">
      <c r="A18" s="59" t="s">
        <v>284</v>
      </c>
      <c r="B18" s="53" t="s">
        <v>285</v>
      </c>
      <c r="C18" s="57"/>
      <c r="D18" s="24" t="s">
        <v>282</v>
      </c>
      <c r="E18" s="53" t="s">
        <v>286</v>
      </c>
      <c r="F18" s="56"/>
      <c r="G18" s="56"/>
      <c r="H18" s="56"/>
      <c r="I18" s="56"/>
      <c r="J18" s="56"/>
      <c r="K18" s="56"/>
      <c r="L18" s="57"/>
    </row>
    <row r="19" spans="1:12" ht="36" customHeight="1" x14ac:dyDescent="0.3">
      <c r="A19" s="59" t="s">
        <v>287</v>
      </c>
      <c r="B19" s="53" t="s">
        <v>288</v>
      </c>
      <c r="C19" s="57"/>
      <c r="D19" s="25" t="s">
        <v>289</v>
      </c>
      <c r="E19" s="53" t="s">
        <v>290</v>
      </c>
      <c r="F19" s="56"/>
      <c r="G19" s="56"/>
      <c r="H19" s="56"/>
      <c r="I19" s="56"/>
      <c r="J19" s="56"/>
      <c r="K19" s="56"/>
      <c r="L19" s="57"/>
    </row>
    <row r="20" spans="1:12" ht="36" customHeight="1" x14ac:dyDescent="0.3">
      <c r="A20" s="59" t="s">
        <v>291</v>
      </c>
      <c r="B20" s="53" t="s">
        <v>292</v>
      </c>
      <c r="C20" s="57"/>
      <c r="D20" s="25" t="s">
        <v>289</v>
      </c>
      <c r="E20" s="53" t="s">
        <v>293</v>
      </c>
      <c r="F20" s="56"/>
      <c r="G20" s="56"/>
      <c r="H20" s="56"/>
      <c r="I20" s="56"/>
      <c r="J20" s="56"/>
      <c r="K20" s="56"/>
      <c r="L20" s="57"/>
    </row>
    <row r="21" spans="1:12" x14ac:dyDescent="0.3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</row>
    <row r="22" spans="1:12" x14ac:dyDescent="0.3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</row>
    <row r="23" spans="1:12" ht="14.5" x14ac:dyDescent="0.3">
      <c r="A23" s="9" t="s">
        <v>294</v>
      </c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</row>
    <row r="24" spans="1:12" ht="28" customHeight="1" x14ac:dyDescent="0.3">
      <c r="A24" s="4" t="s">
        <v>295</v>
      </c>
      <c r="B24" s="4" t="s">
        <v>262</v>
      </c>
      <c r="C24" s="1"/>
      <c r="D24" s="1"/>
      <c r="E24" s="1"/>
      <c r="F24" s="1"/>
      <c r="G24" s="1"/>
      <c r="H24" s="1"/>
      <c r="I24" s="1"/>
      <c r="J24" s="1"/>
      <c r="K24" s="1"/>
      <c r="L24" s="1"/>
    </row>
    <row r="25" spans="1:12" x14ac:dyDescent="0.3">
      <c r="A25" s="5" t="s">
        <v>251</v>
      </c>
      <c r="B25" s="10">
        <v>-72</v>
      </c>
      <c r="C25" s="1"/>
      <c r="D25" s="1"/>
      <c r="E25" s="1"/>
      <c r="F25" s="1"/>
      <c r="G25" s="1"/>
      <c r="H25" s="1"/>
      <c r="I25" s="1"/>
      <c r="J25" s="1"/>
      <c r="K25" s="1"/>
      <c r="L25" s="1"/>
    </row>
    <row r="26" spans="1:12" x14ac:dyDescent="0.3">
      <c r="A26" s="5" t="s">
        <v>252</v>
      </c>
      <c r="B26" s="10">
        <v>-148</v>
      </c>
      <c r="C26" s="1"/>
      <c r="D26" s="1"/>
      <c r="E26" s="1"/>
      <c r="F26" s="1"/>
      <c r="G26" s="1"/>
      <c r="H26" s="1"/>
      <c r="I26" s="1"/>
      <c r="J26" s="1"/>
      <c r="K26" s="1"/>
      <c r="L26" s="1"/>
    </row>
    <row r="27" spans="1:12" x14ac:dyDescent="0.3">
      <c r="A27" s="5" t="s">
        <v>253</v>
      </c>
      <c r="B27" s="10">
        <v>-110</v>
      </c>
      <c r="C27" s="1"/>
      <c r="D27" s="1"/>
      <c r="E27" s="1"/>
      <c r="F27" s="1"/>
      <c r="G27" s="1"/>
      <c r="H27" s="1"/>
      <c r="I27" s="1"/>
      <c r="J27" s="1"/>
      <c r="K27" s="1"/>
      <c r="L27" s="1"/>
    </row>
    <row r="28" spans="1:12" x14ac:dyDescent="0.3">
      <c r="A28" s="5" t="s">
        <v>254</v>
      </c>
      <c r="B28" s="10">
        <v>-177</v>
      </c>
      <c r="C28" s="1"/>
      <c r="D28" s="1"/>
      <c r="E28" s="1"/>
      <c r="F28" s="1"/>
      <c r="G28" s="1"/>
      <c r="H28" s="1"/>
      <c r="I28" s="1"/>
      <c r="J28" s="1"/>
      <c r="K28" s="1"/>
      <c r="L28" s="1"/>
    </row>
    <row r="29" spans="1:12" x14ac:dyDescent="0.3">
      <c r="A29" s="5" t="s">
        <v>255</v>
      </c>
      <c r="B29" s="10">
        <v>-59</v>
      </c>
      <c r="C29" s="1"/>
      <c r="D29" s="1"/>
      <c r="E29" s="1"/>
      <c r="F29" s="1"/>
      <c r="G29" s="1"/>
      <c r="H29" s="1"/>
      <c r="I29" s="1"/>
      <c r="J29" s="1"/>
      <c r="K29" s="1"/>
      <c r="L29" s="1"/>
    </row>
    <row r="30" spans="1:12" x14ac:dyDescent="0.3">
      <c r="A30" s="5" t="s">
        <v>256</v>
      </c>
      <c r="B30" s="10">
        <v>-116</v>
      </c>
      <c r="C30" s="1"/>
      <c r="D30" s="1"/>
      <c r="E30" s="1"/>
      <c r="F30" s="1"/>
      <c r="G30" s="1"/>
      <c r="H30" s="1"/>
      <c r="I30" s="1"/>
      <c r="J30" s="1"/>
      <c r="K30" s="1"/>
      <c r="L30" s="1"/>
    </row>
    <row r="31" spans="1:12" x14ac:dyDescent="0.3">
      <c r="A31" s="5" t="s">
        <v>257</v>
      </c>
      <c r="B31" s="10">
        <v>-109</v>
      </c>
      <c r="C31" s="1"/>
      <c r="D31" s="1"/>
      <c r="E31" s="1"/>
      <c r="F31" s="1"/>
      <c r="G31" s="1"/>
      <c r="H31" s="1"/>
      <c r="I31" s="1"/>
      <c r="J31" s="1"/>
      <c r="K31" s="1"/>
      <c r="L31" s="1"/>
    </row>
    <row r="32" spans="1:12" x14ac:dyDescent="0.3">
      <c r="A32" s="5" t="s">
        <v>258</v>
      </c>
      <c r="B32" s="10">
        <v>-119</v>
      </c>
      <c r="C32" s="1"/>
      <c r="D32" s="1"/>
      <c r="E32" s="1"/>
      <c r="F32" s="1"/>
      <c r="G32" s="1"/>
      <c r="H32" s="1"/>
      <c r="I32" s="1"/>
      <c r="J32" s="1"/>
      <c r="K32" s="1"/>
      <c r="L32" s="1"/>
    </row>
    <row r="33" spans="1:12" x14ac:dyDescent="0.3">
      <c r="A33" s="5" t="s">
        <v>259</v>
      </c>
      <c r="B33" s="10">
        <v>-120</v>
      </c>
      <c r="C33" s="1"/>
      <c r="D33" s="1"/>
      <c r="E33" s="1"/>
      <c r="F33" s="1"/>
      <c r="G33" s="1"/>
      <c r="H33" s="1"/>
      <c r="I33" s="1"/>
      <c r="J33" s="1"/>
      <c r="K33" s="1"/>
      <c r="L33" s="1"/>
    </row>
    <row r="34" spans="1:12" x14ac:dyDescent="0.3">
      <c r="A34" s="12" t="s">
        <v>260</v>
      </c>
      <c r="B34" s="11">
        <v>-172</v>
      </c>
      <c r="C34" s="1"/>
      <c r="D34" s="1"/>
      <c r="E34" s="1"/>
      <c r="F34" s="1"/>
      <c r="G34" s="1"/>
      <c r="H34" s="1"/>
      <c r="I34" s="1"/>
      <c r="J34" s="1"/>
      <c r="K34" s="1"/>
      <c r="L34" s="1"/>
    </row>
  </sheetData>
  <mergeCells count="15">
    <mergeCell ref="E20:L20"/>
    <mergeCell ref="B19:C19"/>
    <mergeCell ref="B20:C20"/>
    <mergeCell ref="A1:L1"/>
    <mergeCell ref="A20"/>
    <mergeCell ref="E19:L19"/>
    <mergeCell ref="B17:C17"/>
    <mergeCell ref="B18:C18"/>
    <mergeCell ref="A19"/>
    <mergeCell ref="E17:L17"/>
    <mergeCell ref="A2:L2"/>
    <mergeCell ref="E18:L18"/>
    <mergeCell ref="A15:L15"/>
    <mergeCell ref="A17"/>
    <mergeCell ref="A18"/>
  </mergeCells>
  <pageMargins left="0.75" right="0.75" top="1" bottom="1" header="0.5" footer="0.5"/>
  <pageSetup paperSize="3" fitToHeight="0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1F4E79"/>
    <pageSetUpPr fitToPage="1"/>
  </sheetPr>
  <dimension ref="A1:L30"/>
  <sheetViews>
    <sheetView showGridLines="0" workbookViewId="0">
      <pane ySplit="1" topLeftCell="A2" activePane="bottomLeft" state="frozen"/>
      <selection pane="bottomLeft"/>
    </sheetView>
  </sheetViews>
  <sheetFormatPr defaultRowHeight="13" x14ac:dyDescent="0.3"/>
  <cols>
    <col min="1" max="1" width="28" customWidth="1"/>
    <col min="2" max="11" width="14" customWidth="1"/>
    <col min="12" max="12" width="40" customWidth="1"/>
  </cols>
  <sheetData>
    <row r="1" spans="1:12" ht="14.5" x14ac:dyDescent="0.3">
      <c r="A1" s="58" t="s">
        <v>296</v>
      </c>
      <c r="B1" s="56"/>
      <c r="C1" s="56"/>
      <c r="D1" s="56"/>
      <c r="E1" s="56"/>
      <c r="F1" s="56"/>
      <c r="G1" s="56"/>
      <c r="H1" s="56"/>
      <c r="I1" s="56"/>
      <c r="J1" s="56"/>
      <c r="K1" s="56"/>
      <c r="L1" s="57"/>
    </row>
    <row r="2" spans="1:12" ht="48" customHeight="1" x14ac:dyDescent="0.3">
      <c r="A2" s="53" t="s">
        <v>297</v>
      </c>
      <c r="B2" s="56"/>
      <c r="C2" s="56"/>
      <c r="D2" s="56"/>
      <c r="E2" s="56"/>
      <c r="F2" s="56"/>
      <c r="G2" s="56"/>
      <c r="H2" s="56"/>
      <c r="I2" s="56"/>
      <c r="J2" s="56"/>
      <c r="K2" s="56"/>
      <c r="L2" s="57"/>
    </row>
    <row r="3" spans="1:12" x14ac:dyDescent="0.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</row>
    <row r="4" spans="1:12" ht="28" customHeight="1" x14ac:dyDescent="0.3">
      <c r="A4" s="4" t="s">
        <v>295</v>
      </c>
      <c r="B4" s="4" t="s">
        <v>298</v>
      </c>
      <c r="C4" s="4" t="s">
        <v>299</v>
      </c>
      <c r="D4" s="4" t="s">
        <v>300</v>
      </c>
      <c r="E4" s="4" t="s">
        <v>301</v>
      </c>
      <c r="F4" s="4" t="s">
        <v>302</v>
      </c>
      <c r="G4" s="4" t="s">
        <v>303</v>
      </c>
      <c r="H4" s="4" t="s">
        <v>304</v>
      </c>
      <c r="I4" s="4" t="s">
        <v>305</v>
      </c>
      <c r="J4" s="4"/>
      <c r="K4" s="4"/>
      <c r="L4" s="4" t="s">
        <v>306</v>
      </c>
    </row>
    <row r="5" spans="1:12" x14ac:dyDescent="0.3">
      <c r="A5" s="5" t="s">
        <v>251</v>
      </c>
      <c r="B5" s="10">
        <v>5826</v>
      </c>
      <c r="C5" s="26">
        <v>108</v>
      </c>
      <c r="D5" s="27">
        <v>30554</v>
      </c>
      <c r="E5" s="27">
        <v>30700</v>
      </c>
      <c r="F5" s="27">
        <v>-27.193094462540721</v>
      </c>
      <c r="G5" s="27">
        <v>135.1930944625407</v>
      </c>
      <c r="H5" s="28">
        <v>-0.25178791169019182</v>
      </c>
      <c r="I5" s="6" t="s">
        <v>307</v>
      </c>
      <c r="J5" s="1"/>
      <c r="K5" s="1"/>
      <c r="L5" s="2"/>
    </row>
    <row r="6" spans="1:12" x14ac:dyDescent="0.3">
      <c r="A6" s="5" t="s">
        <v>252</v>
      </c>
      <c r="B6" s="10">
        <v>5806</v>
      </c>
      <c r="C6" s="26">
        <v>73</v>
      </c>
      <c r="D6" s="27">
        <v>30444</v>
      </c>
      <c r="E6" s="27">
        <v>30665</v>
      </c>
      <c r="F6" s="27">
        <v>-41.317234632316968</v>
      </c>
      <c r="G6" s="27">
        <v>114.317234632317</v>
      </c>
      <c r="H6" s="28">
        <v>-0.56598951551119148</v>
      </c>
      <c r="I6" s="6" t="s">
        <v>307</v>
      </c>
      <c r="J6" s="1"/>
      <c r="K6" s="1"/>
      <c r="L6" s="2"/>
    </row>
    <row r="7" spans="1:12" x14ac:dyDescent="0.3">
      <c r="A7" s="5" t="s">
        <v>253</v>
      </c>
      <c r="B7" s="10">
        <v>5872</v>
      </c>
      <c r="C7" s="26">
        <v>96</v>
      </c>
      <c r="D7" s="27">
        <v>30315</v>
      </c>
      <c r="E7" s="27">
        <v>30635</v>
      </c>
      <c r="F7" s="27">
        <v>-60.33360535335401</v>
      </c>
      <c r="G7" s="27">
        <v>156.33360535335399</v>
      </c>
      <c r="H7" s="28">
        <v>-0.62847505576410423</v>
      </c>
      <c r="I7" s="6" t="s">
        <v>307</v>
      </c>
      <c r="J7" s="1"/>
      <c r="K7" s="1"/>
      <c r="L7" s="2"/>
    </row>
    <row r="8" spans="1:12" x14ac:dyDescent="0.3">
      <c r="A8" s="5" t="s">
        <v>254</v>
      </c>
      <c r="B8" s="10">
        <v>5856</v>
      </c>
      <c r="C8" s="26">
        <v>51</v>
      </c>
      <c r="D8" s="27">
        <v>30171.5</v>
      </c>
      <c r="E8" s="27">
        <v>30605</v>
      </c>
      <c r="F8" s="27">
        <v>-82.224064695311213</v>
      </c>
      <c r="G8" s="27">
        <v>133.2240646953112</v>
      </c>
      <c r="H8" s="28">
        <v>-1.612236562653161</v>
      </c>
      <c r="I8" s="6" t="s">
        <v>307</v>
      </c>
      <c r="J8" s="1"/>
      <c r="K8" s="1"/>
      <c r="L8" s="2"/>
    </row>
    <row r="9" spans="1:12" x14ac:dyDescent="0.3">
      <c r="A9" s="5" t="s">
        <v>255</v>
      </c>
      <c r="B9" s="10">
        <v>5930</v>
      </c>
      <c r="C9" s="26">
        <v>104</v>
      </c>
      <c r="D9" s="27">
        <v>30053.5</v>
      </c>
      <c r="E9" s="27">
        <v>30554</v>
      </c>
      <c r="F9" s="27">
        <v>-95.434738495777964</v>
      </c>
      <c r="G9" s="27">
        <v>199.43473849577799</v>
      </c>
      <c r="H9" s="28">
        <v>-0.91764171630555735</v>
      </c>
      <c r="I9" s="6" t="s">
        <v>307</v>
      </c>
      <c r="J9" s="1"/>
      <c r="K9" s="1"/>
      <c r="L9" s="2"/>
    </row>
    <row r="10" spans="1:12" x14ac:dyDescent="0.3">
      <c r="A10" s="5" t="s">
        <v>256</v>
      </c>
      <c r="B10" s="10">
        <v>5969</v>
      </c>
      <c r="C10" s="26">
        <v>163</v>
      </c>
      <c r="D10" s="27">
        <v>29966</v>
      </c>
      <c r="E10" s="27">
        <v>30444</v>
      </c>
      <c r="F10" s="27">
        <v>-91.15976875574826</v>
      </c>
      <c r="G10" s="27">
        <v>254.15976875574819</v>
      </c>
      <c r="H10" s="28">
        <v>-0.55926238500459058</v>
      </c>
      <c r="I10" s="6" t="s">
        <v>307</v>
      </c>
      <c r="J10" s="1"/>
      <c r="K10" s="1"/>
      <c r="L10" s="2"/>
    </row>
    <row r="11" spans="1:12" x14ac:dyDescent="0.3">
      <c r="A11" s="5" t="s">
        <v>257</v>
      </c>
      <c r="B11" s="10">
        <v>5971</v>
      </c>
      <c r="C11" s="26">
        <v>99</v>
      </c>
      <c r="D11" s="27">
        <v>29853.5</v>
      </c>
      <c r="E11" s="27">
        <v>30315</v>
      </c>
      <c r="F11" s="27">
        <v>-89.392314035955792</v>
      </c>
      <c r="G11" s="27">
        <v>188.39231403595579</v>
      </c>
      <c r="H11" s="28">
        <v>-0.90295266702985644</v>
      </c>
      <c r="I11" s="6" t="s">
        <v>307</v>
      </c>
      <c r="J11" s="1"/>
      <c r="K11" s="1"/>
      <c r="L11" s="2"/>
    </row>
    <row r="12" spans="1:12" x14ac:dyDescent="0.3">
      <c r="A12" s="5" t="s">
        <v>258</v>
      </c>
      <c r="B12" s="10">
        <v>5895</v>
      </c>
      <c r="C12" s="26">
        <v>39</v>
      </c>
      <c r="D12" s="27">
        <v>29739.5</v>
      </c>
      <c r="E12" s="27">
        <v>30171.5</v>
      </c>
      <c r="F12" s="27">
        <v>-83.84707422567655</v>
      </c>
      <c r="G12" s="27">
        <v>122.84707422567659</v>
      </c>
      <c r="H12" s="28">
        <v>-2.1499249801455531</v>
      </c>
      <c r="I12" s="6" t="s">
        <v>307</v>
      </c>
      <c r="J12" s="1"/>
      <c r="K12" s="1"/>
      <c r="L12" s="2"/>
    </row>
    <row r="13" spans="1:12" ht="23" x14ac:dyDescent="0.3">
      <c r="A13" s="5" t="s">
        <v>259</v>
      </c>
      <c r="B13" s="10">
        <v>5852</v>
      </c>
      <c r="C13" s="26">
        <v>-78</v>
      </c>
      <c r="D13" s="27">
        <v>29620</v>
      </c>
      <c r="E13" s="27">
        <v>30053.5</v>
      </c>
      <c r="F13" s="27">
        <v>-85.535960869782215</v>
      </c>
      <c r="G13" s="27">
        <v>7.5359608697822154</v>
      </c>
      <c r="H13" s="28">
        <v>1.0966148829459259</v>
      </c>
      <c r="I13" s="29" t="s">
        <v>308</v>
      </c>
      <c r="J13" s="1"/>
      <c r="K13" s="1"/>
      <c r="L13" s="2" t="s">
        <v>309</v>
      </c>
    </row>
    <row r="14" spans="1:12" x14ac:dyDescent="0.3">
      <c r="A14" s="12" t="s">
        <v>260</v>
      </c>
      <c r="B14" s="11">
        <v>5776</v>
      </c>
      <c r="C14" s="26">
        <v>-193</v>
      </c>
      <c r="D14" s="27">
        <v>29474</v>
      </c>
      <c r="E14" s="27">
        <v>29966</v>
      </c>
      <c r="F14" s="27">
        <v>-98.002669692317966</v>
      </c>
      <c r="G14" s="27">
        <v>-94.997330307682034</v>
      </c>
      <c r="H14" s="28">
        <v>0.50778585332807236</v>
      </c>
      <c r="I14" s="29" t="s">
        <v>308</v>
      </c>
      <c r="J14" s="1"/>
      <c r="K14" s="1"/>
      <c r="L14" s="2" t="s">
        <v>310</v>
      </c>
    </row>
    <row r="15" spans="1:12" x14ac:dyDescent="0.3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</row>
    <row r="16" spans="1:12" ht="57.5" x14ac:dyDescent="0.3">
      <c r="A16" s="3" t="s">
        <v>311</v>
      </c>
      <c r="B16" s="10">
        <v>-380</v>
      </c>
      <c r="C16" s="2" t="s">
        <v>312</v>
      </c>
      <c r="D16" s="10">
        <v>785</v>
      </c>
      <c r="E16" s="2" t="s">
        <v>313</v>
      </c>
      <c r="F16" s="26">
        <v>405</v>
      </c>
      <c r="G16" s="2" t="s">
        <v>314</v>
      </c>
      <c r="H16" s="1"/>
      <c r="I16" s="1"/>
      <c r="J16" s="1"/>
      <c r="K16" s="1"/>
      <c r="L16" s="1"/>
    </row>
    <row r="17" spans="1:12" x14ac:dyDescent="0.3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</row>
    <row r="18" spans="1:12" ht="36" customHeight="1" x14ac:dyDescent="0.3">
      <c r="A18" s="24" t="s">
        <v>315</v>
      </c>
      <c r="B18" s="60" t="s">
        <v>316</v>
      </c>
      <c r="C18" s="56"/>
      <c r="D18" s="56"/>
      <c r="E18" s="56"/>
      <c r="F18" s="56"/>
      <c r="G18" s="56"/>
      <c r="H18" s="56"/>
      <c r="I18" s="56"/>
      <c r="J18" s="56"/>
      <c r="K18" s="56"/>
      <c r="L18" s="57"/>
    </row>
    <row r="19" spans="1:12" x14ac:dyDescent="0.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</row>
    <row r="20" spans="1:12" ht="28" customHeight="1" x14ac:dyDescent="0.3">
      <c r="A20" s="4" t="s">
        <v>295</v>
      </c>
      <c r="B20" s="4" t="s">
        <v>302</v>
      </c>
      <c r="C20" s="4" t="s">
        <v>303</v>
      </c>
      <c r="D20" s="1"/>
      <c r="E20" s="1"/>
      <c r="F20" s="1"/>
      <c r="G20" s="1"/>
      <c r="H20" s="1"/>
      <c r="I20" s="1"/>
      <c r="J20" s="1"/>
      <c r="K20" s="1"/>
      <c r="L20" s="1"/>
    </row>
    <row r="21" spans="1:12" x14ac:dyDescent="0.3">
      <c r="A21" s="5" t="s">
        <v>251</v>
      </c>
      <c r="B21" s="27">
        <v>-27.193094462540721</v>
      </c>
      <c r="C21" s="27">
        <v>135.1930944625407</v>
      </c>
      <c r="D21" s="1"/>
      <c r="E21" s="1"/>
      <c r="F21" s="1"/>
      <c r="G21" s="1"/>
      <c r="H21" s="1"/>
      <c r="I21" s="1"/>
      <c r="J21" s="1"/>
      <c r="K21" s="1"/>
      <c r="L21" s="1"/>
    </row>
    <row r="22" spans="1:12" x14ac:dyDescent="0.3">
      <c r="A22" s="5" t="s">
        <v>252</v>
      </c>
      <c r="B22" s="27">
        <v>-41.317234632316968</v>
      </c>
      <c r="C22" s="27">
        <v>114.317234632317</v>
      </c>
      <c r="D22" s="1"/>
      <c r="E22" s="1"/>
      <c r="F22" s="1"/>
      <c r="G22" s="1"/>
      <c r="H22" s="1"/>
      <c r="I22" s="1"/>
      <c r="J22" s="1"/>
      <c r="K22" s="1"/>
      <c r="L22" s="1"/>
    </row>
    <row r="23" spans="1:12" x14ac:dyDescent="0.3">
      <c r="A23" s="5" t="s">
        <v>253</v>
      </c>
      <c r="B23" s="27">
        <v>-60.33360535335401</v>
      </c>
      <c r="C23" s="27">
        <v>156.33360535335399</v>
      </c>
      <c r="D23" s="1"/>
      <c r="E23" s="1"/>
      <c r="F23" s="1"/>
      <c r="G23" s="1"/>
      <c r="H23" s="1"/>
      <c r="I23" s="1"/>
      <c r="J23" s="1"/>
      <c r="K23" s="1"/>
      <c r="L23" s="1"/>
    </row>
    <row r="24" spans="1:12" x14ac:dyDescent="0.3">
      <c r="A24" s="5" t="s">
        <v>254</v>
      </c>
      <c r="B24" s="27">
        <v>-82.224064695311213</v>
      </c>
      <c r="C24" s="27">
        <v>133.2240646953112</v>
      </c>
      <c r="D24" s="1"/>
      <c r="E24" s="1"/>
      <c r="F24" s="1"/>
      <c r="G24" s="1"/>
      <c r="H24" s="1"/>
      <c r="I24" s="1"/>
      <c r="J24" s="1"/>
      <c r="K24" s="1"/>
      <c r="L24" s="1"/>
    </row>
    <row r="25" spans="1:12" x14ac:dyDescent="0.3">
      <c r="A25" s="5" t="s">
        <v>255</v>
      </c>
      <c r="B25" s="27">
        <v>-95.434738495777964</v>
      </c>
      <c r="C25" s="27">
        <v>199.43473849577799</v>
      </c>
      <c r="D25" s="1"/>
      <c r="E25" s="1"/>
      <c r="F25" s="1"/>
      <c r="G25" s="1"/>
      <c r="H25" s="1"/>
      <c r="I25" s="1"/>
      <c r="J25" s="1"/>
      <c r="K25" s="1"/>
      <c r="L25" s="1"/>
    </row>
    <row r="26" spans="1:12" x14ac:dyDescent="0.3">
      <c r="A26" s="5" t="s">
        <v>256</v>
      </c>
      <c r="B26" s="27">
        <v>-91.15976875574826</v>
      </c>
      <c r="C26" s="27">
        <v>254.15976875574819</v>
      </c>
      <c r="D26" s="1"/>
      <c r="E26" s="1"/>
      <c r="F26" s="1"/>
      <c r="G26" s="1"/>
      <c r="H26" s="1"/>
      <c r="I26" s="1"/>
      <c r="J26" s="1"/>
      <c r="K26" s="1"/>
      <c r="L26" s="1"/>
    </row>
    <row r="27" spans="1:12" x14ac:dyDescent="0.3">
      <c r="A27" s="5" t="s">
        <v>257</v>
      </c>
      <c r="B27" s="27">
        <v>-89.392314035955792</v>
      </c>
      <c r="C27" s="27">
        <v>188.39231403595579</v>
      </c>
      <c r="D27" s="1"/>
      <c r="E27" s="1"/>
      <c r="F27" s="1"/>
      <c r="G27" s="1"/>
      <c r="H27" s="1"/>
      <c r="I27" s="1"/>
      <c r="J27" s="1"/>
      <c r="K27" s="1"/>
      <c r="L27" s="1"/>
    </row>
    <row r="28" spans="1:12" x14ac:dyDescent="0.3">
      <c r="A28" s="5" t="s">
        <v>258</v>
      </c>
      <c r="B28" s="27">
        <v>-83.84707422567655</v>
      </c>
      <c r="C28" s="27">
        <v>122.84707422567659</v>
      </c>
      <c r="D28" s="1"/>
      <c r="E28" s="1"/>
      <c r="F28" s="1"/>
      <c r="G28" s="1"/>
      <c r="H28" s="1"/>
      <c r="I28" s="1"/>
      <c r="J28" s="1"/>
      <c r="K28" s="1"/>
      <c r="L28" s="1"/>
    </row>
    <row r="29" spans="1:12" x14ac:dyDescent="0.3">
      <c r="A29" s="5" t="s">
        <v>259</v>
      </c>
      <c r="B29" s="27">
        <v>-85.535960869782215</v>
      </c>
      <c r="C29" s="27">
        <v>7.5359608697822154</v>
      </c>
      <c r="D29" s="1"/>
      <c r="E29" s="1"/>
      <c r="F29" s="1"/>
      <c r="G29" s="1"/>
      <c r="H29" s="1"/>
      <c r="I29" s="1"/>
      <c r="J29" s="1"/>
      <c r="K29" s="1"/>
      <c r="L29" s="1"/>
    </row>
    <row r="30" spans="1:12" x14ac:dyDescent="0.3">
      <c r="A30" s="12" t="s">
        <v>260</v>
      </c>
      <c r="B30" s="27">
        <v>-98.002669692317966</v>
      </c>
      <c r="C30" s="27">
        <v>-94.997330307682034</v>
      </c>
      <c r="D30" s="1"/>
      <c r="E30" s="1"/>
      <c r="F30" s="1"/>
      <c r="G30" s="1"/>
      <c r="H30" s="1"/>
      <c r="I30" s="1"/>
      <c r="J30" s="1"/>
      <c r="K30" s="1"/>
      <c r="L30" s="1"/>
    </row>
  </sheetData>
  <mergeCells count="3">
    <mergeCell ref="A2:L2"/>
    <mergeCell ref="A1:L1"/>
    <mergeCell ref="B18:L18"/>
  </mergeCells>
  <pageMargins left="0.75" right="0.75" top="1" bottom="1" header="0.5" footer="0.5"/>
  <pageSetup paperSize="3" fitToHeight="0"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1F4E79"/>
    <pageSetUpPr fitToPage="1"/>
  </sheetPr>
  <dimension ref="A1:G62"/>
  <sheetViews>
    <sheetView showGridLines="0" workbookViewId="0">
      <pane ySplit="1" topLeftCell="A2" activePane="bottomLeft" state="frozen"/>
      <selection pane="bottomLeft"/>
    </sheetView>
  </sheetViews>
  <sheetFormatPr defaultRowHeight="13" x14ac:dyDescent="0.3"/>
  <cols>
    <col min="1" max="1" width="36" customWidth="1"/>
    <col min="2" max="6" width="18" customWidth="1"/>
    <col min="7" max="7" width="56" customWidth="1"/>
  </cols>
  <sheetData>
    <row r="1" spans="1:7" ht="14.5" x14ac:dyDescent="0.3">
      <c r="A1" s="58" t="s">
        <v>317</v>
      </c>
      <c r="B1" s="56"/>
      <c r="C1" s="56"/>
      <c r="D1" s="56"/>
      <c r="E1" s="56"/>
      <c r="F1" s="56"/>
      <c r="G1" s="57"/>
    </row>
    <row r="2" spans="1:7" ht="36" customHeight="1" x14ac:dyDescent="0.3">
      <c r="A2" s="53" t="s">
        <v>318</v>
      </c>
      <c r="B2" s="56"/>
      <c r="C2" s="56"/>
      <c r="D2" s="56"/>
      <c r="E2" s="56"/>
      <c r="F2" s="56"/>
      <c r="G2" s="57"/>
    </row>
    <row r="3" spans="1:7" x14ac:dyDescent="0.3">
      <c r="A3" s="1"/>
      <c r="B3" s="1"/>
      <c r="C3" s="1"/>
      <c r="D3" s="1"/>
      <c r="E3" s="1"/>
      <c r="F3" s="1"/>
      <c r="G3" s="1"/>
    </row>
    <row r="4" spans="1:7" ht="14.5" x14ac:dyDescent="0.3">
      <c r="A4" s="58" t="s">
        <v>319</v>
      </c>
      <c r="B4" s="56"/>
      <c r="C4" s="56"/>
      <c r="D4" s="56"/>
      <c r="E4" s="56"/>
      <c r="F4" s="56"/>
      <c r="G4" s="57"/>
    </row>
    <row r="5" spans="1:7" ht="28" customHeight="1" x14ac:dyDescent="0.3">
      <c r="A5" s="4" t="s">
        <v>250</v>
      </c>
      <c r="B5" s="4" t="s">
        <v>320</v>
      </c>
      <c r="C5" s="4" t="s">
        <v>321</v>
      </c>
      <c r="D5" s="4" t="s">
        <v>322</v>
      </c>
      <c r="E5" s="4" t="s">
        <v>323</v>
      </c>
      <c r="F5" s="4" t="s">
        <v>324</v>
      </c>
      <c r="G5" s="4" t="s">
        <v>306</v>
      </c>
    </row>
    <row r="6" spans="1:7" x14ac:dyDescent="0.3">
      <c r="A6" s="3" t="s">
        <v>325</v>
      </c>
      <c r="B6" s="30">
        <v>241.78</v>
      </c>
      <c r="C6" s="30">
        <v>180.13</v>
      </c>
      <c r="D6" s="30">
        <v>31.64</v>
      </c>
      <c r="E6" s="30">
        <v>27.51</v>
      </c>
      <c r="F6" s="2"/>
      <c r="G6" s="2" t="s">
        <v>326</v>
      </c>
    </row>
    <row r="7" spans="1:7" x14ac:dyDescent="0.3">
      <c r="A7" s="3" t="s">
        <v>327</v>
      </c>
      <c r="B7" s="2"/>
      <c r="C7" s="28">
        <v>-0.25498386963355107</v>
      </c>
      <c r="D7" s="2"/>
      <c r="E7" s="28">
        <v>-0.13053097345132739</v>
      </c>
      <c r="F7" s="28">
        <v>-0.1244528961822238</v>
      </c>
      <c r="G7" s="2" t="s">
        <v>328</v>
      </c>
    </row>
    <row r="8" spans="1:7" x14ac:dyDescent="0.3">
      <c r="A8" s="3" t="s">
        <v>329</v>
      </c>
      <c r="B8" s="31">
        <v>122.98453600000001</v>
      </c>
      <c r="C8" s="31">
        <v>122.98453600000001</v>
      </c>
      <c r="D8" s="31">
        <v>3572.2280000000001</v>
      </c>
      <c r="E8" s="31">
        <v>3572.2280000000001</v>
      </c>
      <c r="F8" s="2"/>
      <c r="G8" s="2" t="s">
        <v>330</v>
      </c>
    </row>
    <row r="9" spans="1:7" x14ac:dyDescent="0.3">
      <c r="A9" s="3" t="s">
        <v>331</v>
      </c>
      <c r="B9" s="27">
        <v>29735.201114079999</v>
      </c>
      <c r="C9" s="27">
        <v>22153.20446968</v>
      </c>
      <c r="D9" s="27">
        <v>113025.29392</v>
      </c>
      <c r="E9" s="27">
        <v>98271.992280000006</v>
      </c>
      <c r="F9" s="2"/>
      <c r="G9" s="2" t="s">
        <v>332</v>
      </c>
    </row>
    <row r="10" spans="1:7" x14ac:dyDescent="0.3">
      <c r="A10" s="3" t="s">
        <v>333</v>
      </c>
      <c r="B10" s="26">
        <v>98582</v>
      </c>
      <c r="C10" s="26">
        <v>98582</v>
      </c>
      <c r="D10" s="2"/>
      <c r="E10" s="2"/>
      <c r="F10" s="2"/>
      <c r="G10" s="2" t="s">
        <v>334</v>
      </c>
    </row>
    <row r="11" spans="1:7" x14ac:dyDescent="0.3">
      <c r="A11" s="3" t="s">
        <v>335</v>
      </c>
      <c r="B11" s="27">
        <v>128317.20111408</v>
      </c>
      <c r="C11" s="27">
        <v>120735.20446968</v>
      </c>
      <c r="D11" s="2"/>
      <c r="E11" s="2"/>
      <c r="F11" s="2"/>
      <c r="G11" s="2" t="s">
        <v>336</v>
      </c>
    </row>
    <row r="12" spans="1:7" x14ac:dyDescent="0.3">
      <c r="A12" s="3" t="s">
        <v>337</v>
      </c>
      <c r="B12" s="26">
        <v>22582</v>
      </c>
      <c r="C12" s="26">
        <v>22582</v>
      </c>
      <c r="D12" s="2"/>
      <c r="E12" s="2"/>
      <c r="F12" s="2"/>
      <c r="G12" s="2" t="s">
        <v>338</v>
      </c>
    </row>
    <row r="13" spans="1:7" ht="23" x14ac:dyDescent="0.3">
      <c r="A13" s="3" t="s">
        <v>339</v>
      </c>
      <c r="B13" s="32">
        <v>5.6822779698024979</v>
      </c>
      <c r="C13" s="32">
        <v>5.3465239779328666</v>
      </c>
      <c r="D13" s="2"/>
      <c r="E13" s="2"/>
      <c r="F13" s="2"/>
      <c r="G13" s="2" t="s">
        <v>340</v>
      </c>
    </row>
    <row r="14" spans="1:7" x14ac:dyDescent="0.3">
      <c r="A14" s="3" t="s">
        <v>341</v>
      </c>
      <c r="B14" s="26">
        <v>4812</v>
      </c>
      <c r="C14" s="26">
        <v>4812</v>
      </c>
      <c r="D14" s="26">
        <v>3901</v>
      </c>
      <c r="E14" s="26">
        <v>3901</v>
      </c>
      <c r="F14" s="2"/>
      <c r="G14" s="2" t="s">
        <v>342</v>
      </c>
    </row>
    <row r="15" spans="1:7" x14ac:dyDescent="0.3">
      <c r="A15" s="3" t="s">
        <v>343</v>
      </c>
      <c r="B15" s="28">
        <v>0.1618283993284127</v>
      </c>
      <c r="C15" s="28">
        <v>0.2172146249354556</v>
      </c>
      <c r="D15" s="28">
        <v>0.13805759276365701</v>
      </c>
      <c r="E15" s="28">
        <v>0.1587837962574376</v>
      </c>
      <c r="F15" s="28">
        <v>5.8430828678018021E-2</v>
      </c>
      <c r="G15" s="2" t="s">
        <v>344</v>
      </c>
    </row>
    <row r="16" spans="1:7" x14ac:dyDescent="0.3">
      <c r="A16" s="1"/>
      <c r="B16" s="1"/>
      <c r="C16" s="1"/>
      <c r="D16" s="1"/>
      <c r="E16" s="1"/>
      <c r="F16" s="1"/>
      <c r="G16" s="1"/>
    </row>
    <row r="17" spans="1:7" x14ac:dyDescent="0.3">
      <c r="A17" s="1"/>
      <c r="B17" s="1"/>
      <c r="C17" s="1"/>
      <c r="D17" s="1"/>
      <c r="E17" s="1"/>
      <c r="F17" s="1"/>
      <c r="G17" s="1"/>
    </row>
    <row r="18" spans="1:7" ht="14.5" x14ac:dyDescent="0.3">
      <c r="A18" s="58" t="s">
        <v>345</v>
      </c>
      <c r="B18" s="56"/>
      <c r="C18" s="56"/>
      <c r="D18" s="56"/>
      <c r="E18" s="56"/>
      <c r="F18" s="56"/>
      <c r="G18" s="57"/>
    </row>
    <row r="19" spans="1:7" ht="28" customHeight="1" x14ac:dyDescent="0.3">
      <c r="A19" s="4" t="s">
        <v>346</v>
      </c>
      <c r="B19" s="4" t="s">
        <v>347</v>
      </c>
      <c r="C19" s="4" t="s">
        <v>348</v>
      </c>
      <c r="D19" s="4" t="s">
        <v>349</v>
      </c>
      <c r="E19" s="4"/>
      <c r="F19" s="4"/>
      <c r="G19" s="4"/>
    </row>
    <row r="20" spans="1:7" x14ac:dyDescent="0.3">
      <c r="A20" s="5" t="s">
        <v>350</v>
      </c>
      <c r="B20" s="5" t="s">
        <v>351</v>
      </c>
      <c r="C20" s="5" t="s">
        <v>352</v>
      </c>
      <c r="D20" s="53" t="s">
        <v>353</v>
      </c>
      <c r="E20" s="56"/>
      <c r="F20" s="56"/>
      <c r="G20" s="57"/>
    </row>
    <row r="21" spans="1:7" x14ac:dyDescent="0.3">
      <c r="A21" s="5" t="s">
        <v>354</v>
      </c>
      <c r="B21" s="5" t="s">
        <v>355</v>
      </c>
      <c r="C21" s="5" t="s">
        <v>356</v>
      </c>
      <c r="D21" s="53" t="s">
        <v>357</v>
      </c>
      <c r="E21" s="56"/>
      <c r="F21" s="56"/>
      <c r="G21" s="57"/>
    </row>
    <row r="22" spans="1:7" x14ac:dyDescent="0.3">
      <c r="A22" s="5" t="s">
        <v>358</v>
      </c>
      <c r="B22" s="5" t="s">
        <v>359</v>
      </c>
      <c r="C22" s="5" t="s">
        <v>355</v>
      </c>
      <c r="D22" s="53" t="s">
        <v>360</v>
      </c>
      <c r="E22" s="56"/>
      <c r="F22" s="56"/>
      <c r="G22" s="57"/>
    </row>
    <row r="23" spans="1:7" x14ac:dyDescent="0.3">
      <c r="A23" s="5" t="s">
        <v>361</v>
      </c>
      <c r="B23" s="5" t="s">
        <v>362</v>
      </c>
      <c r="C23" s="5" t="s">
        <v>363</v>
      </c>
      <c r="D23" s="53" t="s">
        <v>364</v>
      </c>
      <c r="E23" s="56"/>
      <c r="F23" s="56"/>
      <c r="G23" s="57"/>
    </row>
    <row r="24" spans="1:7" x14ac:dyDescent="0.3">
      <c r="A24" s="1"/>
      <c r="B24" s="1"/>
      <c r="C24" s="1"/>
      <c r="D24" s="1"/>
      <c r="E24" s="1"/>
      <c r="F24" s="1"/>
      <c r="G24" s="1"/>
    </row>
    <row r="25" spans="1:7" x14ac:dyDescent="0.3">
      <c r="A25" s="1"/>
      <c r="B25" s="1"/>
      <c r="C25" s="1"/>
      <c r="D25" s="1"/>
      <c r="E25" s="1"/>
      <c r="F25" s="1"/>
      <c r="G25" s="1"/>
    </row>
    <row r="26" spans="1:7" ht="14.5" x14ac:dyDescent="0.3">
      <c r="A26" s="58" t="s">
        <v>365</v>
      </c>
      <c r="B26" s="56"/>
      <c r="C26" s="56"/>
      <c r="D26" s="56"/>
      <c r="E26" s="56"/>
      <c r="F26" s="56"/>
      <c r="G26" s="57"/>
    </row>
    <row r="27" spans="1:7" ht="28" customHeight="1" x14ac:dyDescent="0.3">
      <c r="A27" s="4" t="s">
        <v>366</v>
      </c>
      <c r="B27" s="4" t="s">
        <v>367</v>
      </c>
      <c r="C27" s="4" t="s">
        <v>368</v>
      </c>
      <c r="D27" s="4" t="s">
        <v>369</v>
      </c>
      <c r="E27" s="4" t="s">
        <v>370</v>
      </c>
      <c r="F27" s="4" t="s">
        <v>327</v>
      </c>
      <c r="G27" s="4" t="s">
        <v>371</v>
      </c>
    </row>
    <row r="28" spans="1:7" x14ac:dyDescent="0.3">
      <c r="A28" s="5" t="s">
        <v>372</v>
      </c>
      <c r="B28" s="10">
        <v>-177</v>
      </c>
      <c r="C28" s="33"/>
      <c r="D28" s="13">
        <v>336.62</v>
      </c>
      <c r="E28" s="13">
        <v>345.49</v>
      </c>
      <c r="F28" s="34">
        <v>2.5999999999999999E-2</v>
      </c>
      <c r="G28" s="2" t="s">
        <v>373</v>
      </c>
    </row>
    <row r="29" spans="1:7" x14ac:dyDescent="0.3">
      <c r="A29" s="5" t="s">
        <v>374</v>
      </c>
      <c r="B29" s="10">
        <v>-59</v>
      </c>
      <c r="C29" s="26">
        <v>13</v>
      </c>
      <c r="D29" s="13">
        <v>335.33</v>
      </c>
      <c r="E29" s="13">
        <v>373.65</v>
      </c>
      <c r="F29" s="35">
        <v>0.114</v>
      </c>
      <c r="G29" s="2" t="s">
        <v>375</v>
      </c>
    </row>
    <row r="30" spans="1:7" x14ac:dyDescent="0.3">
      <c r="A30" s="5" t="s">
        <v>376</v>
      </c>
      <c r="B30" s="10">
        <v>-116</v>
      </c>
      <c r="C30" s="26">
        <v>32</v>
      </c>
      <c r="D30" s="13">
        <v>380</v>
      </c>
      <c r="E30" s="13">
        <v>309.75</v>
      </c>
      <c r="F30" s="36">
        <v>-0.185</v>
      </c>
      <c r="G30" s="2" t="s">
        <v>377</v>
      </c>
    </row>
    <row r="31" spans="1:7" x14ac:dyDescent="0.3">
      <c r="A31" s="5" t="s">
        <v>378</v>
      </c>
      <c r="B31" s="10">
        <v>-109</v>
      </c>
      <c r="C31" s="26">
        <v>1</v>
      </c>
      <c r="D31" s="13">
        <v>230.92</v>
      </c>
      <c r="E31" s="13">
        <v>233.84</v>
      </c>
      <c r="F31" s="34">
        <v>1.2999999999999999E-2</v>
      </c>
      <c r="G31" s="2" t="s">
        <v>379</v>
      </c>
    </row>
    <row r="32" spans="1:7" x14ac:dyDescent="0.3">
      <c r="A32" s="5" t="s">
        <v>380</v>
      </c>
      <c r="B32" s="10">
        <v>-119</v>
      </c>
      <c r="C32" s="26">
        <v>58</v>
      </c>
      <c r="D32" s="13">
        <v>191.52</v>
      </c>
      <c r="E32" s="13">
        <v>206.12</v>
      </c>
      <c r="F32" s="35">
        <v>7.5999999999999998E-2</v>
      </c>
      <c r="G32" s="2" t="s">
        <v>381</v>
      </c>
    </row>
    <row r="33" spans="1:7" x14ac:dyDescent="0.3">
      <c r="A33" s="5" t="s">
        <v>382</v>
      </c>
      <c r="B33" s="10">
        <v>-120</v>
      </c>
      <c r="C33" s="26">
        <v>-61</v>
      </c>
      <c r="D33" s="13">
        <v>241.78</v>
      </c>
      <c r="E33" s="13">
        <v>180.13</v>
      </c>
      <c r="F33" s="36">
        <v>-0.255</v>
      </c>
      <c r="G33" s="2" t="s">
        <v>383</v>
      </c>
    </row>
    <row r="34" spans="1:7" x14ac:dyDescent="0.3">
      <c r="A34" s="12" t="s">
        <v>384</v>
      </c>
      <c r="B34" s="11">
        <v>-172</v>
      </c>
      <c r="C34" s="26">
        <v>-56</v>
      </c>
      <c r="D34" s="37">
        <v>126.5</v>
      </c>
      <c r="E34" s="37">
        <v>123.31</v>
      </c>
      <c r="F34" s="34">
        <v>-2.5000000000000001E-2</v>
      </c>
      <c r="G34" s="2" t="s">
        <v>385</v>
      </c>
    </row>
    <row r="35" spans="1:7" x14ac:dyDescent="0.3">
      <c r="A35" s="1"/>
      <c r="B35" s="1"/>
      <c r="C35" s="1"/>
      <c r="D35" s="1"/>
      <c r="E35" s="1"/>
      <c r="F35" s="1"/>
      <c r="G35" s="1"/>
    </row>
    <row r="36" spans="1:7" x14ac:dyDescent="0.3">
      <c r="A36" s="1"/>
      <c r="B36" s="1"/>
      <c r="C36" s="1"/>
      <c r="D36" s="1"/>
      <c r="E36" s="1"/>
      <c r="F36" s="1"/>
      <c r="G36" s="1"/>
    </row>
    <row r="37" spans="1:7" ht="28" customHeight="1" x14ac:dyDescent="0.3">
      <c r="A37" s="4" t="s">
        <v>386</v>
      </c>
      <c r="B37" s="4" t="s">
        <v>367</v>
      </c>
      <c r="C37" s="4" t="s">
        <v>327</v>
      </c>
      <c r="D37" s="1"/>
      <c r="E37" s="1"/>
      <c r="F37" s="1"/>
      <c r="G37" s="1"/>
    </row>
    <row r="38" spans="1:7" x14ac:dyDescent="0.3">
      <c r="A38" s="5" t="s">
        <v>387</v>
      </c>
      <c r="B38" s="10">
        <v>-177</v>
      </c>
      <c r="C38" s="28">
        <v>2.5999999999999999E-2</v>
      </c>
      <c r="D38" s="1"/>
      <c r="E38" s="1"/>
      <c r="F38" s="1"/>
      <c r="G38" s="1"/>
    </row>
    <row r="39" spans="1:7" x14ac:dyDescent="0.3">
      <c r="A39" s="5" t="s">
        <v>388</v>
      </c>
      <c r="B39" s="10">
        <v>-59</v>
      </c>
      <c r="C39" s="28">
        <v>0.114</v>
      </c>
      <c r="D39" s="1"/>
      <c r="E39" s="1"/>
      <c r="F39" s="1"/>
      <c r="G39" s="1"/>
    </row>
    <row r="40" spans="1:7" x14ac:dyDescent="0.3">
      <c r="A40" s="5" t="s">
        <v>389</v>
      </c>
      <c r="B40" s="10">
        <v>-116</v>
      </c>
      <c r="C40" s="28">
        <v>-0.185</v>
      </c>
      <c r="D40" s="1"/>
      <c r="E40" s="1"/>
      <c r="F40" s="1"/>
      <c r="G40" s="1"/>
    </row>
    <row r="41" spans="1:7" x14ac:dyDescent="0.3">
      <c r="A41" s="5" t="s">
        <v>390</v>
      </c>
      <c r="B41" s="10">
        <v>-109</v>
      </c>
      <c r="C41" s="28">
        <v>1.2999999999999999E-2</v>
      </c>
      <c r="D41" s="1"/>
      <c r="E41" s="1"/>
      <c r="F41" s="1"/>
      <c r="G41" s="1"/>
    </row>
    <row r="42" spans="1:7" x14ac:dyDescent="0.3">
      <c r="A42" s="5" t="s">
        <v>391</v>
      </c>
      <c r="B42" s="10">
        <v>-119</v>
      </c>
      <c r="C42" s="28">
        <v>7.5999999999999998E-2</v>
      </c>
      <c r="D42" s="1"/>
      <c r="E42" s="1"/>
      <c r="F42" s="1"/>
      <c r="G42" s="1"/>
    </row>
    <row r="43" spans="1:7" x14ac:dyDescent="0.3">
      <c r="A43" s="5" t="s">
        <v>392</v>
      </c>
      <c r="B43" s="10">
        <v>-120</v>
      </c>
      <c r="C43" s="28">
        <v>-0.255</v>
      </c>
      <c r="D43" s="1"/>
      <c r="E43" s="1"/>
      <c r="F43" s="1"/>
      <c r="G43" s="1"/>
    </row>
    <row r="44" spans="1:7" x14ac:dyDescent="0.3">
      <c r="A44" s="5" t="s">
        <v>393</v>
      </c>
      <c r="B44" s="10">
        <v>-172</v>
      </c>
      <c r="C44" s="28">
        <v>-2.5000000000000001E-2</v>
      </c>
      <c r="D44" s="1"/>
      <c r="E44" s="1"/>
      <c r="F44" s="1"/>
      <c r="G44" s="1"/>
    </row>
    <row r="45" spans="1:7" x14ac:dyDescent="0.3">
      <c r="A45" s="1"/>
      <c r="B45" s="1"/>
      <c r="C45" s="1"/>
      <c r="D45" s="1"/>
      <c r="E45" s="1"/>
      <c r="F45" s="1"/>
      <c r="G45" s="1"/>
    </row>
    <row r="46" spans="1:7" x14ac:dyDescent="0.3">
      <c r="A46" s="1"/>
      <c r="B46" s="1"/>
      <c r="C46" s="1"/>
      <c r="D46" s="1"/>
      <c r="E46" s="1"/>
      <c r="F46" s="1"/>
      <c r="G46" s="1"/>
    </row>
    <row r="47" spans="1:7" x14ac:dyDescent="0.3">
      <c r="A47" s="1"/>
      <c r="B47" s="1"/>
      <c r="C47" s="1"/>
      <c r="D47" s="1"/>
      <c r="E47" s="1"/>
      <c r="F47" s="1"/>
      <c r="G47" s="1"/>
    </row>
    <row r="48" spans="1:7" x14ac:dyDescent="0.3">
      <c r="A48" s="1"/>
      <c r="B48" s="1"/>
      <c r="C48" s="1"/>
      <c r="D48" s="1"/>
      <c r="E48" s="1"/>
      <c r="F48" s="1"/>
      <c r="G48" s="1"/>
    </row>
    <row r="49" spans="1:7" x14ac:dyDescent="0.3">
      <c r="A49" s="1"/>
      <c r="B49" s="1"/>
      <c r="C49" s="1"/>
      <c r="D49" s="1"/>
      <c r="E49" s="1"/>
      <c r="F49" s="1"/>
      <c r="G49" s="1"/>
    </row>
    <row r="50" spans="1:7" x14ac:dyDescent="0.3">
      <c r="A50" s="1"/>
      <c r="B50" s="1"/>
      <c r="C50" s="1"/>
      <c r="D50" s="1"/>
      <c r="E50" s="1"/>
      <c r="F50" s="1"/>
      <c r="G50" s="1"/>
    </row>
    <row r="51" spans="1:7" x14ac:dyDescent="0.3">
      <c r="A51" s="1"/>
      <c r="B51" s="1"/>
      <c r="C51" s="1"/>
      <c r="D51" s="1"/>
      <c r="E51" s="1"/>
      <c r="F51" s="1"/>
      <c r="G51" s="1"/>
    </row>
    <row r="52" spans="1:7" x14ac:dyDescent="0.3">
      <c r="A52" s="1"/>
      <c r="B52" s="1"/>
      <c r="C52" s="1"/>
      <c r="D52" s="1"/>
      <c r="E52" s="1"/>
      <c r="F52" s="1"/>
      <c r="G52" s="1"/>
    </row>
    <row r="53" spans="1:7" x14ac:dyDescent="0.3">
      <c r="A53" s="1"/>
      <c r="B53" s="1"/>
      <c r="C53" s="1"/>
      <c r="D53" s="1"/>
      <c r="E53" s="1"/>
      <c r="F53" s="1"/>
      <c r="G53" s="1"/>
    </row>
    <row r="54" spans="1:7" x14ac:dyDescent="0.3">
      <c r="A54" s="1"/>
      <c r="B54" s="1"/>
      <c r="C54" s="1"/>
      <c r="D54" s="1"/>
      <c r="E54" s="1"/>
      <c r="F54" s="1"/>
      <c r="G54" s="1"/>
    </row>
    <row r="55" spans="1:7" x14ac:dyDescent="0.3">
      <c r="A55" s="1"/>
      <c r="B55" s="1"/>
      <c r="C55" s="1"/>
      <c r="D55" s="1"/>
      <c r="E55" s="1"/>
      <c r="F55" s="1"/>
      <c r="G55" s="1"/>
    </row>
    <row r="56" spans="1:7" x14ac:dyDescent="0.3">
      <c r="A56" s="1"/>
      <c r="B56" s="1"/>
      <c r="C56" s="1"/>
      <c r="D56" s="1"/>
      <c r="E56" s="1"/>
      <c r="F56" s="1"/>
      <c r="G56" s="1"/>
    </row>
    <row r="57" spans="1:7" x14ac:dyDescent="0.3">
      <c r="A57" s="1"/>
      <c r="B57" s="1"/>
      <c r="C57" s="1"/>
      <c r="D57" s="1"/>
      <c r="E57" s="1"/>
      <c r="F57" s="1"/>
      <c r="G57" s="1"/>
    </row>
    <row r="58" spans="1:7" x14ac:dyDescent="0.3">
      <c r="A58" s="1"/>
      <c r="B58" s="1"/>
      <c r="C58" s="1"/>
      <c r="D58" s="1"/>
      <c r="E58" s="1"/>
      <c r="F58" s="1"/>
      <c r="G58" s="1"/>
    </row>
    <row r="59" spans="1:7" x14ac:dyDescent="0.3">
      <c r="A59" s="1"/>
      <c r="B59" s="1"/>
      <c r="C59" s="1"/>
      <c r="D59" s="1"/>
      <c r="E59" s="1"/>
      <c r="F59" s="1"/>
      <c r="G59" s="1"/>
    </row>
    <row r="60" spans="1:7" x14ac:dyDescent="0.3">
      <c r="A60" s="1"/>
      <c r="B60" s="1"/>
      <c r="C60" s="1"/>
      <c r="D60" s="1"/>
      <c r="E60" s="1"/>
      <c r="F60" s="1"/>
      <c r="G60" s="1"/>
    </row>
    <row r="61" spans="1:7" x14ac:dyDescent="0.3">
      <c r="A61" s="1"/>
      <c r="B61" s="1"/>
      <c r="C61" s="1"/>
      <c r="D61" s="1"/>
      <c r="E61" s="1"/>
      <c r="F61" s="1"/>
      <c r="G61" s="1"/>
    </row>
    <row r="62" spans="1:7" ht="48" customHeight="1" x14ac:dyDescent="0.3">
      <c r="A62" s="24" t="s">
        <v>315</v>
      </c>
      <c r="B62" s="60" t="s">
        <v>394</v>
      </c>
      <c r="C62" s="56"/>
      <c r="D62" s="56"/>
      <c r="E62" s="56"/>
      <c r="F62" s="56"/>
      <c r="G62" s="57"/>
    </row>
  </sheetData>
  <mergeCells count="10">
    <mergeCell ref="A26:G26"/>
    <mergeCell ref="A2:G2"/>
    <mergeCell ref="B62:G62"/>
    <mergeCell ref="D22:G22"/>
    <mergeCell ref="D23:G23"/>
    <mergeCell ref="A1:G1"/>
    <mergeCell ref="A18:G18"/>
    <mergeCell ref="D20:G20"/>
    <mergeCell ref="A4:G4"/>
    <mergeCell ref="D21:G21"/>
  </mergeCells>
  <pageMargins left="0.75" right="0.75" top="1" bottom="1" header="0.5" footer="0.5"/>
  <pageSetup paperSize="3" fitToHeight="0"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1F4E79"/>
    <pageSetUpPr fitToPage="1"/>
  </sheetPr>
  <dimension ref="A1:H32"/>
  <sheetViews>
    <sheetView showGridLines="0" workbookViewId="0">
      <pane ySplit="1" topLeftCell="A2" activePane="bottomLeft" state="frozen"/>
      <selection pane="bottomLeft"/>
    </sheetView>
  </sheetViews>
  <sheetFormatPr defaultRowHeight="13" x14ac:dyDescent="0.3"/>
  <cols>
    <col min="1" max="1" width="44" customWidth="1"/>
    <col min="2" max="5" width="16" customWidth="1"/>
    <col min="6" max="6" width="64" customWidth="1"/>
  </cols>
  <sheetData>
    <row r="1" spans="1:8" ht="14.5" x14ac:dyDescent="0.3">
      <c r="A1" s="58" t="s">
        <v>395</v>
      </c>
      <c r="B1" s="56"/>
      <c r="C1" s="56"/>
      <c r="D1" s="56"/>
      <c r="E1" s="56"/>
      <c r="F1" s="57"/>
      <c r="G1" s="1"/>
      <c r="H1" s="1"/>
    </row>
    <row r="2" spans="1:8" ht="42" customHeight="1" x14ac:dyDescent="0.3">
      <c r="A2" s="53" t="s">
        <v>396</v>
      </c>
      <c r="B2" s="56"/>
      <c r="C2" s="56"/>
      <c r="D2" s="56"/>
      <c r="E2" s="56"/>
      <c r="F2" s="57"/>
      <c r="G2" s="1"/>
      <c r="H2" s="1"/>
    </row>
    <row r="3" spans="1:8" x14ac:dyDescent="0.3">
      <c r="A3" s="1"/>
      <c r="B3" s="1"/>
      <c r="C3" s="1"/>
      <c r="D3" s="1"/>
      <c r="E3" s="1"/>
      <c r="F3" s="1"/>
      <c r="G3" s="1"/>
      <c r="H3" s="1"/>
    </row>
    <row r="4" spans="1:8" ht="14.5" x14ac:dyDescent="0.3">
      <c r="A4" s="58" t="s">
        <v>397</v>
      </c>
      <c r="B4" s="56"/>
      <c r="C4" s="56"/>
      <c r="D4" s="56"/>
      <c r="E4" s="56"/>
      <c r="F4" s="57"/>
      <c r="G4" s="1"/>
      <c r="H4" s="1"/>
    </row>
    <row r="5" spans="1:8" ht="28" customHeight="1" x14ac:dyDescent="0.3">
      <c r="A5" s="4" t="s">
        <v>56</v>
      </c>
      <c r="B5" s="4" t="s">
        <v>57</v>
      </c>
      <c r="C5" s="4"/>
      <c r="D5" s="4"/>
      <c r="E5" s="4"/>
      <c r="F5" s="4" t="s">
        <v>306</v>
      </c>
      <c r="G5" s="1"/>
      <c r="H5" s="1"/>
    </row>
    <row r="6" spans="1:8" x14ac:dyDescent="0.3">
      <c r="A6" s="5" t="s">
        <v>398</v>
      </c>
      <c r="B6" s="38">
        <v>4812</v>
      </c>
      <c r="C6" s="1"/>
      <c r="D6" s="1"/>
      <c r="E6" s="1"/>
      <c r="F6" s="2" t="s">
        <v>399</v>
      </c>
      <c r="G6" s="1"/>
      <c r="H6" s="1"/>
    </row>
    <row r="7" spans="1:8" x14ac:dyDescent="0.3">
      <c r="A7" s="5" t="s">
        <v>400</v>
      </c>
      <c r="B7" s="28">
        <v>9.5500000000000002E-2</v>
      </c>
      <c r="C7" s="1"/>
      <c r="D7" s="1"/>
      <c r="E7" s="1"/>
      <c r="F7" s="2" t="s">
        <v>401</v>
      </c>
      <c r="G7" s="1"/>
      <c r="H7" s="1"/>
    </row>
    <row r="8" spans="1:8" x14ac:dyDescent="0.3">
      <c r="A8" s="5" t="s">
        <v>402</v>
      </c>
      <c r="B8" s="28">
        <v>0.12</v>
      </c>
      <c r="C8" s="1"/>
      <c r="D8" s="1"/>
      <c r="E8" s="1"/>
      <c r="F8" s="2" t="s">
        <v>403</v>
      </c>
      <c r="G8" s="1"/>
      <c r="H8" s="1"/>
    </row>
    <row r="9" spans="1:8" x14ac:dyDescent="0.3">
      <c r="A9" s="5" t="s">
        <v>404</v>
      </c>
      <c r="B9" s="15">
        <v>0</v>
      </c>
      <c r="C9" s="1"/>
      <c r="D9" s="1"/>
      <c r="E9" s="1"/>
      <c r="F9" s="2" t="s">
        <v>405</v>
      </c>
      <c r="G9" s="1"/>
      <c r="H9" s="1"/>
    </row>
    <row r="10" spans="1:8" x14ac:dyDescent="0.3">
      <c r="A10" s="5" t="s">
        <v>406</v>
      </c>
      <c r="B10" s="39">
        <v>5</v>
      </c>
      <c r="C10" s="1"/>
      <c r="D10" s="1"/>
      <c r="E10" s="1"/>
      <c r="F10" s="2" t="s">
        <v>407</v>
      </c>
      <c r="G10" s="1"/>
      <c r="H10" s="1"/>
    </row>
    <row r="11" spans="1:8" x14ac:dyDescent="0.3">
      <c r="A11" s="5" t="s">
        <v>408</v>
      </c>
      <c r="B11" s="27">
        <v>29735.201114079999</v>
      </c>
      <c r="C11" s="1"/>
      <c r="D11" s="1"/>
      <c r="E11" s="1"/>
      <c r="F11" s="2" t="s">
        <v>409</v>
      </c>
      <c r="G11" s="1"/>
      <c r="H11" s="1"/>
    </row>
    <row r="12" spans="1:8" x14ac:dyDescent="0.3">
      <c r="A12" s="5" t="s">
        <v>410</v>
      </c>
      <c r="B12" s="27">
        <v>22153.20446968</v>
      </c>
      <c r="C12" s="1"/>
      <c r="D12" s="1"/>
      <c r="E12" s="1"/>
      <c r="F12" s="2" t="s">
        <v>411</v>
      </c>
      <c r="G12" s="1"/>
      <c r="H12" s="1"/>
    </row>
    <row r="13" spans="1:8" x14ac:dyDescent="0.3">
      <c r="A13" s="5" t="s">
        <v>412</v>
      </c>
      <c r="B13" s="28">
        <v>0.1618283993284127</v>
      </c>
      <c r="C13" s="1"/>
      <c r="D13" s="1"/>
      <c r="E13" s="1"/>
      <c r="F13" s="2" t="s">
        <v>413</v>
      </c>
      <c r="G13" s="1"/>
      <c r="H13" s="1"/>
    </row>
    <row r="14" spans="1:8" x14ac:dyDescent="0.3">
      <c r="A14" s="5" t="s">
        <v>414</v>
      </c>
      <c r="B14" s="28">
        <v>0.2172146249354556</v>
      </c>
      <c r="C14" s="1"/>
      <c r="D14" s="1"/>
      <c r="E14" s="1"/>
      <c r="F14" s="2" t="s">
        <v>415</v>
      </c>
      <c r="G14" s="1"/>
      <c r="H14" s="1"/>
    </row>
    <row r="15" spans="1:8" x14ac:dyDescent="0.3">
      <c r="A15" s="1"/>
      <c r="B15" s="1"/>
      <c r="C15" s="1"/>
      <c r="D15" s="1"/>
      <c r="E15" s="1"/>
      <c r="F15" s="1"/>
      <c r="G15" s="1"/>
      <c r="H15" s="1"/>
    </row>
    <row r="16" spans="1:8" x14ac:dyDescent="0.3">
      <c r="A16" s="1"/>
      <c r="B16" s="1"/>
      <c r="C16" s="1"/>
      <c r="D16" s="1"/>
      <c r="E16" s="1"/>
      <c r="F16" s="1"/>
      <c r="G16" s="1"/>
      <c r="H16" s="1"/>
    </row>
    <row r="17" spans="1:8" ht="14.5" x14ac:dyDescent="0.3">
      <c r="A17" s="58" t="s">
        <v>416</v>
      </c>
      <c r="B17" s="56"/>
      <c r="C17" s="56"/>
      <c r="D17" s="56"/>
      <c r="E17" s="56"/>
      <c r="F17" s="57"/>
      <c r="G17" s="1"/>
      <c r="H17" s="1"/>
    </row>
    <row r="18" spans="1:8" ht="28" customHeight="1" x14ac:dyDescent="0.3">
      <c r="A18" s="4" t="s">
        <v>417</v>
      </c>
      <c r="B18" s="4" t="s">
        <v>418</v>
      </c>
      <c r="C18" s="4" t="s">
        <v>419</v>
      </c>
      <c r="D18" s="4" t="s">
        <v>420</v>
      </c>
      <c r="E18" s="4"/>
      <c r="F18" s="4" t="s">
        <v>349</v>
      </c>
      <c r="G18" s="1"/>
      <c r="H18" s="1"/>
    </row>
    <row r="19" spans="1:8" ht="23" x14ac:dyDescent="0.3">
      <c r="A19" s="8" t="s">
        <v>421</v>
      </c>
      <c r="B19" s="28">
        <v>-5.7089669495730487E-2</v>
      </c>
      <c r="C19" s="40">
        <v>-9.9994382619178326E-2</v>
      </c>
      <c r="D19" s="36">
        <v>-4.2904713123447832E-2</v>
      </c>
      <c r="E19" s="1"/>
      <c r="F19" s="2" t="s">
        <v>422</v>
      </c>
      <c r="G19" s="1"/>
      <c r="H19" s="1"/>
    </row>
    <row r="20" spans="1:8" ht="23" x14ac:dyDescent="0.3">
      <c r="A20" s="7" t="s">
        <v>423</v>
      </c>
      <c r="B20" s="28">
        <v>-3.6002218014804348E-2</v>
      </c>
      <c r="C20" s="36">
        <v>-7.9866461463696706E-2</v>
      </c>
      <c r="D20" s="36">
        <v>-4.3864243448892351E-2</v>
      </c>
      <c r="E20" s="1"/>
      <c r="F20" s="2" t="s">
        <v>424</v>
      </c>
      <c r="G20" s="1"/>
      <c r="H20" s="1"/>
    </row>
    <row r="21" spans="1:8" x14ac:dyDescent="0.3">
      <c r="A21" s="1"/>
      <c r="B21" s="1"/>
      <c r="C21" s="1"/>
      <c r="D21" s="1"/>
      <c r="E21" s="1"/>
      <c r="F21" s="1"/>
      <c r="G21" s="1"/>
      <c r="H21" s="1"/>
    </row>
    <row r="22" spans="1:8" ht="14.5" x14ac:dyDescent="0.3">
      <c r="A22" s="58" t="s">
        <v>425</v>
      </c>
      <c r="B22" s="56"/>
      <c r="C22" s="56"/>
      <c r="D22" s="56"/>
      <c r="E22" s="56"/>
      <c r="F22" s="57"/>
      <c r="G22" s="1"/>
      <c r="H22" s="1"/>
    </row>
    <row r="23" spans="1:8" ht="28" customHeight="1" x14ac:dyDescent="0.3">
      <c r="A23" s="4" t="s">
        <v>417</v>
      </c>
      <c r="B23" s="4" t="s">
        <v>426</v>
      </c>
      <c r="C23" s="4" t="s">
        <v>427</v>
      </c>
      <c r="D23" s="4" t="s">
        <v>428</v>
      </c>
      <c r="E23" s="4"/>
      <c r="F23" s="4" t="s">
        <v>349</v>
      </c>
      <c r="G23" s="1"/>
      <c r="H23" s="1"/>
    </row>
    <row r="24" spans="1:8" ht="23" x14ac:dyDescent="0.3">
      <c r="A24" s="8" t="s">
        <v>421</v>
      </c>
      <c r="B24" s="28">
        <v>-0.1214626738270384</v>
      </c>
      <c r="C24" s="40">
        <v>-0.18621889671718819</v>
      </c>
      <c r="D24" s="36">
        <v>-6.4756222890149817E-2</v>
      </c>
      <c r="E24" s="1"/>
      <c r="F24" s="2" t="s">
        <v>429</v>
      </c>
      <c r="G24" s="1"/>
      <c r="H24" s="1"/>
    </row>
    <row r="25" spans="1:8" x14ac:dyDescent="0.3">
      <c r="A25" s="1"/>
      <c r="B25" s="1"/>
      <c r="C25" s="1"/>
      <c r="D25" s="1"/>
      <c r="E25" s="1"/>
      <c r="F25" s="1"/>
      <c r="G25" s="1"/>
      <c r="H25" s="1"/>
    </row>
    <row r="26" spans="1:8" ht="14.5" x14ac:dyDescent="0.3">
      <c r="A26" s="58" t="s">
        <v>430</v>
      </c>
      <c r="B26" s="56"/>
      <c r="C26" s="56"/>
      <c r="D26" s="56"/>
      <c r="E26" s="56"/>
      <c r="F26" s="57"/>
      <c r="G26" s="1"/>
      <c r="H26" s="1"/>
    </row>
    <row r="27" spans="1:8" ht="28" customHeight="1" x14ac:dyDescent="0.3">
      <c r="A27" s="4" t="s">
        <v>431</v>
      </c>
      <c r="B27" s="4" t="s">
        <v>432</v>
      </c>
      <c r="C27" s="4" t="s">
        <v>433</v>
      </c>
      <c r="D27" s="4" t="s">
        <v>434</v>
      </c>
      <c r="E27" s="4" t="s">
        <v>435</v>
      </c>
      <c r="F27" s="4" t="s">
        <v>436</v>
      </c>
      <c r="G27" s="4" t="s">
        <v>437</v>
      </c>
      <c r="H27" s="4" t="s">
        <v>438</v>
      </c>
    </row>
    <row r="28" spans="1:8" x14ac:dyDescent="0.3">
      <c r="A28" s="41" t="s">
        <v>439</v>
      </c>
      <c r="B28" s="26">
        <v>20786.222025675252</v>
      </c>
      <c r="C28" s="26">
        <v>29930.56803178331</v>
      </c>
      <c r="D28" s="26">
        <v>35735.831717079003</v>
      </c>
      <c r="E28" s="26">
        <v>42513.125389401168</v>
      </c>
      <c r="F28" s="26">
        <v>50387.434554973843</v>
      </c>
      <c r="G28" s="26">
        <v>59494.267269617863</v>
      </c>
      <c r="H28" s="26">
        <v>69980.084025365082</v>
      </c>
    </row>
    <row r="29" spans="1:8" x14ac:dyDescent="0.3">
      <c r="A29" s="8" t="s">
        <v>440</v>
      </c>
      <c r="B29" s="26">
        <v>-8948.9790884047543</v>
      </c>
      <c r="C29" s="26">
        <v>195.36691770330441</v>
      </c>
      <c r="D29" s="26">
        <v>6000.6306029989937</v>
      </c>
      <c r="E29" s="26">
        <v>12777.924275321169</v>
      </c>
      <c r="F29" s="26">
        <v>20652.23344089383</v>
      </c>
      <c r="G29" s="26">
        <v>29759.066155537861</v>
      </c>
      <c r="H29" s="26">
        <v>40244.88291128508</v>
      </c>
    </row>
    <row r="30" spans="1:8" x14ac:dyDescent="0.3">
      <c r="A30" s="8" t="s">
        <v>441</v>
      </c>
      <c r="B30" s="26">
        <v>-1366.9824440047521</v>
      </c>
      <c r="C30" s="26">
        <v>7777.3635621033063</v>
      </c>
      <c r="D30" s="26">
        <v>13582.627247398999</v>
      </c>
      <c r="E30" s="26">
        <v>20359.920919721171</v>
      </c>
      <c r="F30" s="26">
        <v>28234.230085293839</v>
      </c>
      <c r="G30" s="26">
        <v>37341.062799937863</v>
      </c>
      <c r="H30" s="26">
        <v>47826.879555685082</v>
      </c>
    </row>
    <row r="31" spans="1:8" x14ac:dyDescent="0.3">
      <c r="A31" s="1"/>
      <c r="B31" s="1"/>
      <c r="C31" s="1"/>
      <c r="D31" s="1"/>
      <c r="E31" s="1"/>
      <c r="F31" s="1"/>
      <c r="G31" s="1"/>
      <c r="H31" s="1"/>
    </row>
    <row r="32" spans="1:8" ht="56" customHeight="1" x14ac:dyDescent="0.3">
      <c r="A32" s="25" t="s">
        <v>315</v>
      </c>
      <c r="B32" s="61" t="s">
        <v>442</v>
      </c>
      <c r="C32" s="56"/>
      <c r="D32" s="56"/>
      <c r="E32" s="56"/>
      <c r="F32" s="57"/>
      <c r="G32" s="1"/>
      <c r="H32" s="1"/>
    </row>
  </sheetData>
  <mergeCells count="7">
    <mergeCell ref="A2:F2"/>
    <mergeCell ref="B32:F32"/>
    <mergeCell ref="A1:F1"/>
    <mergeCell ref="A22:F22"/>
    <mergeCell ref="A17:F17"/>
    <mergeCell ref="A4:F4"/>
    <mergeCell ref="A26:F26"/>
  </mergeCells>
  <pageMargins left="0.75" right="0.75" top="1" bottom="1" header="0.5" footer="0.5"/>
  <pageSetup paperSize="3" fitToHeight="0"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1F4E79"/>
    <pageSetUpPr fitToPage="1"/>
  </sheetPr>
  <dimension ref="A1:E26"/>
  <sheetViews>
    <sheetView showGridLines="0" workbookViewId="0">
      <pane ySplit="1" topLeftCell="A2" activePane="bottomLeft" state="frozen"/>
      <selection pane="bottomLeft"/>
    </sheetView>
  </sheetViews>
  <sheetFormatPr defaultRowHeight="13" x14ac:dyDescent="0.3"/>
  <cols>
    <col min="1" max="1" width="48" customWidth="1"/>
    <col min="2" max="4" width="16" customWidth="1"/>
    <col min="5" max="5" width="64" customWidth="1"/>
  </cols>
  <sheetData>
    <row r="1" spans="1:5" ht="14.5" x14ac:dyDescent="0.3">
      <c r="A1" s="58" t="s">
        <v>443</v>
      </c>
      <c r="B1" s="56"/>
      <c r="C1" s="56"/>
      <c r="D1" s="56"/>
      <c r="E1" s="57"/>
    </row>
    <row r="2" spans="1:5" ht="42" customHeight="1" x14ac:dyDescent="0.3">
      <c r="A2" s="53" t="s">
        <v>444</v>
      </c>
      <c r="B2" s="56"/>
      <c r="C2" s="56"/>
      <c r="D2" s="56"/>
      <c r="E2" s="57"/>
    </row>
    <row r="3" spans="1:5" x14ac:dyDescent="0.3">
      <c r="A3" s="1"/>
      <c r="B3" s="1"/>
      <c r="C3" s="1"/>
      <c r="D3" s="1"/>
      <c r="E3" s="1"/>
    </row>
    <row r="4" spans="1:5" ht="14.5" x14ac:dyDescent="0.3">
      <c r="A4" s="58" t="s">
        <v>445</v>
      </c>
      <c r="B4" s="56"/>
      <c r="C4" s="56"/>
      <c r="D4" s="56"/>
      <c r="E4" s="57"/>
    </row>
    <row r="5" spans="1:5" ht="28" customHeight="1" x14ac:dyDescent="0.3">
      <c r="A5" s="4" t="s">
        <v>56</v>
      </c>
      <c r="B5" s="4" t="s">
        <v>446</v>
      </c>
      <c r="C5" s="4" t="s">
        <v>447</v>
      </c>
      <c r="D5" s="4"/>
      <c r="E5" s="4" t="s">
        <v>306</v>
      </c>
    </row>
    <row r="6" spans="1:5" x14ac:dyDescent="0.3">
      <c r="A6" s="5" t="s">
        <v>448</v>
      </c>
      <c r="B6" s="27">
        <v>12908</v>
      </c>
      <c r="C6" s="27">
        <v>3208</v>
      </c>
      <c r="D6" s="1"/>
      <c r="E6" s="2" t="s">
        <v>449</v>
      </c>
    </row>
    <row r="7" spans="1:5" x14ac:dyDescent="0.3">
      <c r="A7" s="5" t="s">
        <v>450</v>
      </c>
      <c r="B7" s="27">
        <v>9977.884</v>
      </c>
      <c r="C7" s="27">
        <v>2479.7840000000001</v>
      </c>
      <c r="D7" s="1"/>
      <c r="E7" s="2" t="s">
        <v>451</v>
      </c>
    </row>
    <row r="8" spans="1:5" x14ac:dyDescent="0.3">
      <c r="A8" s="5" t="s">
        <v>452</v>
      </c>
      <c r="B8" s="27">
        <v>116245</v>
      </c>
      <c r="C8" s="27">
        <v>116563</v>
      </c>
      <c r="D8" s="1"/>
      <c r="E8" s="2" t="s">
        <v>453</v>
      </c>
    </row>
    <row r="9" spans="1:5" x14ac:dyDescent="0.3">
      <c r="A9" s="5" t="s">
        <v>454</v>
      </c>
      <c r="B9" s="19">
        <v>8.5834952040948001E-2</v>
      </c>
      <c r="C9" s="28">
        <v>8.5096780281907647E-2</v>
      </c>
      <c r="D9" s="1"/>
      <c r="E9" s="2" t="s">
        <v>455</v>
      </c>
    </row>
    <row r="10" spans="1:5" x14ac:dyDescent="0.3">
      <c r="A10" s="5" t="s">
        <v>456</v>
      </c>
      <c r="B10" s="28">
        <v>6.53046923076923E-2</v>
      </c>
      <c r="C10" s="28">
        <v>6.53046923076923E-2</v>
      </c>
      <c r="D10" s="1"/>
      <c r="E10" s="2" t="s">
        <v>457</v>
      </c>
    </row>
    <row r="11" spans="1:5" ht="23" x14ac:dyDescent="0.3">
      <c r="A11" s="5" t="s">
        <v>458</v>
      </c>
      <c r="B11" s="28">
        <v>2.0530259733255701E-2</v>
      </c>
      <c r="C11" s="2"/>
      <c r="D11" s="1"/>
      <c r="E11" s="2" t="s">
        <v>459</v>
      </c>
    </row>
    <row r="12" spans="1:5" ht="23" x14ac:dyDescent="0.3">
      <c r="A12" s="5" t="s">
        <v>460</v>
      </c>
      <c r="B12" s="19">
        <v>2386.5400426923088</v>
      </c>
      <c r="C12" s="2"/>
      <c r="D12" s="1"/>
      <c r="E12" s="2" t="s">
        <v>461</v>
      </c>
    </row>
    <row r="13" spans="1:5" x14ac:dyDescent="0.3">
      <c r="A13" s="1"/>
      <c r="B13" s="1"/>
      <c r="C13" s="1"/>
      <c r="D13" s="1"/>
      <c r="E13" s="1"/>
    </row>
    <row r="14" spans="1:5" ht="56" customHeight="1" x14ac:dyDescent="0.3">
      <c r="A14" s="61" t="s">
        <v>462</v>
      </c>
      <c r="B14" s="56"/>
      <c r="C14" s="56"/>
      <c r="D14" s="56"/>
      <c r="E14" s="57"/>
    </row>
    <row r="15" spans="1:5" x14ac:dyDescent="0.3">
      <c r="A15" s="1"/>
      <c r="B15" s="1"/>
      <c r="C15" s="1"/>
      <c r="D15" s="1"/>
      <c r="E15" s="1"/>
    </row>
    <row r="16" spans="1:5" ht="14.5" x14ac:dyDescent="0.3">
      <c r="A16" s="58" t="s">
        <v>463</v>
      </c>
      <c r="B16" s="56"/>
      <c r="C16" s="56"/>
      <c r="D16" s="56"/>
      <c r="E16" s="57"/>
    </row>
    <row r="17" spans="1:5" ht="28" customHeight="1" x14ac:dyDescent="0.3">
      <c r="A17" s="4" t="s">
        <v>464</v>
      </c>
      <c r="B17" s="4" t="s">
        <v>465</v>
      </c>
      <c r="C17" s="4" t="s">
        <v>466</v>
      </c>
      <c r="D17" s="4" t="s">
        <v>467</v>
      </c>
      <c r="E17" s="4" t="s">
        <v>468</v>
      </c>
    </row>
    <row r="18" spans="1:5" x14ac:dyDescent="0.3">
      <c r="A18" s="5" t="s">
        <v>469</v>
      </c>
      <c r="B18" s="10">
        <v>23765</v>
      </c>
      <c r="C18" s="26">
        <v>14016.45</v>
      </c>
      <c r="D18" s="28">
        <v>0.58979381443298962</v>
      </c>
      <c r="E18" s="2" t="s">
        <v>470</v>
      </c>
    </row>
    <row r="19" spans="1:5" x14ac:dyDescent="0.3">
      <c r="A19" s="5" t="s">
        <v>471</v>
      </c>
      <c r="B19" s="10">
        <v>5962</v>
      </c>
      <c r="C19" s="26">
        <v>-558.5</v>
      </c>
      <c r="D19" s="28">
        <v>-9.3676618584367669E-2</v>
      </c>
      <c r="E19" s="2" t="s">
        <v>472</v>
      </c>
    </row>
    <row r="20" spans="1:5" x14ac:dyDescent="0.3">
      <c r="A20" s="5" t="s">
        <v>473</v>
      </c>
      <c r="B20" s="10">
        <v>13703</v>
      </c>
      <c r="C20" s="26">
        <v>1504.13</v>
      </c>
      <c r="D20" s="28">
        <v>0.1097664744946362</v>
      </c>
      <c r="E20" s="2" t="s">
        <v>474</v>
      </c>
    </row>
    <row r="21" spans="1:5" x14ac:dyDescent="0.3">
      <c r="A21" s="5" t="s">
        <v>475</v>
      </c>
      <c r="B21" s="10">
        <v>54774</v>
      </c>
      <c r="C21" s="10">
        <v>22708</v>
      </c>
      <c r="D21" s="28">
        <v>0.41457625880892401</v>
      </c>
      <c r="E21" s="2" t="s">
        <v>476</v>
      </c>
    </row>
    <row r="22" spans="1:5" x14ac:dyDescent="0.3">
      <c r="A22" s="1"/>
      <c r="B22" s="1"/>
      <c r="C22" s="1"/>
      <c r="D22" s="1"/>
      <c r="E22" s="1"/>
    </row>
    <row r="23" spans="1:5" ht="23" x14ac:dyDescent="0.3">
      <c r="A23" s="8" t="s">
        <v>477</v>
      </c>
      <c r="B23" s="19">
        <v>0.61724722564734891</v>
      </c>
      <c r="C23" s="1"/>
      <c r="D23" s="1"/>
      <c r="E23" s="2" t="s">
        <v>478</v>
      </c>
    </row>
    <row r="24" spans="1:5" x14ac:dyDescent="0.3">
      <c r="A24" s="8" t="s">
        <v>479</v>
      </c>
      <c r="B24" s="19">
        <v>-2.4594856438259649E-2</v>
      </c>
      <c r="C24" s="1"/>
      <c r="D24" s="1"/>
      <c r="E24" s="2" t="s">
        <v>480</v>
      </c>
    </row>
    <row r="25" spans="1:5" x14ac:dyDescent="0.3">
      <c r="A25" s="1"/>
      <c r="B25" s="1"/>
      <c r="C25" s="1"/>
      <c r="D25" s="1"/>
      <c r="E25" s="1"/>
    </row>
    <row r="26" spans="1:5" ht="56" customHeight="1" x14ac:dyDescent="0.3">
      <c r="A26" s="24" t="s">
        <v>315</v>
      </c>
      <c r="B26" s="60" t="s">
        <v>481</v>
      </c>
      <c r="C26" s="56"/>
      <c r="D26" s="56"/>
      <c r="E26" s="57"/>
    </row>
  </sheetData>
  <mergeCells count="6">
    <mergeCell ref="B26:E26"/>
    <mergeCell ref="A4:E4"/>
    <mergeCell ref="A2:E2"/>
    <mergeCell ref="A16:E16"/>
    <mergeCell ref="A1:E1"/>
    <mergeCell ref="A14:E14"/>
  </mergeCells>
  <pageMargins left="0.75" right="0.75" top="1" bottom="1" header="0.5" footer="0.5"/>
  <pageSetup paperSize="3" fitToHeight="0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1F4E79"/>
    <pageSetUpPr fitToPage="1"/>
  </sheetPr>
  <dimension ref="A1:E35"/>
  <sheetViews>
    <sheetView showGridLines="0" workbookViewId="0">
      <pane ySplit="1" topLeftCell="A2" activePane="bottomLeft" state="frozen"/>
      <selection pane="bottomLeft"/>
    </sheetView>
  </sheetViews>
  <sheetFormatPr defaultRowHeight="13" x14ac:dyDescent="0.3"/>
  <cols>
    <col min="1" max="1" width="48" customWidth="1"/>
    <col min="2" max="3" width="18" customWidth="1"/>
    <col min="4" max="4" width="64" customWidth="1"/>
  </cols>
  <sheetData>
    <row r="1" spans="1:5" ht="14.5" x14ac:dyDescent="0.3">
      <c r="A1" s="58" t="s">
        <v>482</v>
      </c>
      <c r="B1" s="56"/>
      <c r="C1" s="56"/>
      <c r="D1" s="57"/>
      <c r="E1" s="1"/>
    </row>
    <row r="2" spans="1:5" ht="42" customHeight="1" x14ac:dyDescent="0.3">
      <c r="A2" s="53" t="s">
        <v>483</v>
      </c>
      <c r="B2" s="56"/>
      <c r="C2" s="56"/>
      <c r="D2" s="57"/>
      <c r="E2" s="1"/>
    </row>
    <row r="3" spans="1:5" x14ac:dyDescent="0.3">
      <c r="A3" s="1"/>
      <c r="B3" s="1"/>
      <c r="C3" s="1"/>
      <c r="D3" s="1"/>
      <c r="E3" s="1"/>
    </row>
    <row r="4" spans="1:5" ht="28" customHeight="1" x14ac:dyDescent="0.3">
      <c r="A4" s="4" t="s">
        <v>56</v>
      </c>
      <c r="B4" s="4" t="s">
        <v>469</v>
      </c>
      <c r="C4" s="4" t="s">
        <v>484</v>
      </c>
      <c r="D4" s="4" t="s">
        <v>306</v>
      </c>
      <c r="E4" s="1"/>
    </row>
    <row r="5" spans="1:5" x14ac:dyDescent="0.3">
      <c r="A5" s="5" t="s">
        <v>485</v>
      </c>
      <c r="B5" s="27">
        <v>29881.5</v>
      </c>
      <c r="C5" s="27">
        <v>10812</v>
      </c>
      <c r="D5" s="2" t="s">
        <v>486</v>
      </c>
      <c r="E5" s="1"/>
    </row>
    <row r="6" spans="1:5" x14ac:dyDescent="0.3">
      <c r="A6" s="5" t="s">
        <v>487</v>
      </c>
      <c r="B6" s="26">
        <v>23765</v>
      </c>
      <c r="C6" s="26">
        <v>3762</v>
      </c>
      <c r="D6" s="2" t="s">
        <v>488</v>
      </c>
      <c r="E6" s="1"/>
    </row>
    <row r="7" spans="1:5" x14ac:dyDescent="0.3">
      <c r="A7" s="5" t="s">
        <v>489</v>
      </c>
      <c r="B7" s="30">
        <v>6.6275677816263132E-2</v>
      </c>
      <c r="C7" s="30">
        <v>2.899556048834628E-2</v>
      </c>
      <c r="D7" s="2" t="s">
        <v>490</v>
      </c>
      <c r="E7" s="1"/>
    </row>
    <row r="8" spans="1:5" x14ac:dyDescent="0.3">
      <c r="A8" s="5" t="s">
        <v>491</v>
      </c>
      <c r="B8" s="30">
        <v>6.58564033310826E-2</v>
      </c>
      <c r="C8" s="30">
        <v>2.9344490934449088E-2</v>
      </c>
      <c r="D8" s="2" t="s">
        <v>492</v>
      </c>
      <c r="E8" s="1"/>
    </row>
    <row r="9" spans="1:5" x14ac:dyDescent="0.3">
      <c r="A9" s="5" t="s">
        <v>493</v>
      </c>
      <c r="B9" s="28">
        <v>4.727119713864928E-2</v>
      </c>
      <c r="C9" s="28">
        <v>0.6</v>
      </c>
      <c r="D9" s="2" t="s">
        <v>494</v>
      </c>
      <c r="E9" s="1"/>
    </row>
    <row r="10" spans="1:5" x14ac:dyDescent="0.3">
      <c r="A10" s="5" t="s">
        <v>495</v>
      </c>
      <c r="B10" s="26">
        <v>697.21566855746869</v>
      </c>
      <c r="C10" s="26">
        <v>139.1786903440622</v>
      </c>
      <c r="D10" s="2" t="s">
        <v>496</v>
      </c>
      <c r="E10" s="1"/>
    </row>
    <row r="11" spans="1:5" x14ac:dyDescent="0.3">
      <c r="A11" s="5" t="s">
        <v>497</v>
      </c>
      <c r="B11" s="28">
        <v>1.4999999999999999E-2</v>
      </c>
      <c r="C11" s="28">
        <v>0.02</v>
      </c>
      <c r="D11" s="2" t="s">
        <v>498</v>
      </c>
      <c r="E11" s="1"/>
    </row>
    <row r="12" spans="1:5" x14ac:dyDescent="0.3">
      <c r="A12" s="5" t="s">
        <v>499</v>
      </c>
      <c r="B12" s="28">
        <v>0.16586803165912301</v>
      </c>
      <c r="C12" s="28">
        <v>0.21528327626520019</v>
      </c>
      <c r="D12" s="2" t="s">
        <v>500</v>
      </c>
      <c r="E12" s="1"/>
    </row>
    <row r="13" spans="1:5" x14ac:dyDescent="0.3">
      <c r="A13" s="5" t="s">
        <v>501</v>
      </c>
      <c r="B13" s="43">
        <v>6.0288892922724839</v>
      </c>
      <c r="C13" s="43">
        <v>4.6450426496117334</v>
      </c>
      <c r="D13" s="2" t="s">
        <v>502</v>
      </c>
      <c r="E13" s="1"/>
    </row>
    <row r="14" spans="1:5" x14ac:dyDescent="0.3">
      <c r="A14" s="5" t="s">
        <v>503</v>
      </c>
      <c r="B14" s="27">
        <v>4553.3855880220844</v>
      </c>
      <c r="C14" s="27">
        <v>4235.6427829793447</v>
      </c>
      <c r="D14" s="2" t="s">
        <v>504</v>
      </c>
      <c r="E14" s="1"/>
    </row>
    <row r="15" spans="1:5" x14ac:dyDescent="0.3">
      <c r="A15" s="5" t="s">
        <v>505</v>
      </c>
      <c r="B15" s="26">
        <v>332.23630434011528</v>
      </c>
      <c r="C15" s="26">
        <v>178.57974308870999</v>
      </c>
      <c r="D15" s="2" t="s">
        <v>506</v>
      </c>
      <c r="E15" s="1"/>
    </row>
    <row r="16" spans="1:5" x14ac:dyDescent="0.3">
      <c r="A16" s="5" t="s">
        <v>507</v>
      </c>
      <c r="B16" s="26">
        <v>347.43378732553037</v>
      </c>
      <c r="C16" s="26">
        <v>0</v>
      </c>
      <c r="D16" s="2" t="s">
        <v>508</v>
      </c>
      <c r="E16" s="1"/>
    </row>
    <row r="17" spans="1:5" x14ac:dyDescent="0.3">
      <c r="A17" s="5" t="s">
        <v>509</v>
      </c>
      <c r="B17" s="26">
        <v>679.67009166564571</v>
      </c>
      <c r="C17" s="26">
        <v>178.57974308870999</v>
      </c>
      <c r="D17" s="2"/>
      <c r="E17" s="1"/>
    </row>
    <row r="18" spans="1:5" x14ac:dyDescent="0.3">
      <c r="A18" s="5" t="s">
        <v>510</v>
      </c>
      <c r="B18" s="28">
        <v>0.08</v>
      </c>
      <c r="C18" s="28">
        <v>0.08</v>
      </c>
      <c r="D18" s="2" t="s">
        <v>511</v>
      </c>
      <c r="E18" s="1"/>
    </row>
    <row r="19" spans="1:5" x14ac:dyDescent="0.3">
      <c r="A19" s="5" t="s">
        <v>512</v>
      </c>
      <c r="B19" s="16">
        <v>2156.0611900818899</v>
      </c>
      <c r="C19" s="16">
        <v>292.75981973523687</v>
      </c>
      <c r="D19" s="2" t="s">
        <v>513</v>
      </c>
      <c r="E19" s="1"/>
    </row>
    <row r="20" spans="1:5" x14ac:dyDescent="0.3">
      <c r="A20" s="1"/>
      <c r="B20" s="1"/>
      <c r="C20" s="1"/>
      <c r="D20" s="1"/>
      <c r="E20" s="1"/>
    </row>
    <row r="21" spans="1:5" ht="23" x14ac:dyDescent="0.3">
      <c r="A21" s="41" t="s">
        <v>514</v>
      </c>
      <c r="B21" s="44">
        <v>7.3646075886771838</v>
      </c>
      <c r="C21" s="1"/>
      <c r="D21" s="2" t="s">
        <v>515</v>
      </c>
      <c r="E21" s="1"/>
    </row>
    <row r="22" spans="1:5" x14ac:dyDescent="0.3">
      <c r="A22" s="1"/>
      <c r="B22" s="1"/>
      <c r="C22" s="1"/>
      <c r="D22" s="1"/>
      <c r="E22" s="1"/>
    </row>
    <row r="23" spans="1:5" ht="14.5" x14ac:dyDescent="0.3">
      <c r="A23" s="58" t="s">
        <v>516</v>
      </c>
      <c r="B23" s="56"/>
      <c r="C23" s="56"/>
      <c r="D23" s="57"/>
      <c r="E23" s="1"/>
    </row>
    <row r="24" spans="1:5" ht="28" customHeight="1" x14ac:dyDescent="0.3">
      <c r="A24" s="4" t="s">
        <v>517</v>
      </c>
      <c r="B24" s="4" t="s">
        <v>518</v>
      </c>
      <c r="C24" s="4" t="s">
        <v>519</v>
      </c>
      <c r="D24" s="4" t="s">
        <v>520</v>
      </c>
      <c r="E24" s="1"/>
    </row>
    <row r="25" spans="1:5" x14ac:dyDescent="0.3">
      <c r="A25" s="5" t="s">
        <v>521</v>
      </c>
      <c r="B25" s="5">
        <v>-120</v>
      </c>
      <c r="C25" s="26">
        <v>2156.0611900818899</v>
      </c>
      <c r="D25" s="45">
        <v>-258.72734280982678</v>
      </c>
      <c r="E25" s="1"/>
    </row>
    <row r="26" spans="1:5" x14ac:dyDescent="0.3">
      <c r="A26" s="5" t="s">
        <v>522</v>
      </c>
      <c r="B26" s="5">
        <v>368</v>
      </c>
      <c r="C26" s="26">
        <v>292.75981973523687</v>
      </c>
      <c r="D26" s="27">
        <v>107.7356136625672</v>
      </c>
      <c r="E26" s="1"/>
    </row>
    <row r="27" spans="1:5" ht="34.5" x14ac:dyDescent="0.3">
      <c r="A27" s="41" t="s">
        <v>523</v>
      </c>
      <c r="B27" s="1"/>
      <c r="C27" s="2" t="s">
        <v>524</v>
      </c>
      <c r="D27" s="45">
        <v>-150.9917291472596</v>
      </c>
      <c r="E27" s="1"/>
    </row>
    <row r="28" spans="1:5" x14ac:dyDescent="0.3">
      <c r="A28" s="1"/>
      <c r="B28" s="1"/>
      <c r="C28" s="1"/>
      <c r="D28" s="1"/>
      <c r="E28" s="1"/>
    </row>
    <row r="29" spans="1:5" ht="14.5" x14ac:dyDescent="0.3">
      <c r="A29" s="58" t="s">
        <v>525</v>
      </c>
      <c r="B29" s="56"/>
      <c r="C29" s="56"/>
      <c r="D29" s="57"/>
      <c r="E29" s="1"/>
    </row>
    <row r="30" spans="1:5" ht="28" customHeight="1" x14ac:dyDescent="0.3">
      <c r="A30" s="4" t="s">
        <v>526</v>
      </c>
      <c r="B30" s="4" t="s">
        <v>527</v>
      </c>
      <c r="C30" s="4" t="s">
        <v>528</v>
      </c>
      <c r="D30" s="4" t="s">
        <v>529</v>
      </c>
      <c r="E30" s="4" t="s">
        <v>530</v>
      </c>
    </row>
    <row r="31" spans="1:5" x14ac:dyDescent="0.3">
      <c r="A31" s="46">
        <v>0.5</v>
      </c>
      <c r="B31" s="26">
        <v>489.17445352993349</v>
      </c>
      <c r="C31" s="26">
        <v>339.17445352993349</v>
      </c>
      <c r="D31" s="26">
        <v>189.17445352993349</v>
      </c>
      <c r="E31" s="26">
        <v>39.174453529933537</v>
      </c>
    </row>
    <row r="32" spans="1:5" x14ac:dyDescent="0.3">
      <c r="A32" s="46">
        <v>0.6</v>
      </c>
      <c r="B32" s="26">
        <v>371.33956282394678</v>
      </c>
      <c r="C32" s="26">
        <v>221.33956282394681</v>
      </c>
      <c r="D32" s="26">
        <v>71.339562823946835</v>
      </c>
      <c r="E32" s="26">
        <v>-78.660437176053165</v>
      </c>
    </row>
    <row r="33" spans="1:5" x14ac:dyDescent="0.3">
      <c r="A33" s="46">
        <v>0.7</v>
      </c>
      <c r="B33" s="26">
        <v>253.50467211796021</v>
      </c>
      <c r="C33" s="26">
        <v>103.5046721179602</v>
      </c>
      <c r="D33" s="26">
        <v>-46.495327882039817</v>
      </c>
      <c r="E33" s="26">
        <v>-196.49532788203979</v>
      </c>
    </row>
    <row r="34" spans="1:5" x14ac:dyDescent="0.3">
      <c r="A34" s="1"/>
      <c r="B34" s="1"/>
      <c r="C34" s="1"/>
      <c r="D34" s="1"/>
      <c r="E34" s="1"/>
    </row>
    <row r="35" spans="1:5" ht="48" customHeight="1" x14ac:dyDescent="0.3">
      <c r="A35" s="24" t="s">
        <v>315</v>
      </c>
      <c r="B35" s="60" t="s">
        <v>531</v>
      </c>
      <c r="C35" s="56"/>
      <c r="D35" s="57"/>
      <c r="E35" s="1"/>
    </row>
  </sheetData>
  <mergeCells count="5">
    <mergeCell ref="A1:D1"/>
    <mergeCell ref="A23:D23"/>
    <mergeCell ref="B35:D35"/>
    <mergeCell ref="A29:D29"/>
    <mergeCell ref="A2:D2"/>
  </mergeCells>
  <pageMargins left="0.75" right="0.75" top="1" bottom="1" header="0.5" footer="0.5"/>
  <pageSetup paperSize="3" fitToHeight="0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1F4E79"/>
    <pageSetUpPr fitToPage="1"/>
  </sheetPr>
  <dimension ref="A1:J42"/>
  <sheetViews>
    <sheetView showGridLines="0" workbookViewId="0">
      <pane ySplit="1" topLeftCell="A2" activePane="bottomLeft" state="frozen"/>
      <selection pane="bottomLeft"/>
    </sheetView>
  </sheetViews>
  <sheetFormatPr defaultRowHeight="13" x14ac:dyDescent="0.3"/>
  <cols>
    <col min="1" max="1" width="36" customWidth="1"/>
    <col min="2" max="9" width="14" customWidth="1"/>
    <col min="10" max="10" width="48" customWidth="1"/>
  </cols>
  <sheetData>
    <row r="1" spans="1:10" ht="14.5" x14ac:dyDescent="0.3">
      <c r="A1" s="58" t="s">
        <v>532</v>
      </c>
      <c r="B1" s="56"/>
      <c r="C1" s="56"/>
      <c r="D1" s="56"/>
      <c r="E1" s="56"/>
      <c r="F1" s="56"/>
      <c r="G1" s="56"/>
      <c r="H1" s="56"/>
      <c r="I1" s="56"/>
      <c r="J1" s="57"/>
    </row>
    <row r="2" spans="1:10" ht="48" customHeight="1" x14ac:dyDescent="0.3">
      <c r="A2" s="53" t="s">
        <v>533</v>
      </c>
      <c r="B2" s="56"/>
      <c r="C2" s="56"/>
      <c r="D2" s="56"/>
      <c r="E2" s="56"/>
      <c r="F2" s="56"/>
      <c r="G2" s="56"/>
      <c r="H2" s="56"/>
      <c r="I2" s="56"/>
      <c r="J2" s="57"/>
    </row>
    <row r="3" spans="1:10" x14ac:dyDescent="0.3">
      <c r="A3" s="1"/>
      <c r="B3" s="1"/>
      <c r="C3" s="1"/>
      <c r="D3" s="1"/>
      <c r="E3" s="1"/>
      <c r="F3" s="1"/>
      <c r="G3" s="1"/>
      <c r="H3" s="1"/>
      <c r="I3" s="1"/>
      <c r="J3" s="1"/>
    </row>
    <row r="4" spans="1:10" ht="28" customHeight="1" x14ac:dyDescent="0.3">
      <c r="A4" s="4" t="s">
        <v>534</v>
      </c>
      <c r="B4" s="4" t="s">
        <v>535</v>
      </c>
      <c r="C4" s="4" t="s">
        <v>536</v>
      </c>
      <c r="D4" s="4" t="s">
        <v>537</v>
      </c>
      <c r="E4" s="4" t="s">
        <v>538</v>
      </c>
      <c r="F4" s="4" t="s">
        <v>539</v>
      </c>
      <c r="G4" s="4" t="s">
        <v>540</v>
      </c>
      <c r="H4" s="4" t="s">
        <v>541</v>
      </c>
      <c r="I4" s="4" t="s">
        <v>542</v>
      </c>
      <c r="J4" s="4" t="s">
        <v>306</v>
      </c>
    </row>
    <row r="5" spans="1:10" x14ac:dyDescent="0.3">
      <c r="A5" s="5" t="s">
        <v>543</v>
      </c>
      <c r="B5" s="26">
        <v>29200</v>
      </c>
      <c r="C5" s="26">
        <v>28720</v>
      </c>
      <c r="D5" s="26">
        <v>28240</v>
      </c>
      <c r="E5" s="26">
        <v>27920</v>
      </c>
      <c r="F5" s="26">
        <v>27600</v>
      </c>
      <c r="G5" s="26">
        <v>27280</v>
      </c>
      <c r="H5" s="26">
        <v>26960</v>
      </c>
      <c r="I5" s="26">
        <v>26640</v>
      </c>
      <c r="J5" s="2" t="s">
        <v>544</v>
      </c>
    </row>
    <row r="6" spans="1:10" x14ac:dyDescent="0.3">
      <c r="A6" s="5" t="s">
        <v>545</v>
      </c>
      <c r="B6" s="26">
        <v>29320</v>
      </c>
      <c r="C6" s="26">
        <v>29140</v>
      </c>
      <c r="D6" s="26">
        <v>29140</v>
      </c>
      <c r="E6" s="26">
        <v>29140</v>
      </c>
      <c r="F6" s="26">
        <v>29140</v>
      </c>
      <c r="G6" s="26">
        <v>29140</v>
      </c>
      <c r="H6" s="26">
        <v>29140</v>
      </c>
      <c r="I6" s="26">
        <v>29140</v>
      </c>
      <c r="J6" s="2" t="s">
        <v>546</v>
      </c>
    </row>
    <row r="7" spans="1:10" x14ac:dyDescent="0.3">
      <c r="A7" s="5" t="s">
        <v>547</v>
      </c>
      <c r="B7" s="47">
        <v>29080</v>
      </c>
      <c r="C7" s="47">
        <v>28480</v>
      </c>
      <c r="D7" s="47">
        <v>27880</v>
      </c>
      <c r="E7" s="47">
        <v>27480</v>
      </c>
      <c r="F7" s="47">
        <v>27080</v>
      </c>
      <c r="G7" s="47">
        <v>26680</v>
      </c>
      <c r="H7" s="47">
        <v>26280</v>
      </c>
      <c r="I7" s="47">
        <v>25880</v>
      </c>
      <c r="J7" s="2" t="s">
        <v>548</v>
      </c>
    </row>
    <row r="8" spans="1:10" x14ac:dyDescent="0.3">
      <c r="A8" s="7" t="s">
        <v>549</v>
      </c>
      <c r="B8" s="21">
        <v>11400</v>
      </c>
      <c r="C8" s="21">
        <v>10500</v>
      </c>
      <c r="D8" s="21">
        <v>8500</v>
      </c>
      <c r="E8" s="21">
        <v>8200</v>
      </c>
      <c r="F8" s="21">
        <v>8000</v>
      </c>
      <c r="G8" s="21">
        <v>8000</v>
      </c>
      <c r="H8" s="21">
        <v>8000</v>
      </c>
      <c r="I8" s="21">
        <v>8000</v>
      </c>
      <c r="J8" s="2" t="s">
        <v>550</v>
      </c>
    </row>
    <row r="9" spans="1:10" x14ac:dyDescent="0.3">
      <c r="A9" s="8" t="s">
        <v>551</v>
      </c>
      <c r="B9" s="26">
        <v>22150.179282331879</v>
      </c>
      <c r="C9" s="26">
        <v>21565.515761424289</v>
      </c>
      <c r="D9" s="26">
        <v>20980.85224051671</v>
      </c>
      <c r="E9" s="26">
        <v>20451.96597309372</v>
      </c>
      <c r="F9" s="26">
        <v>19978.856959155331</v>
      </c>
      <c r="G9" s="26">
        <v>19505.747945216939</v>
      </c>
      <c r="H9" s="26">
        <v>19032.63893127855</v>
      </c>
      <c r="I9" s="26">
        <v>18559.529917340162</v>
      </c>
      <c r="J9" s="1"/>
    </row>
    <row r="10" spans="1:10" x14ac:dyDescent="0.3">
      <c r="A10" s="8" t="s">
        <v>552</v>
      </c>
      <c r="B10" s="26">
        <v>22542.01222244533</v>
      </c>
      <c r="C10" s="26">
        <v>22453.763991934811</v>
      </c>
      <c r="D10" s="26">
        <v>22491.014581764641</v>
      </c>
      <c r="E10" s="26">
        <v>22591.014581764641</v>
      </c>
      <c r="F10" s="26">
        <v>22691.014581764641</v>
      </c>
      <c r="G10" s="26">
        <v>22791.014581764641</v>
      </c>
      <c r="H10" s="26">
        <v>22891.014581764641</v>
      </c>
      <c r="I10" s="26">
        <v>22991.014581764641</v>
      </c>
      <c r="J10" s="1"/>
    </row>
    <row r="11" spans="1:10" x14ac:dyDescent="0.3">
      <c r="A11" s="8" t="s">
        <v>553</v>
      </c>
      <c r="B11" s="26">
        <v>21958.346342218429</v>
      </c>
      <c r="C11" s="26">
        <v>21140.016941083952</v>
      </c>
      <c r="D11" s="26">
        <v>20321.687539949471</v>
      </c>
      <c r="E11" s="26">
        <v>19573.079705670731</v>
      </c>
      <c r="F11" s="26">
        <v>18894.193438247741</v>
      </c>
      <c r="G11" s="26">
        <v>18215.307170824759</v>
      </c>
      <c r="H11" s="26">
        <v>17536.420903401769</v>
      </c>
      <c r="I11" s="26">
        <v>16857.53463597878</v>
      </c>
      <c r="J11" s="1"/>
    </row>
    <row r="12" spans="1:10" x14ac:dyDescent="0.3">
      <c r="A12" s="8" t="s">
        <v>554</v>
      </c>
      <c r="B12" s="26">
        <v>7699.4855852425426</v>
      </c>
      <c r="C12" s="26">
        <v>8147.5406835809772</v>
      </c>
      <c r="D12" s="26">
        <v>9695.5957819194155</v>
      </c>
      <c r="E12" s="26">
        <v>9586.7666972014486</v>
      </c>
      <c r="F12" s="26">
        <v>9421.0534294270692</v>
      </c>
      <c r="G12" s="26">
        <v>9055.3401616526935</v>
      </c>
      <c r="H12" s="26">
        <v>8689.6268938783178</v>
      </c>
      <c r="I12" s="26">
        <v>8323.9136261039457</v>
      </c>
      <c r="J12" s="1"/>
    </row>
    <row r="13" spans="1:10" x14ac:dyDescent="0.3">
      <c r="A13" s="8" t="s">
        <v>555</v>
      </c>
      <c r="B13" s="26">
        <v>8002.372447950238</v>
      </c>
      <c r="C13" s="26">
        <v>8834.1565657656065</v>
      </c>
      <c r="D13" s="26">
        <v>10862.95127170406</v>
      </c>
      <c r="E13" s="26">
        <v>11240.25127170407</v>
      </c>
      <c r="F13" s="26">
        <v>11517.551271704069</v>
      </c>
      <c r="G13" s="26">
        <v>11594.851271704059</v>
      </c>
      <c r="H13" s="26">
        <v>11672.15127170406</v>
      </c>
      <c r="I13" s="26">
        <v>11749.45127170406</v>
      </c>
      <c r="J13" s="1"/>
    </row>
    <row r="14" spans="1:10" x14ac:dyDescent="0.3">
      <c r="A14" s="8" t="s">
        <v>556</v>
      </c>
      <c r="B14" s="26">
        <v>7551.1987225348457</v>
      </c>
      <c r="C14" s="26">
        <v>7818.630095457891</v>
      </c>
      <c r="D14" s="26">
        <v>9186.0614683809399</v>
      </c>
      <c r="E14" s="26">
        <v>8907.3876124834787</v>
      </c>
      <c r="F14" s="26">
        <v>8582.6085277655075</v>
      </c>
      <c r="G14" s="26">
        <v>8057.8294430475398</v>
      </c>
      <c r="H14" s="26">
        <v>7533.0503583295686</v>
      </c>
      <c r="I14" s="26">
        <v>7008.2712736116009</v>
      </c>
      <c r="J14" s="1"/>
    </row>
    <row r="15" spans="1:10" x14ac:dyDescent="0.3">
      <c r="A15" s="1"/>
      <c r="B15" s="1"/>
      <c r="C15" s="1"/>
      <c r="D15" s="1"/>
      <c r="E15" s="1"/>
      <c r="F15" s="1"/>
      <c r="G15" s="1"/>
      <c r="H15" s="1"/>
      <c r="I15" s="1"/>
      <c r="J15" s="1"/>
    </row>
    <row r="16" spans="1:10" ht="14.5" x14ac:dyDescent="0.3">
      <c r="A16" s="58" t="s">
        <v>557</v>
      </c>
      <c r="B16" s="56"/>
      <c r="C16" s="56"/>
      <c r="D16" s="56"/>
      <c r="E16" s="56"/>
      <c r="F16" s="56"/>
      <c r="G16" s="56"/>
      <c r="H16" s="56"/>
      <c r="I16" s="56"/>
      <c r="J16" s="57"/>
    </row>
    <row r="17" spans="1:10" ht="28" customHeight="1" x14ac:dyDescent="0.3">
      <c r="A17" s="4"/>
      <c r="B17" s="4" t="s">
        <v>558</v>
      </c>
      <c r="C17" s="4" t="s">
        <v>559</v>
      </c>
      <c r="D17" s="4" t="s">
        <v>560</v>
      </c>
      <c r="E17" s="4" t="s">
        <v>561</v>
      </c>
      <c r="F17" s="4"/>
      <c r="G17" s="4"/>
      <c r="H17" s="4"/>
      <c r="I17" s="4"/>
      <c r="J17" s="4" t="s">
        <v>306</v>
      </c>
    </row>
    <row r="18" spans="1:10" x14ac:dyDescent="0.3">
      <c r="A18" s="5" t="s">
        <v>562</v>
      </c>
      <c r="B18" s="26">
        <v>130371.16786958239</v>
      </c>
      <c r="C18" s="48">
        <v>172378.1575753639</v>
      </c>
      <c r="D18" s="47">
        <v>114018.59879347689</v>
      </c>
      <c r="E18" s="26">
        <v>42006.989705781569</v>
      </c>
      <c r="F18" s="1"/>
      <c r="G18" s="1"/>
      <c r="H18" s="1"/>
      <c r="I18" s="1"/>
      <c r="J18" s="1"/>
    </row>
    <row r="19" spans="1:10" x14ac:dyDescent="0.3">
      <c r="A19" s="5" t="s">
        <v>563</v>
      </c>
      <c r="B19" s="26">
        <v>93897</v>
      </c>
      <c r="C19" s="48">
        <v>93897</v>
      </c>
      <c r="D19" s="47">
        <v>93897</v>
      </c>
      <c r="E19" s="26">
        <v>0</v>
      </c>
      <c r="F19" s="1"/>
      <c r="G19" s="1"/>
      <c r="H19" s="1"/>
      <c r="I19" s="1"/>
      <c r="J19" s="1"/>
    </row>
    <row r="20" spans="1:10" x14ac:dyDescent="0.3">
      <c r="A20" s="5" t="s">
        <v>564</v>
      </c>
      <c r="B20" s="26">
        <v>4685</v>
      </c>
      <c r="C20" s="48">
        <v>4685</v>
      </c>
      <c r="D20" s="47">
        <v>4685</v>
      </c>
      <c r="E20" s="26">
        <v>0</v>
      </c>
      <c r="F20" s="1"/>
      <c r="G20" s="1"/>
      <c r="H20" s="1"/>
      <c r="I20" s="1"/>
      <c r="J20" s="1"/>
    </row>
    <row r="21" spans="1:10" x14ac:dyDescent="0.3">
      <c r="A21" s="3" t="s">
        <v>565</v>
      </c>
      <c r="B21" s="26">
        <v>31789.167869582361</v>
      </c>
      <c r="C21" s="49">
        <v>73796.157575363934</v>
      </c>
      <c r="D21" s="47">
        <v>15436.598793476909</v>
      </c>
      <c r="E21" s="26">
        <v>42006.989705781569</v>
      </c>
      <c r="F21" s="1"/>
      <c r="G21" s="1"/>
      <c r="H21" s="1"/>
      <c r="I21" s="1"/>
      <c r="J21" s="1"/>
    </row>
    <row r="22" spans="1:10" x14ac:dyDescent="0.3">
      <c r="A22" s="5" t="s">
        <v>566</v>
      </c>
      <c r="B22" s="26">
        <v>9635.9633999023645</v>
      </c>
      <c r="C22" s="48">
        <v>51642.953105683933</v>
      </c>
      <c r="D22" s="47">
        <v>-6716.605676203093</v>
      </c>
      <c r="E22" s="26">
        <v>42006.989705781569</v>
      </c>
      <c r="F22" s="1"/>
      <c r="G22" s="1"/>
      <c r="H22" s="1"/>
      <c r="I22" s="1"/>
      <c r="J22" s="1"/>
    </row>
    <row r="23" spans="1:10" x14ac:dyDescent="0.3">
      <c r="A23" s="5" t="s">
        <v>567</v>
      </c>
      <c r="B23" s="32">
        <v>1.4349692800917639</v>
      </c>
      <c r="C23" s="50">
        <v>3.3311730443496379</v>
      </c>
      <c r="D23" s="51">
        <v>0.6968111008321265</v>
      </c>
      <c r="E23" s="2"/>
      <c r="F23" s="1"/>
      <c r="G23" s="1"/>
      <c r="H23" s="1"/>
      <c r="I23" s="1"/>
      <c r="J23" s="1"/>
    </row>
    <row r="24" spans="1:10" x14ac:dyDescent="0.3">
      <c r="A24" s="1"/>
      <c r="B24" s="1"/>
      <c r="C24" s="1"/>
      <c r="D24" s="1"/>
      <c r="E24" s="1"/>
      <c r="F24" s="1"/>
      <c r="G24" s="1"/>
      <c r="H24" s="1"/>
      <c r="I24" s="1"/>
      <c r="J24" s="1"/>
    </row>
    <row r="25" spans="1:10" x14ac:dyDescent="0.3">
      <c r="A25" s="1"/>
      <c r="B25" s="1"/>
      <c r="C25" s="1"/>
      <c r="D25" s="1"/>
      <c r="E25" s="1"/>
      <c r="F25" s="1"/>
      <c r="G25" s="1"/>
      <c r="H25" s="1"/>
      <c r="I25" s="1"/>
      <c r="J25" s="1"/>
    </row>
    <row r="26" spans="1:10" ht="28" customHeight="1" x14ac:dyDescent="0.3">
      <c r="A26" s="4" t="s">
        <v>534</v>
      </c>
      <c r="B26" s="4" t="s">
        <v>535</v>
      </c>
      <c r="C26" s="4" t="s">
        <v>536</v>
      </c>
      <c r="D26" s="4" t="s">
        <v>537</v>
      </c>
      <c r="E26" s="4" t="s">
        <v>538</v>
      </c>
      <c r="F26" s="4" t="s">
        <v>539</v>
      </c>
      <c r="G26" s="4" t="s">
        <v>540</v>
      </c>
      <c r="H26" s="4" t="s">
        <v>541</v>
      </c>
      <c r="I26" s="4" t="s">
        <v>542</v>
      </c>
      <c r="J26" s="1"/>
    </row>
    <row r="27" spans="1:10" x14ac:dyDescent="0.3">
      <c r="A27" s="8" t="s">
        <v>554</v>
      </c>
      <c r="B27" s="26">
        <v>7699.4855852425426</v>
      </c>
      <c r="C27" s="26">
        <v>8147.5406835809772</v>
      </c>
      <c r="D27" s="26">
        <v>9695.5957819194155</v>
      </c>
      <c r="E27" s="26">
        <v>9586.7666972014486</v>
      </c>
      <c r="F27" s="26">
        <v>9421.0534294270692</v>
      </c>
      <c r="G27" s="26">
        <v>9055.3401616526935</v>
      </c>
      <c r="H27" s="26">
        <v>8689.6268938783178</v>
      </c>
      <c r="I27" s="26">
        <v>8323.9136261039457</v>
      </c>
      <c r="J27" s="1"/>
    </row>
    <row r="28" spans="1:10" x14ac:dyDescent="0.3">
      <c r="A28" s="8" t="s">
        <v>555</v>
      </c>
      <c r="B28" s="26">
        <v>8002.372447950238</v>
      </c>
      <c r="C28" s="26">
        <v>8834.1565657656065</v>
      </c>
      <c r="D28" s="26">
        <v>10862.95127170406</v>
      </c>
      <c r="E28" s="26">
        <v>11240.25127170407</v>
      </c>
      <c r="F28" s="26">
        <v>11517.551271704069</v>
      </c>
      <c r="G28" s="26">
        <v>11594.851271704059</v>
      </c>
      <c r="H28" s="26">
        <v>11672.15127170406</v>
      </c>
      <c r="I28" s="26">
        <v>11749.45127170406</v>
      </c>
      <c r="J28" s="1"/>
    </row>
    <row r="29" spans="1:10" x14ac:dyDescent="0.3">
      <c r="A29" s="8" t="s">
        <v>556</v>
      </c>
      <c r="B29" s="26">
        <v>7551.1987225348457</v>
      </c>
      <c r="C29" s="26">
        <v>7818.630095457891</v>
      </c>
      <c r="D29" s="26">
        <v>9186.0614683809399</v>
      </c>
      <c r="E29" s="26">
        <v>8907.3876124834787</v>
      </c>
      <c r="F29" s="26">
        <v>8582.6085277655075</v>
      </c>
      <c r="G29" s="26">
        <v>8057.8294430475398</v>
      </c>
      <c r="H29" s="26">
        <v>7533.0503583295686</v>
      </c>
      <c r="I29" s="26">
        <v>7008.2712736116009</v>
      </c>
      <c r="J29" s="1"/>
    </row>
    <row r="30" spans="1:10" x14ac:dyDescent="0.3">
      <c r="A30" s="1"/>
      <c r="B30" s="1"/>
      <c r="C30" s="1"/>
      <c r="D30" s="1"/>
      <c r="E30" s="1"/>
      <c r="F30" s="1"/>
      <c r="G30" s="1"/>
      <c r="H30" s="1"/>
      <c r="I30" s="1"/>
      <c r="J30" s="1"/>
    </row>
    <row r="31" spans="1:10" x14ac:dyDescent="0.3">
      <c r="A31" s="1"/>
      <c r="B31" s="1"/>
      <c r="C31" s="1"/>
      <c r="D31" s="1"/>
      <c r="E31" s="1"/>
      <c r="F31" s="1"/>
      <c r="G31" s="1"/>
      <c r="H31" s="1"/>
      <c r="I31" s="1"/>
      <c r="J31" s="1"/>
    </row>
    <row r="32" spans="1:10" x14ac:dyDescent="0.3">
      <c r="A32" s="1"/>
      <c r="B32" s="1"/>
      <c r="C32" s="1"/>
      <c r="D32" s="1"/>
      <c r="E32" s="1"/>
      <c r="F32" s="1"/>
      <c r="G32" s="1"/>
      <c r="H32" s="1"/>
      <c r="I32" s="1"/>
      <c r="J32" s="1"/>
    </row>
    <row r="33" spans="1:10" x14ac:dyDescent="0.3">
      <c r="A33" s="1"/>
      <c r="B33" s="1"/>
      <c r="C33" s="1"/>
      <c r="D33" s="1"/>
      <c r="E33" s="1"/>
      <c r="F33" s="1"/>
      <c r="G33" s="1"/>
      <c r="H33" s="1"/>
      <c r="I33" s="1"/>
      <c r="J33" s="1"/>
    </row>
    <row r="34" spans="1:10" x14ac:dyDescent="0.3">
      <c r="A34" s="1"/>
      <c r="B34" s="1"/>
      <c r="C34" s="1"/>
      <c r="D34" s="1"/>
      <c r="E34" s="1"/>
      <c r="F34" s="1"/>
      <c r="G34" s="1"/>
      <c r="H34" s="1"/>
      <c r="I34" s="1"/>
      <c r="J34" s="1"/>
    </row>
    <row r="35" spans="1:10" x14ac:dyDescent="0.3">
      <c r="A35" s="1"/>
      <c r="B35" s="1"/>
      <c r="C35" s="1"/>
      <c r="D35" s="1"/>
      <c r="E35" s="1"/>
      <c r="F35" s="1"/>
      <c r="G35" s="1"/>
      <c r="H35" s="1"/>
      <c r="I35" s="1"/>
      <c r="J35" s="1"/>
    </row>
    <row r="36" spans="1:10" x14ac:dyDescent="0.3">
      <c r="A36" s="1"/>
      <c r="B36" s="1"/>
      <c r="C36" s="1"/>
      <c r="D36" s="1"/>
      <c r="E36" s="1"/>
      <c r="F36" s="1"/>
      <c r="G36" s="1"/>
      <c r="H36" s="1"/>
      <c r="I36" s="1"/>
      <c r="J36" s="1"/>
    </row>
    <row r="37" spans="1:10" x14ac:dyDescent="0.3">
      <c r="A37" s="1"/>
      <c r="B37" s="1"/>
      <c r="C37" s="1"/>
      <c r="D37" s="1"/>
      <c r="E37" s="1"/>
      <c r="F37" s="1"/>
      <c r="G37" s="1"/>
      <c r="H37" s="1"/>
      <c r="I37" s="1"/>
      <c r="J37" s="1"/>
    </row>
    <row r="38" spans="1:10" x14ac:dyDescent="0.3">
      <c r="A38" s="1"/>
      <c r="B38" s="1"/>
      <c r="C38" s="1"/>
      <c r="D38" s="1"/>
      <c r="E38" s="1"/>
      <c r="F38" s="1"/>
      <c r="G38" s="1"/>
      <c r="H38" s="1"/>
      <c r="I38" s="1"/>
      <c r="J38" s="1"/>
    </row>
    <row r="39" spans="1:10" x14ac:dyDescent="0.3">
      <c r="A39" s="1"/>
      <c r="B39" s="1"/>
      <c r="C39" s="1"/>
      <c r="D39" s="1"/>
      <c r="E39" s="1"/>
      <c r="F39" s="1"/>
      <c r="G39" s="1"/>
      <c r="H39" s="1"/>
      <c r="I39" s="1"/>
      <c r="J39" s="1"/>
    </row>
    <row r="40" spans="1:10" x14ac:dyDescent="0.3">
      <c r="A40" s="1"/>
      <c r="B40" s="1"/>
      <c r="C40" s="1"/>
      <c r="D40" s="1"/>
      <c r="E40" s="1"/>
      <c r="F40" s="1"/>
      <c r="G40" s="1"/>
      <c r="H40" s="1"/>
      <c r="I40" s="1"/>
      <c r="J40" s="1"/>
    </row>
    <row r="41" spans="1:10" x14ac:dyDescent="0.3">
      <c r="A41" s="1"/>
      <c r="B41" s="1"/>
      <c r="C41" s="1"/>
      <c r="D41" s="1"/>
      <c r="E41" s="1"/>
      <c r="F41" s="1"/>
      <c r="G41" s="1"/>
      <c r="H41" s="1"/>
      <c r="I41" s="1"/>
      <c r="J41" s="1"/>
    </row>
    <row r="42" spans="1:10" ht="56" customHeight="1" x14ac:dyDescent="0.3">
      <c r="A42" s="25" t="s">
        <v>315</v>
      </c>
      <c r="B42" s="61" t="s">
        <v>568</v>
      </c>
      <c r="C42" s="56"/>
      <c r="D42" s="56"/>
      <c r="E42" s="56"/>
      <c r="F42" s="56"/>
      <c r="G42" s="56"/>
      <c r="H42" s="56"/>
      <c r="I42" s="56"/>
      <c r="J42" s="57"/>
    </row>
  </sheetData>
  <mergeCells count="4">
    <mergeCell ref="A16:J16"/>
    <mergeCell ref="A1:J1"/>
    <mergeCell ref="B42:J42"/>
    <mergeCell ref="A2:J2"/>
  </mergeCells>
  <pageMargins left="0.75" right="0.75" top="1" bottom="1" header="0.5" footer="0.5"/>
  <pageSetup paperSize="3" fitToHeight="0"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1F4E79"/>
    <pageSetUpPr fitToPage="1"/>
  </sheetPr>
  <dimension ref="A1:E19"/>
  <sheetViews>
    <sheetView showGridLines="0" workbookViewId="0">
      <pane ySplit="1" topLeftCell="A2" activePane="bottomLeft" state="frozen"/>
      <selection pane="bottomLeft"/>
    </sheetView>
  </sheetViews>
  <sheetFormatPr defaultRowHeight="13" x14ac:dyDescent="0.3"/>
  <cols>
    <col min="1" max="1" width="42" customWidth="1"/>
    <col min="2" max="4" width="18" customWidth="1"/>
    <col min="5" max="5" width="64" customWidth="1"/>
  </cols>
  <sheetData>
    <row r="1" spans="1:5" ht="14.5" x14ac:dyDescent="0.3">
      <c r="A1" s="58" t="s">
        <v>569</v>
      </c>
      <c r="B1" s="56"/>
      <c r="C1" s="56"/>
      <c r="D1" s="56"/>
      <c r="E1" s="57"/>
    </row>
    <row r="2" spans="1:5" ht="42" customHeight="1" x14ac:dyDescent="0.3">
      <c r="A2" s="53" t="s">
        <v>570</v>
      </c>
      <c r="B2" s="56"/>
      <c r="C2" s="56"/>
      <c r="D2" s="56"/>
      <c r="E2" s="57"/>
    </row>
    <row r="3" spans="1:5" x14ac:dyDescent="0.3">
      <c r="A3" s="1"/>
      <c r="B3" s="1"/>
      <c r="C3" s="1"/>
      <c r="D3" s="1"/>
      <c r="E3" s="1"/>
    </row>
    <row r="4" spans="1:5" ht="28" customHeight="1" x14ac:dyDescent="0.3">
      <c r="A4" s="4"/>
      <c r="B4" s="4" t="s">
        <v>571</v>
      </c>
      <c r="C4" s="4" t="s">
        <v>572</v>
      </c>
      <c r="D4" s="4" t="s">
        <v>573</v>
      </c>
      <c r="E4" s="4" t="s">
        <v>306</v>
      </c>
    </row>
    <row r="5" spans="1:5" ht="32" customHeight="1" x14ac:dyDescent="0.3">
      <c r="A5" s="5" t="s">
        <v>574</v>
      </c>
      <c r="B5" s="2" t="s">
        <v>575</v>
      </c>
      <c r="C5" s="2" t="s">
        <v>576</v>
      </c>
      <c r="D5" s="2" t="s">
        <v>577</v>
      </c>
      <c r="E5" s="2"/>
    </row>
    <row r="6" spans="1:5" ht="32" customHeight="1" x14ac:dyDescent="0.3">
      <c r="A6" s="5" t="s">
        <v>578</v>
      </c>
      <c r="B6" s="2" t="s">
        <v>579</v>
      </c>
      <c r="C6" s="2" t="s">
        <v>580</v>
      </c>
      <c r="D6" s="2" t="s">
        <v>581</v>
      </c>
      <c r="E6" s="2"/>
    </row>
    <row r="7" spans="1:5" ht="32" customHeight="1" x14ac:dyDescent="0.3">
      <c r="A7" s="5" t="s">
        <v>582</v>
      </c>
      <c r="B7" s="21">
        <v>2000</v>
      </c>
      <c r="C7" s="21">
        <v>8000</v>
      </c>
      <c r="D7" s="21">
        <v>0</v>
      </c>
      <c r="E7" s="2" t="s">
        <v>583</v>
      </c>
    </row>
    <row r="8" spans="1:5" ht="32" customHeight="1" x14ac:dyDescent="0.3">
      <c r="A8" s="5" t="s">
        <v>584</v>
      </c>
      <c r="B8" s="2" t="s">
        <v>585</v>
      </c>
      <c r="C8" s="2" t="s">
        <v>586</v>
      </c>
      <c r="D8" s="2" t="s">
        <v>587</v>
      </c>
      <c r="E8" s="2" t="s">
        <v>588</v>
      </c>
    </row>
    <row r="9" spans="1:5" ht="32" customHeight="1" x14ac:dyDescent="0.3">
      <c r="A9" s="5" t="s">
        <v>589</v>
      </c>
      <c r="B9" s="26">
        <v>1406.746831921354</v>
      </c>
      <c r="C9" s="26">
        <v>6643.6230180484063</v>
      </c>
      <c r="D9" s="26">
        <v>0</v>
      </c>
      <c r="E9" s="2" t="s">
        <v>590</v>
      </c>
    </row>
    <row r="10" spans="1:5" ht="32" customHeight="1" x14ac:dyDescent="0.3">
      <c r="A10" s="5" t="s">
        <v>591</v>
      </c>
      <c r="B10" s="17">
        <v>0.8</v>
      </c>
      <c r="C10" s="17">
        <v>0.5</v>
      </c>
      <c r="D10" s="17">
        <v>0</v>
      </c>
      <c r="E10" s="2" t="s">
        <v>592</v>
      </c>
    </row>
    <row r="11" spans="1:5" ht="32" customHeight="1" x14ac:dyDescent="0.3">
      <c r="A11" s="5" t="s">
        <v>593</v>
      </c>
      <c r="B11" s="26">
        <v>33605.591764625256</v>
      </c>
      <c r="C11" s="26">
        <v>17372.808995504391</v>
      </c>
      <c r="D11" s="26">
        <v>0</v>
      </c>
      <c r="E11" s="2" t="s">
        <v>594</v>
      </c>
    </row>
    <row r="12" spans="1:5" ht="32" customHeight="1" x14ac:dyDescent="0.3">
      <c r="A12" s="3" t="s">
        <v>595</v>
      </c>
      <c r="B12" s="49">
        <v>32198.844932703902</v>
      </c>
      <c r="C12" s="16">
        <v>10729.185977455991</v>
      </c>
      <c r="D12" s="52">
        <v>9635.9633999023645</v>
      </c>
      <c r="E12" s="2" t="s">
        <v>596</v>
      </c>
    </row>
    <row r="13" spans="1:5" ht="32" customHeight="1" x14ac:dyDescent="0.3">
      <c r="A13" s="3" t="s">
        <v>597</v>
      </c>
      <c r="B13" s="26">
        <v>32198.844932703902</v>
      </c>
      <c r="C13" s="26">
        <v>10729.185977455991</v>
      </c>
      <c r="D13" s="47">
        <v>-42006.989705781569</v>
      </c>
      <c r="E13" s="2" t="s">
        <v>598</v>
      </c>
    </row>
    <row r="14" spans="1:5" x14ac:dyDescent="0.3">
      <c r="A14" s="1"/>
      <c r="B14" s="1"/>
      <c r="C14" s="1"/>
      <c r="D14" s="1"/>
      <c r="E14" s="1"/>
    </row>
    <row r="15" spans="1:5" x14ac:dyDescent="0.3">
      <c r="A15" s="1"/>
      <c r="B15" s="1"/>
      <c r="C15" s="1"/>
      <c r="D15" s="1"/>
      <c r="E15" s="1"/>
    </row>
    <row r="16" spans="1:5" ht="14.5" x14ac:dyDescent="0.3">
      <c r="A16" s="58" t="s">
        <v>599</v>
      </c>
      <c r="B16" s="56"/>
      <c r="C16" s="56"/>
      <c r="D16" s="56"/>
      <c r="E16" s="57"/>
    </row>
    <row r="17" spans="1:5" ht="48" customHeight="1" x14ac:dyDescent="0.3">
      <c r="A17" s="53" t="s">
        <v>600</v>
      </c>
      <c r="B17" s="56"/>
      <c r="C17" s="56"/>
      <c r="D17" s="56"/>
      <c r="E17" s="57"/>
    </row>
    <row r="18" spans="1:5" x14ac:dyDescent="0.3">
      <c r="A18" s="1"/>
      <c r="B18" s="1"/>
      <c r="C18" s="1"/>
      <c r="D18" s="1"/>
      <c r="E18" s="1"/>
    </row>
    <row r="19" spans="1:5" ht="48" customHeight="1" x14ac:dyDescent="0.3">
      <c r="A19" s="25" t="s">
        <v>315</v>
      </c>
      <c r="B19" s="61" t="s">
        <v>601</v>
      </c>
      <c r="C19" s="56"/>
      <c r="D19" s="56"/>
      <c r="E19" s="57"/>
    </row>
  </sheetData>
  <mergeCells count="5">
    <mergeCell ref="A2:E2"/>
    <mergeCell ref="A16:E16"/>
    <mergeCell ref="A1:E1"/>
    <mergeCell ref="B19:E19"/>
    <mergeCell ref="A17:E17"/>
  </mergeCells>
  <pageMargins left="0.75" right="0.75" top="1" bottom="1" header="0.5" footer="0.5"/>
  <pageSetup paperSize="3" fitToHeight="0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1F4E79"/>
    <pageSetUpPr fitToPage="1"/>
  </sheetPr>
  <dimension ref="A1:D44"/>
  <sheetViews>
    <sheetView showGridLines="0" workbookViewId="0">
      <pane ySplit="1" topLeftCell="A2" activePane="bottomLeft" state="frozen"/>
      <selection pane="bottomLeft"/>
    </sheetView>
  </sheetViews>
  <sheetFormatPr defaultRowHeight="13" x14ac:dyDescent="0.3"/>
  <cols>
    <col min="1" max="1" width="48" customWidth="1"/>
    <col min="2" max="3" width="18" customWidth="1"/>
    <col min="4" max="4" width="64" customWidth="1"/>
  </cols>
  <sheetData>
    <row r="1" spans="1:4" ht="14.5" x14ac:dyDescent="0.3">
      <c r="A1" s="58" t="s">
        <v>602</v>
      </c>
      <c r="B1" s="56"/>
      <c r="C1" s="56"/>
      <c r="D1" s="57"/>
    </row>
    <row r="2" spans="1:4" ht="36" customHeight="1" x14ac:dyDescent="0.3">
      <c r="A2" s="53" t="s">
        <v>603</v>
      </c>
      <c r="B2" s="56"/>
      <c r="C2" s="56"/>
      <c r="D2" s="57"/>
    </row>
    <row r="3" spans="1:4" x14ac:dyDescent="0.3">
      <c r="A3" s="1"/>
      <c r="B3" s="1"/>
      <c r="C3" s="1"/>
      <c r="D3" s="1"/>
    </row>
    <row r="4" spans="1:4" ht="14.5" x14ac:dyDescent="0.3">
      <c r="A4" s="58" t="s">
        <v>604</v>
      </c>
      <c r="B4" s="56"/>
      <c r="C4" s="56"/>
      <c r="D4" s="57"/>
    </row>
    <row r="5" spans="1:4" ht="28" customHeight="1" x14ac:dyDescent="0.3">
      <c r="A5" s="4" t="s">
        <v>56</v>
      </c>
      <c r="B5" s="4" t="s">
        <v>57</v>
      </c>
      <c r="C5" s="4" t="s">
        <v>58</v>
      </c>
      <c r="D5" s="4" t="s">
        <v>306</v>
      </c>
    </row>
    <row r="6" spans="1:4" x14ac:dyDescent="0.3">
      <c r="A6" s="5" t="s">
        <v>229</v>
      </c>
      <c r="B6" s="26">
        <v>22582</v>
      </c>
      <c r="C6" s="2" t="s">
        <v>80</v>
      </c>
      <c r="D6" s="2" t="s">
        <v>605</v>
      </c>
    </row>
    <row r="7" spans="1:4" x14ac:dyDescent="0.3">
      <c r="A7" s="5" t="s">
        <v>606</v>
      </c>
      <c r="B7" s="26">
        <v>93897</v>
      </c>
      <c r="C7" s="2" t="s">
        <v>80</v>
      </c>
      <c r="D7" s="2" t="s">
        <v>607</v>
      </c>
    </row>
    <row r="8" spans="1:4" x14ac:dyDescent="0.3">
      <c r="A8" s="5" t="s">
        <v>608</v>
      </c>
      <c r="B8" s="13">
        <v>4.1500000000000004</v>
      </c>
      <c r="C8" s="2" t="s">
        <v>609</v>
      </c>
      <c r="D8" s="2" t="s">
        <v>610</v>
      </c>
    </row>
    <row r="9" spans="1:4" x14ac:dyDescent="0.3">
      <c r="A9" s="5" t="s">
        <v>611</v>
      </c>
      <c r="B9" s="26">
        <v>7903.6999999999916</v>
      </c>
      <c r="C9" s="2" t="s">
        <v>80</v>
      </c>
      <c r="D9" s="2" t="s">
        <v>612</v>
      </c>
    </row>
    <row r="10" spans="1:4" x14ac:dyDescent="0.3">
      <c r="A10" s="5" t="s">
        <v>613</v>
      </c>
      <c r="B10" s="26">
        <v>14678.30000000001</v>
      </c>
      <c r="C10" s="2" t="s">
        <v>80</v>
      </c>
      <c r="D10" s="2" t="s">
        <v>614</v>
      </c>
    </row>
    <row r="11" spans="1:4" x14ac:dyDescent="0.3">
      <c r="A11" s="5" t="s">
        <v>615</v>
      </c>
      <c r="B11" s="26">
        <v>5004</v>
      </c>
      <c r="C11" s="2" t="s">
        <v>80</v>
      </c>
      <c r="D11" s="2" t="s">
        <v>52</v>
      </c>
    </row>
    <row r="12" spans="1:4" x14ac:dyDescent="0.3">
      <c r="A12" s="5" t="s">
        <v>98</v>
      </c>
      <c r="B12" s="26">
        <v>4812</v>
      </c>
      <c r="C12" s="2" t="s">
        <v>80</v>
      </c>
      <c r="D12" s="2" t="s">
        <v>52</v>
      </c>
    </row>
    <row r="13" spans="1:4" x14ac:dyDescent="0.3">
      <c r="A13" s="5" t="s">
        <v>616</v>
      </c>
      <c r="B13" s="26">
        <v>4800</v>
      </c>
      <c r="C13" s="2" t="s">
        <v>80</v>
      </c>
      <c r="D13" s="2" t="s">
        <v>617</v>
      </c>
    </row>
    <row r="14" spans="1:4" x14ac:dyDescent="0.3">
      <c r="A14" s="5" t="s">
        <v>618</v>
      </c>
      <c r="B14" s="26">
        <v>5400</v>
      </c>
      <c r="C14" s="2" t="s">
        <v>80</v>
      </c>
      <c r="D14" s="2" t="s">
        <v>619</v>
      </c>
    </row>
    <row r="15" spans="1:4" x14ac:dyDescent="0.3">
      <c r="A15" s="5" t="s">
        <v>620</v>
      </c>
      <c r="B15" s="26">
        <v>963</v>
      </c>
      <c r="C15" s="2" t="s">
        <v>80</v>
      </c>
      <c r="D15" s="2" t="s">
        <v>621</v>
      </c>
    </row>
    <row r="16" spans="1:4" x14ac:dyDescent="0.3">
      <c r="A16" s="12" t="s">
        <v>622</v>
      </c>
      <c r="B16" s="26">
        <v>838</v>
      </c>
      <c r="C16" s="2" t="s">
        <v>80</v>
      </c>
      <c r="D16" s="2" t="s">
        <v>623</v>
      </c>
    </row>
    <row r="17" spans="1:4" x14ac:dyDescent="0.3">
      <c r="A17" s="12" t="s">
        <v>624</v>
      </c>
      <c r="B17" s="26">
        <v>365</v>
      </c>
      <c r="C17" s="2" t="s">
        <v>80</v>
      </c>
      <c r="D17" s="2" t="s">
        <v>625</v>
      </c>
    </row>
    <row r="18" spans="1:4" x14ac:dyDescent="0.3">
      <c r="A18" s="12" t="s">
        <v>626</v>
      </c>
      <c r="B18" s="26">
        <v>4200</v>
      </c>
      <c r="C18" s="2" t="s">
        <v>80</v>
      </c>
      <c r="D18" s="2" t="s">
        <v>627</v>
      </c>
    </row>
    <row r="19" spans="1:4" x14ac:dyDescent="0.3">
      <c r="A19" s="12" t="s">
        <v>628</v>
      </c>
      <c r="B19" s="26">
        <v>12400</v>
      </c>
      <c r="C19" s="2" t="s">
        <v>80</v>
      </c>
      <c r="D19" s="2" t="s">
        <v>629</v>
      </c>
    </row>
    <row r="20" spans="1:4" x14ac:dyDescent="0.3">
      <c r="A20" s="5" t="s">
        <v>630</v>
      </c>
      <c r="B20" s="26">
        <v>5117</v>
      </c>
      <c r="C20" s="2" t="s">
        <v>80</v>
      </c>
      <c r="D20" s="2" t="s">
        <v>631</v>
      </c>
    </row>
    <row r="21" spans="1:4" x14ac:dyDescent="0.3">
      <c r="A21" s="1"/>
      <c r="B21" s="1"/>
      <c r="C21" s="1"/>
      <c r="D21" s="1"/>
    </row>
    <row r="22" spans="1:4" x14ac:dyDescent="0.3">
      <c r="A22" s="1"/>
      <c r="B22" s="1"/>
      <c r="C22" s="1"/>
      <c r="D22" s="1"/>
    </row>
    <row r="23" spans="1:4" ht="14.5" x14ac:dyDescent="0.3">
      <c r="A23" s="58" t="s">
        <v>632</v>
      </c>
      <c r="B23" s="56"/>
      <c r="C23" s="56"/>
      <c r="D23" s="57"/>
    </row>
    <row r="24" spans="1:4" ht="28" customHeight="1" x14ac:dyDescent="0.3">
      <c r="A24" s="4" t="s">
        <v>633</v>
      </c>
      <c r="B24" s="4" t="s">
        <v>634</v>
      </c>
      <c r="C24" s="4" t="s">
        <v>635</v>
      </c>
      <c r="D24" s="4" t="s">
        <v>636</v>
      </c>
    </row>
    <row r="25" spans="1:4" x14ac:dyDescent="0.3">
      <c r="A25" s="5" t="s">
        <v>637</v>
      </c>
      <c r="B25" s="26">
        <v>4800</v>
      </c>
      <c r="C25" s="26">
        <v>4800</v>
      </c>
      <c r="D25" s="26">
        <v>4800</v>
      </c>
    </row>
    <row r="26" spans="1:4" x14ac:dyDescent="0.3">
      <c r="A26" s="5" t="s">
        <v>638</v>
      </c>
      <c r="B26" s="26">
        <v>4200</v>
      </c>
      <c r="C26" s="26">
        <v>4200</v>
      </c>
      <c r="D26" s="26">
        <v>4200</v>
      </c>
    </row>
    <row r="27" spans="1:4" x14ac:dyDescent="0.3">
      <c r="A27" s="5" t="s">
        <v>639</v>
      </c>
      <c r="B27" s="26">
        <v>5400</v>
      </c>
      <c r="C27" s="26">
        <v>0</v>
      </c>
      <c r="D27" s="26">
        <v>0</v>
      </c>
    </row>
    <row r="28" spans="1:4" x14ac:dyDescent="0.3">
      <c r="A28" s="5" t="s">
        <v>640</v>
      </c>
      <c r="B28" s="26">
        <v>0</v>
      </c>
      <c r="C28" s="26">
        <v>2000</v>
      </c>
      <c r="D28" s="26">
        <v>0</v>
      </c>
    </row>
    <row r="29" spans="1:4" x14ac:dyDescent="0.3">
      <c r="A29" s="3" t="s">
        <v>641</v>
      </c>
      <c r="B29" s="47">
        <v>-4800</v>
      </c>
      <c r="C29" s="26">
        <v>-1400</v>
      </c>
      <c r="D29" s="26">
        <v>600</v>
      </c>
    </row>
    <row r="30" spans="1:4" x14ac:dyDescent="0.3">
      <c r="A30" s="1"/>
      <c r="B30" s="1"/>
      <c r="C30" s="1"/>
      <c r="D30" s="1"/>
    </row>
    <row r="31" spans="1:4" ht="56" customHeight="1" x14ac:dyDescent="0.3">
      <c r="A31" s="61" t="s">
        <v>642</v>
      </c>
      <c r="B31" s="56"/>
      <c r="C31" s="56"/>
      <c r="D31" s="57"/>
    </row>
    <row r="32" spans="1:4" x14ac:dyDescent="0.3">
      <c r="A32" s="1"/>
      <c r="B32" s="1"/>
      <c r="C32" s="1"/>
      <c r="D32" s="1"/>
    </row>
    <row r="33" spans="1:4" ht="14.5" x14ac:dyDescent="0.3">
      <c r="A33" s="58" t="s">
        <v>643</v>
      </c>
      <c r="B33" s="56"/>
      <c r="C33" s="56"/>
      <c r="D33" s="57"/>
    </row>
    <row r="34" spans="1:4" ht="28" customHeight="1" x14ac:dyDescent="0.3">
      <c r="A34" s="4" t="s">
        <v>644</v>
      </c>
      <c r="B34" s="4" t="s">
        <v>645</v>
      </c>
      <c r="C34" s="4" t="s">
        <v>646</v>
      </c>
      <c r="D34" s="4" t="s">
        <v>306</v>
      </c>
    </row>
    <row r="35" spans="1:4" x14ac:dyDescent="0.3">
      <c r="A35" s="5" t="s">
        <v>647</v>
      </c>
      <c r="B35" s="13">
        <v>345.49</v>
      </c>
      <c r="C35" s="2"/>
      <c r="D35" s="2" t="s">
        <v>648</v>
      </c>
    </row>
    <row r="36" spans="1:4" x14ac:dyDescent="0.3">
      <c r="A36" s="5" t="s">
        <v>649</v>
      </c>
      <c r="B36" s="13">
        <v>373.65</v>
      </c>
      <c r="C36" s="2"/>
      <c r="D36" s="2" t="s">
        <v>650</v>
      </c>
    </row>
    <row r="37" spans="1:4" x14ac:dyDescent="0.3">
      <c r="A37" s="5" t="s">
        <v>651</v>
      </c>
      <c r="B37" s="13">
        <v>309.75</v>
      </c>
      <c r="C37" s="2"/>
      <c r="D37" s="2" t="s">
        <v>652</v>
      </c>
    </row>
    <row r="38" spans="1:4" x14ac:dyDescent="0.3">
      <c r="A38" s="5" t="s">
        <v>653</v>
      </c>
      <c r="B38" s="13">
        <v>233.84</v>
      </c>
      <c r="C38" s="2"/>
      <c r="D38" s="2"/>
    </row>
    <row r="39" spans="1:4" x14ac:dyDescent="0.3">
      <c r="A39" s="5" t="s">
        <v>654</v>
      </c>
      <c r="B39" s="13">
        <v>206.12</v>
      </c>
      <c r="C39" s="10">
        <v>5400</v>
      </c>
      <c r="D39" s="2" t="s">
        <v>655</v>
      </c>
    </row>
    <row r="40" spans="1:4" x14ac:dyDescent="0.3">
      <c r="A40" s="5" t="s">
        <v>656</v>
      </c>
      <c r="B40" s="13">
        <v>180.13</v>
      </c>
      <c r="C40" s="10">
        <v>963</v>
      </c>
      <c r="D40" s="2" t="s">
        <v>657</v>
      </c>
    </row>
    <row r="41" spans="1:4" x14ac:dyDescent="0.3">
      <c r="A41" s="12" t="s">
        <v>658</v>
      </c>
      <c r="B41" s="13">
        <v>123.31</v>
      </c>
      <c r="C41" s="10">
        <v>838</v>
      </c>
      <c r="D41" s="2" t="s">
        <v>659</v>
      </c>
    </row>
    <row r="42" spans="1:4" x14ac:dyDescent="0.3">
      <c r="A42" s="1"/>
      <c r="B42" s="1"/>
      <c r="C42" s="1"/>
      <c r="D42" s="1"/>
    </row>
    <row r="43" spans="1:4" x14ac:dyDescent="0.3">
      <c r="A43" s="1"/>
      <c r="B43" s="1"/>
      <c r="C43" s="1"/>
      <c r="D43" s="1"/>
    </row>
    <row r="44" spans="1:4" ht="48" customHeight="1" x14ac:dyDescent="0.3">
      <c r="A44" s="24" t="s">
        <v>315</v>
      </c>
      <c r="B44" s="60" t="s">
        <v>660</v>
      </c>
      <c r="C44" s="56"/>
      <c r="D44" s="57"/>
    </row>
  </sheetData>
  <mergeCells count="7">
    <mergeCell ref="A1:D1"/>
    <mergeCell ref="A23:D23"/>
    <mergeCell ref="A31:D31"/>
    <mergeCell ref="A4:D4"/>
    <mergeCell ref="B44:D44"/>
    <mergeCell ref="A2:D2"/>
    <mergeCell ref="A33:D33"/>
  </mergeCells>
  <pageMargins left="0.75" right="0.75" top="1" bottom="1" header="0.5" footer="0.5"/>
  <pageSetup paperSize="3" fitToHeight="0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1F4E79"/>
    <pageSetUpPr fitToPage="1"/>
  </sheetPr>
  <dimension ref="A1:D16"/>
  <sheetViews>
    <sheetView showGridLines="0" workbookViewId="0">
      <pane ySplit="1" topLeftCell="A2" activePane="bottomLeft" state="frozen"/>
      <selection pane="bottomLeft"/>
    </sheetView>
  </sheetViews>
  <sheetFormatPr defaultRowHeight="13" x14ac:dyDescent="0.3"/>
  <cols>
    <col min="1" max="1" width="42" customWidth="1"/>
    <col min="2" max="2" width="18" customWidth="1"/>
    <col min="3" max="3" width="36" customWidth="1"/>
    <col min="4" max="4" width="64" customWidth="1"/>
  </cols>
  <sheetData>
    <row r="1" spans="1:4" ht="14.5" x14ac:dyDescent="0.3">
      <c r="A1" s="58" t="s">
        <v>661</v>
      </c>
      <c r="B1" s="56"/>
      <c r="C1" s="56"/>
      <c r="D1" s="57"/>
    </row>
    <row r="2" spans="1:4" x14ac:dyDescent="0.3">
      <c r="A2" s="1"/>
      <c r="B2" s="1"/>
      <c r="C2" s="1"/>
      <c r="D2" s="1"/>
    </row>
    <row r="3" spans="1:4" ht="28" customHeight="1" x14ac:dyDescent="0.3">
      <c r="A3" s="4" t="s">
        <v>16</v>
      </c>
      <c r="B3" s="4" t="s">
        <v>18</v>
      </c>
      <c r="C3" s="4" t="s">
        <v>662</v>
      </c>
      <c r="D3" s="4" t="s">
        <v>279</v>
      </c>
    </row>
    <row r="4" spans="1:4" ht="28" customHeight="1" x14ac:dyDescent="0.3">
      <c r="A4" s="3" t="s">
        <v>663</v>
      </c>
      <c r="B4" s="6" t="s">
        <v>22</v>
      </c>
      <c r="C4" s="29" t="s">
        <v>664</v>
      </c>
      <c r="D4" s="2" t="s">
        <v>665</v>
      </c>
    </row>
    <row r="5" spans="1:4" ht="28" customHeight="1" x14ac:dyDescent="0.3">
      <c r="A5" s="3" t="s">
        <v>666</v>
      </c>
      <c r="B5" s="6" t="s">
        <v>22</v>
      </c>
      <c r="C5" s="29" t="s">
        <v>667</v>
      </c>
      <c r="D5" s="2" t="s">
        <v>668</v>
      </c>
    </row>
    <row r="6" spans="1:4" ht="28" customHeight="1" x14ac:dyDescent="0.3">
      <c r="A6" s="3" t="s">
        <v>669</v>
      </c>
      <c r="B6" s="6" t="s">
        <v>22</v>
      </c>
      <c r="C6" s="42" t="s">
        <v>670</v>
      </c>
      <c r="D6" s="2" t="s">
        <v>671</v>
      </c>
    </row>
    <row r="7" spans="1:4" ht="28" customHeight="1" x14ac:dyDescent="0.3">
      <c r="A7" s="3" t="s">
        <v>672</v>
      </c>
      <c r="B7" s="6" t="s">
        <v>22</v>
      </c>
      <c r="C7" s="42" t="s">
        <v>673</v>
      </c>
      <c r="D7" s="2" t="s">
        <v>674</v>
      </c>
    </row>
    <row r="8" spans="1:4" ht="28" customHeight="1" x14ac:dyDescent="0.3">
      <c r="A8" s="3" t="s">
        <v>675</v>
      </c>
      <c r="B8" s="6" t="s">
        <v>22</v>
      </c>
      <c r="C8" s="29" t="s">
        <v>676</v>
      </c>
      <c r="D8" s="2" t="s">
        <v>677</v>
      </c>
    </row>
    <row r="9" spans="1:4" ht="28" customHeight="1" x14ac:dyDescent="0.3">
      <c r="A9" s="3" t="s">
        <v>678</v>
      </c>
      <c r="B9" s="6" t="s">
        <v>22</v>
      </c>
      <c r="C9" s="42" t="s">
        <v>679</v>
      </c>
      <c r="D9" s="2" t="s">
        <v>680</v>
      </c>
    </row>
    <row r="10" spans="1:4" ht="28" customHeight="1" x14ac:dyDescent="0.3">
      <c r="A10" s="3" t="s">
        <v>681</v>
      </c>
      <c r="B10" s="6" t="s">
        <v>22</v>
      </c>
      <c r="C10" s="42" t="s">
        <v>682</v>
      </c>
      <c r="D10" s="2" t="s">
        <v>683</v>
      </c>
    </row>
    <row r="11" spans="1:4" ht="28" customHeight="1" x14ac:dyDescent="0.3">
      <c r="A11" s="3" t="s">
        <v>684</v>
      </c>
      <c r="B11" s="6" t="s">
        <v>685</v>
      </c>
      <c r="C11" s="29" t="s">
        <v>686</v>
      </c>
      <c r="D11" s="2" t="s">
        <v>687</v>
      </c>
    </row>
    <row r="12" spans="1:4" ht="28" customHeight="1" x14ac:dyDescent="0.3">
      <c r="A12" s="3" t="s">
        <v>688</v>
      </c>
      <c r="B12" s="6" t="s">
        <v>22</v>
      </c>
      <c r="C12" s="29" t="s">
        <v>689</v>
      </c>
      <c r="D12" s="2" t="s">
        <v>690</v>
      </c>
    </row>
    <row r="13" spans="1:4" x14ac:dyDescent="0.3">
      <c r="A13" s="1"/>
      <c r="B13" s="1"/>
      <c r="C13" s="1"/>
      <c r="D13" s="1"/>
    </row>
    <row r="14" spans="1:4" x14ac:dyDescent="0.3">
      <c r="A14" s="1"/>
      <c r="B14" s="1"/>
      <c r="C14" s="1"/>
      <c r="D14" s="1"/>
    </row>
    <row r="15" spans="1:4" ht="14.5" x14ac:dyDescent="0.3">
      <c r="A15" s="58" t="s">
        <v>691</v>
      </c>
      <c r="B15" s="56"/>
      <c r="C15" s="56"/>
      <c r="D15" s="57"/>
    </row>
    <row r="16" spans="1:4" ht="56" customHeight="1" x14ac:dyDescent="0.3">
      <c r="A16" s="61" t="s">
        <v>692</v>
      </c>
      <c r="B16" s="56"/>
      <c r="C16" s="56"/>
      <c r="D16" s="57"/>
    </row>
  </sheetData>
  <mergeCells count="3">
    <mergeCell ref="A1:D1"/>
    <mergeCell ref="A16:D16"/>
    <mergeCell ref="A15:D15"/>
  </mergeCells>
  <pageMargins left="0.75" right="0.75" top="1" bottom="1" header="0.5" footer="0.5"/>
  <pageSetup paperSize="3"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00_ReadMe</vt:lpstr>
      <vt:lpstr>01_Assumptions</vt:lpstr>
      <vt:lpstr>02_IssueTree</vt:lpstr>
      <vt:lpstr>03_InternetBridge</vt:lpstr>
      <vt:lpstr>04_CompsEvent</vt:lpstr>
      <vt:lpstr>05_ReverseDCF</vt:lpstr>
      <vt:lpstr>06_ROIC_EP</vt:lpstr>
      <vt:lpstr>07_UnitEconomics</vt:lpstr>
      <vt:lpstr>08_FullPotential</vt:lpstr>
      <vt:lpstr>09_InitiativeNPV</vt:lpstr>
      <vt:lpstr>10_FundingBox</vt:lpstr>
      <vt:lpstr>11_Scorecard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Conger, Kyle E.</cp:lastModifiedBy>
  <dcterms:created xsi:type="dcterms:W3CDTF">2026-09-08T18:23:21Z</dcterms:created>
  <dcterms:modified xsi:type="dcterms:W3CDTF">2026-09-08T18:24:19Z</dcterms:modified>
</cp:coreProperties>
</file>