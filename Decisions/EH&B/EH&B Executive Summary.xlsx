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ritical values" sheetId="2" state="visible" r:id="rId2"/>
    <sheet xmlns:r="http://schemas.openxmlformats.org/officeDocument/2006/relationships" name="Mix" sheetId="3" state="visible" r:id="rId3"/>
    <sheet xmlns:r="http://schemas.openxmlformats.org/officeDocument/2006/relationships" name="Rate vs volume" sheetId="4" state="visible" r:id="rId4"/>
    <sheet xmlns:r="http://schemas.openxmlformats.org/officeDocument/2006/relationships" name="Plant and leverage" sheetId="5" state="visible" r:id="rId5"/>
    <sheet xmlns:r="http://schemas.openxmlformats.org/officeDocument/2006/relationships" name="Play fit" sheetId="6" state="visible" r:id="rId6"/>
    <sheet xmlns:r="http://schemas.openxmlformats.org/officeDocument/2006/relationships" name="Do not claim" sheetId="7" state="visible" r:id="rId7"/>
  </sheets>
  <definedNames>
    <definedName name="_xlnm._FilterDatabase" localSheetId="0" hidden="1">'Notes'!$A$1:$B$7</definedName>
    <definedName name="_xlnm._FilterDatabase" localSheetId="1" hidden="1">'Critical values'!$A$1:$F$26</definedName>
    <definedName name="_xlnm._FilterDatabase" localSheetId="2" hidden="1">'Mix'!$A$1:$E$9</definedName>
    <definedName name="_xlnm._FilterDatabase" localSheetId="3" hidden="1">'Rate vs volume'!$A$1:$F$15</definedName>
    <definedName name="_xlnm._FilterDatabase" localSheetId="4" hidden="1">'Plant and leverage'!$A$1:$F$13</definedName>
    <definedName name="_xlnm._FilterDatabase" localSheetId="5" hidden="1">'Play fit'!$A$1:$E$7</definedName>
    <definedName name="_xlnm._FilterDatabase" localSheetId="6" hidden="1">'Do not claim'!$A$1:$C$7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3F3F3"/>
      </patternFill>
    </fill>
    <fill>
      <patternFill patternType="solid">
        <fgColor rgb="00F8ECE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62" customWidth="1" min="2" max="2"/>
  </cols>
  <sheetData>
    <row r="1">
      <c r="A1" s="1" t="inlineStr">
        <is>
          <t>Item</t>
        </is>
      </c>
      <c r="B1" s="1" t="inlineStr">
        <is>
          <t>Text</t>
        </is>
      </c>
    </row>
    <row r="2" ht="48" customHeight="1">
      <c r="A2" s="2" t="inlineStr">
        <is>
          <t>Channel</t>
        </is>
      </c>
      <c r="B2" s="2" t="inlineStr">
        <is>
          <t>Employee Health &amp; Benefits: a corporate or broker door that can open one residential Spectrum Internet account at the employee’s home. Productivity is the pitch, not the KPI. This is not the other use of EH&amp;B in this project (existing homes and businesses), though the account has to land on plant already passed.</t>
        </is>
      </c>
    </row>
    <row r="3" ht="60" customHeight="1">
      <c r="A3" s="2" t="inlineStr">
        <is>
          <t>Recommendation</t>
        </is>
      </c>
      <c r="B3" s="2" t="inlineStr">
        <is>
          <t>This quarter, stand up a quarterly residential-Internet net-loss tracker on the core (who left and why), and only if the fill is fixed wireless or housing among non-movers, authorize a two-quarter test of one employer-paid residential Spectrum Internet account on plant already passed; refuse it if the home is off plant, the household already has Spectrum, or the line dies when employment ends.</t>
        </is>
      </c>
    </row>
    <row r="4">
      <c r="A4" s="2" t="inlineStr">
        <is>
          <t>Retrieved</t>
        </is>
      </c>
      <c r="B4" s="2" t="inlineStr">
        <is>
          <t>A figure printed in a filing or official table used here: Ex99.1, the 10-Q, the 10-K, or the Q1 2026 trending schedule.</t>
        </is>
      </c>
    </row>
    <row r="5">
      <c r="A5" s="2" t="inlineStr">
        <is>
          <t>Derived</t>
        </is>
      </c>
      <c r="B5" s="2" t="inlineStr">
        <is>
          <t>A figure computed from retrieved inputs. The implied monthly rate and the −$90 / +$12 split are derived. They are a cross-check. They do not replace the printed 10-Q bridge of −$87 million volume and +$9 million rate.</t>
        </is>
      </c>
    </row>
    <row r="6">
      <c r="A6" s="2" t="inlineStr">
        <is>
          <t>Blank on purpose</t>
        </is>
      </c>
      <c r="B6" s="2" t="inlineStr">
        <is>
          <t>Contribution per incremental Internet account and consumer acquisition cost are not in the filings. Those cells are empty. No take-up rate is estimated.</t>
        </is>
      </c>
    </row>
    <row r="7">
      <c r="A7" s="2" t="inlineStr">
        <is>
          <t>Arithmetic</t>
        </is>
      </c>
      <c r="B7" s="2" t="inlineStr">
        <is>
          <t>Analysis/ehb-unit-economics/recompute_rate_volume.py writes out/summary.json. This workbook reads that file.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36" customWidth="1" min="3" max="3"/>
    <col width="22" customWidth="1" min="4" max="4"/>
    <col width="62" customWidth="1" min="5" max="5"/>
    <col width="62" customWidth="1" min="6" max="6"/>
  </cols>
  <sheetData>
    <row r="1">
      <c r="A1" s="1" t="inlineStr">
        <is>
          <t>Metric</t>
        </is>
      </c>
      <c r="B1" s="1" t="inlineStr">
        <is>
          <t>Value</t>
        </is>
      </c>
      <c r="C1" s="1" t="inlineStr">
        <is>
          <t>Period</t>
        </is>
      </c>
      <c r="D1" s="1" t="inlineStr">
        <is>
          <t>Retrieved or derived</t>
        </is>
      </c>
      <c r="E1" s="1" t="inlineStr">
        <is>
          <t>Source file</t>
        </is>
      </c>
      <c r="F1" s="1" t="inlineStr">
        <is>
          <t>Do not confuse</t>
        </is>
      </c>
    </row>
    <row r="2">
      <c r="A2" s="2" t="inlineStr">
        <is>
          <t>Company revenue</t>
        </is>
      </c>
      <c r="B2" s="2" t="n">
        <v>13597</v>
      </c>
      <c r="C2" s="2" t="inlineStr">
        <is>
          <t>Q1 2026</t>
        </is>
      </c>
      <c r="D2" s="2" t="inlineStr">
        <is>
          <t>Retrieved</t>
        </is>
      </c>
      <c r="E2" s="2" t="inlineStr">
        <is>
          <t>PrimarySources/readable/CHTR-Q1-2026-Earnings-Release-Ex99.1.md</t>
        </is>
      </c>
      <c r="F2" s="2" t="inlineStr">
        <is>
          <t>Millions of dollars. Not a stock price.</t>
        </is>
      </c>
    </row>
    <row r="3">
      <c r="A3" s="2" t="inlineStr">
        <is>
          <t>Internet revenue</t>
        </is>
      </c>
      <c r="B3" s="2" t="n">
        <v>5852</v>
      </c>
      <c r="C3" s="2" t="inlineStr">
        <is>
          <t>Q1 2026</t>
        </is>
      </c>
      <c r="D3" s="2" t="inlineStr">
        <is>
          <t>Retrieved</t>
        </is>
      </c>
      <c r="E3" s="2" t="inlineStr">
        <is>
          <t>PrimarySources/readable/CHTR-Q1-2026-Earnings-Release-Ex99.1.md</t>
        </is>
      </c>
      <c r="F3" s="2" t="inlineStr">
        <is>
          <t>Residential product line inside residential revenue. Not SMB Internet.</t>
        </is>
      </c>
    </row>
    <row r="4">
      <c r="A4" s="2" t="inlineStr">
        <is>
          <t>Internet revenue, prior year</t>
        </is>
      </c>
      <c r="B4" s="2" t="n">
        <v>5930</v>
      </c>
      <c r="C4" s="2" t="inlineStr">
        <is>
          <t>Q1 2025</t>
        </is>
      </c>
      <c r="D4" s="2" t="inlineStr">
        <is>
          <t>Retrieved</t>
        </is>
      </c>
      <c r="E4" s="2" t="inlineStr">
        <is>
          <t>PrimarySources/readable/CHTR-Q1-2026-Earnings-Release-Ex99.1.md</t>
        </is>
      </c>
      <c r="F4" s="2" t="inlineStr"/>
    </row>
    <row r="5">
      <c r="A5" s="2" t="inlineStr">
        <is>
          <t>Internet revenue change</t>
        </is>
      </c>
      <c r="B5" s="2" t="n">
        <v>-78</v>
      </c>
      <c r="C5" s="2" t="inlineStr">
        <is>
          <t>Q1 2026 vs Q1 2025</t>
        </is>
      </c>
      <c r="D5" s="2" t="inlineStr">
        <is>
          <t>Retrieved</t>
        </is>
      </c>
      <c r="E5" s="2" t="inlineStr">
        <is>
          <t>PrimarySources/readable/CHTR-Q1-2026-Earnings-Release-Ex99.1.md</t>
        </is>
      </c>
      <c r="F5" s="2" t="inlineStr">
        <is>
          <t>Millions. Printed −1.3%. Not the derived −$90.</t>
        </is>
      </c>
    </row>
    <row r="6">
      <c r="A6" s="2" t="inlineStr">
        <is>
          <t>Internet share of revenue</t>
        </is>
      </c>
      <c r="B6" s="2" t="n">
        <v>0.430389</v>
      </c>
      <c r="C6" s="2" t="inlineStr">
        <is>
          <t>Q1 2026</t>
        </is>
      </c>
      <c r="D6" s="2" t="inlineStr">
        <is>
          <t>Derived</t>
        </is>
      </c>
      <c r="E6" s="2" t="inlineStr">
        <is>
          <t>Ex99.1 dollars; share = 5,852 / 13,597</t>
        </is>
      </c>
      <c r="F6" s="2" t="inlineStr">
        <is>
          <t>Displays as 43%. Not a customer share.</t>
        </is>
      </c>
    </row>
    <row r="7">
      <c r="A7" s="2" t="inlineStr">
        <is>
          <t>Residential Internet net additions (000s)</t>
        </is>
      </c>
      <c r="B7" s="2" t="n">
        <v>-117</v>
      </c>
      <c r="C7" s="2" t="inlineStr">
        <is>
          <t>Q1 2026</t>
        </is>
      </c>
      <c r="D7" s="2" t="inlineStr">
        <is>
          <t>Retrieved</t>
        </is>
      </c>
      <c r="E7" s="2" t="inlineStr">
        <is>
          <t>PrimarySources/readable/CHTR-Q1-2026-Earnings-Release-Ex99.1.md</t>
        </is>
      </c>
      <c r="F7" s="2" t="inlineStr">
        <is>
          <t>Not total Internet (−120). Not the −455,000 year-over-year ending-customer change.</t>
        </is>
      </c>
    </row>
    <row r="8">
      <c r="A8" s="2" t="inlineStr">
        <is>
          <t>Volume, printed bridge</t>
        </is>
      </c>
      <c r="B8" s="2" t="n">
        <v>-87</v>
      </c>
      <c r="C8" s="2" t="inlineStr">
        <is>
          <t>Q1 2026</t>
        </is>
      </c>
      <c r="D8" s="2" t="inlineStr">
        <is>
          <t>Retrieved</t>
        </is>
      </c>
      <c r="E8" s="2" t="inlineStr">
        <is>
          <t>PrimarySources/readable/CHTR-10-Q-Q1-2026.md</t>
        </is>
      </c>
      <c r="F8" s="2" t="inlineStr">
        <is>
          <t>Headline split. Do not replace with the derived −$90.</t>
        </is>
      </c>
    </row>
    <row r="9">
      <c r="A9" s="2" t="inlineStr">
        <is>
          <t>Rate and product mix, printed bridge</t>
        </is>
      </c>
      <c r="B9" s="2" t="n">
        <v>9</v>
      </c>
      <c r="C9" s="2" t="inlineStr">
        <is>
          <t>Q1 2026</t>
        </is>
      </c>
      <c r="D9" s="2" t="inlineStr">
        <is>
          <t>Retrieved</t>
        </is>
      </c>
      <c r="E9" s="2" t="inlineStr">
        <is>
          <t>PrimarySources/readable/CHTR-10-Q-Q1-2026.md</t>
        </is>
      </c>
      <c r="F9" s="2" t="inlineStr">
        <is>
          <t>Headline split. Do not replace with the derived +$12.</t>
        </is>
      </c>
    </row>
    <row r="10">
      <c r="A10" s="2" t="inlineStr">
        <is>
          <t>Implied Internet rate, this year</t>
        </is>
      </c>
      <c r="B10" s="2" t="n">
        <v>70.72</v>
      </c>
      <c r="C10" s="2" t="inlineStr">
        <is>
          <t>Q1 2026</t>
        </is>
      </c>
      <c r="D10" s="2" t="inlineStr">
        <is>
          <t>Derived</t>
        </is>
      </c>
      <c r="E10" s="2" t="inlineStr">
        <is>
          <t>Analysis/ehb-unit-economics/out/summary.json</t>
        </is>
      </c>
      <c r="F10" s="2" t="inlineStr">
        <is>
          <t>Dollars per month. Not a printed ARPU.</t>
        </is>
      </c>
    </row>
    <row r="11">
      <c r="A11" s="2" t="inlineStr">
        <is>
          <t>Implied Internet rate, prior year</t>
        </is>
      </c>
      <c r="B11" s="2" t="n">
        <v>70.58</v>
      </c>
      <c r="C11" s="2" t="inlineStr">
        <is>
          <t>Q1 2025</t>
        </is>
      </c>
      <c r="D11" s="2" t="inlineStr">
        <is>
          <t>Derived</t>
        </is>
      </c>
      <c r="E11" s="2" t="inlineStr">
        <is>
          <t>Analysis/ehb-unit-economics/out/summary.json</t>
        </is>
      </c>
      <c r="F11" s="2" t="inlineStr">
        <is>
          <t>Dollars per month. Not a printed ARPU.</t>
        </is>
      </c>
    </row>
    <row r="12">
      <c r="A12" s="2" t="inlineStr">
        <is>
          <t>Extra rate to hold dollars flat</t>
        </is>
      </c>
      <c r="B12" s="2" t="n">
        <v>0.9399999999999999</v>
      </c>
      <c r="C12" s="2" t="inlineStr">
        <is>
          <t>Q1 2026</t>
        </is>
      </c>
      <c r="D12" s="2" t="inlineStr">
        <is>
          <t>Derived</t>
        </is>
      </c>
      <c r="E12" s="2" t="inlineStr">
        <is>
          <t>Analysis/ehb-unit-economics/out/summary.json</t>
        </is>
      </c>
      <c r="F12" s="2" t="inlineStr">
        <is>
          <t>Dollars per month on the derived identity only. Not the 10-Q bridge.</t>
        </is>
      </c>
    </row>
    <row r="13">
      <c r="A13" s="2" t="inlineStr">
        <is>
          <t>FY2025 rate and mix</t>
        </is>
      </c>
      <c r="B13" s="2" t="n">
        <v>785</v>
      </c>
      <c r="C13" s="2" t="inlineStr">
        <is>
          <t>FY2025</t>
        </is>
      </c>
      <c r="D13" s="2" t="inlineStr">
        <is>
          <t>Retrieved</t>
        </is>
      </c>
      <c r="E13" s="2" t="inlineStr">
        <is>
          <t>PrimarySources/readable/CHTR-10-K-FY2025.md</t>
        </is>
      </c>
      <c r="F13" s="2" t="inlineStr">
        <is>
          <t>Residential Internet. Covered the volume decline that year.</t>
        </is>
      </c>
    </row>
    <row r="14">
      <c r="A14" s="2" t="inlineStr">
        <is>
          <t>FY2025 volume</t>
        </is>
      </c>
      <c r="B14" s="2" t="n">
        <v>-380</v>
      </c>
      <c r="C14" s="2" t="inlineStr">
        <is>
          <t>FY2025</t>
        </is>
      </c>
      <c r="D14" s="2" t="inlineStr">
        <is>
          <t>Retrieved</t>
        </is>
      </c>
      <c r="E14" s="2" t="inlineStr">
        <is>
          <t>PrimarySources/readable/CHTR-10-K-FY2025.md</t>
        </is>
      </c>
      <c r="F14" s="2" t="inlineStr">
        <is>
          <t>Decrease in average residential Internet customers.</t>
        </is>
      </c>
    </row>
    <row r="15">
      <c r="A15" s="2" t="inlineStr">
        <is>
          <t>FY2025 residential Internet customers</t>
        </is>
      </c>
      <c r="B15" s="2" t="n">
        <v>-393000</v>
      </c>
      <c r="C15" s="2" t="inlineStr">
        <is>
          <t>FY2025 vs FY2024</t>
        </is>
      </c>
      <c r="D15" s="2" t="inlineStr">
        <is>
          <t>Retrieved</t>
        </is>
      </c>
      <c r="E15" s="2" t="inlineStr">
        <is>
          <t>PrimarySources/readable/CHTR-10-K-FY2025.md</t>
        </is>
      </c>
      <c r="F15" s="2" t="inlineStr">
        <is>
          <t>Customers, not dollars. Not the Q1 −117,000.</t>
        </is>
      </c>
    </row>
    <row r="16">
      <c r="A16" s="2" t="inlineStr">
        <is>
          <t>Company penetration</t>
        </is>
      </c>
      <c r="B16" s="2" t="n">
        <v>0.54</v>
      </c>
      <c r="C16" s="2" t="inlineStr">
        <is>
          <t>31 Mar 2026</t>
        </is>
      </c>
      <c r="D16" s="2" t="inlineStr">
        <is>
          <t>Retrieved</t>
        </is>
      </c>
      <c r="E16" s="2" t="inlineStr">
        <is>
          <t>PrimarySources/readable/CHTR-Q1-2026-Earnings-Release-Ex99.1.md</t>
        </is>
      </c>
      <c r="F16" s="2" t="inlineStr">
        <is>
          <t>Customer relationships / estimated passings. Not Internet-only take.</t>
        </is>
      </c>
    </row>
    <row r="17">
      <c r="A17" s="2" t="inlineStr">
        <is>
          <t>Estimated passings (000s)</t>
        </is>
      </c>
      <c r="B17" s="2" t="n">
        <v>58661</v>
      </c>
      <c r="C17" s="2" t="inlineStr">
        <is>
          <t>31 Mar 2026</t>
        </is>
      </c>
      <c r="D17" s="2" t="inlineStr">
        <is>
          <t>Retrieved</t>
        </is>
      </c>
      <c r="E17" s="2" t="inlineStr">
        <is>
          <t>PrimarySources/readable/CHTR-Q1-2026-Earnings-Release-Ex99.1.md</t>
        </is>
      </c>
      <c r="F17" s="2" t="inlineStr">
        <is>
          <t>58.661 million. The release also says nearly 59 million.</t>
        </is>
      </c>
    </row>
    <row r="18">
      <c r="A18" s="2" t="inlineStr">
        <is>
          <t>Rural penetration</t>
        </is>
      </c>
      <c r="B18" s="2" t="n">
        <v>0.381</v>
      </c>
      <c r="C18" s="2" t="inlineStr">
        <is>
          <t>Q1 2026</t>
        </is>
      </c>
      <c r="D18" s="2" t="inlineStr">
        <is>
          <t>Retrieved</t>
        </is>
      </c>
      <c r="E18" s="2" t="inlineStr">
        <is>
          <t>PrimarySources/CHTR-Q1-2026-Trending-Schedule.md</t>
        </is>
      </c>
      <c r="F18" s="2" t="inlineStr">
        <is>
          <t>Talk track rounded to 38%. 527 / 1,385 thousand.</t>
        </is>
      </c>
    </row>
    <row r="19">
      <c r="A19" s="2" t="inlineStr">
        <is>
          <t>Rural construction spend ($ billions)</t>
        </is>
      </c>
      <c r="B19" s="2" t="n">
        <v>7.7</v>
      </c>
      <c r="C19" s="2" t="inlineStr">
        <is>
          <t>Inception 2022 through 31 Dec 2025</t>
        </is>
      </c>
      <c r="D19" s="2" t="inlineStr">
        <is>
          <t>Retrieved</t>
        </is>
      </c>
      <c r="E19" s="2" t="inlineStr">
        <is>
          <t>PrimarySources/readable/CHTR-10-K-FY2025.md</t>
        </is>
      </c>
      <c r="F19" s="2" t="inlineStr">
        <is>
          <t>Cumulative spend. Not Q1 capex.</t>
        </is>
      </c>
    </row>
    <row r="20">
      <c r="A20" s="2" t="inlineStr">
        <is>
          <t>Debt principal ($ billions)</t>
        </is>
      </c>
      <c r="B20" s="2" t="n">
        <v>93.8</v>
      </c>
      <c r="C20" s="2" t="inlineStr">
        <is>
          <t>30 Jun 2026</t>
        </is>
      </c>
      <c r="D20" s="2" t="inlineStr">
        <is>
          <t>Retrieved</t>
        </is>
      </c>
      <c r="E20" s="2" t="inlineStr">
        <is>
          <t>PrimarySources/readable/CHTR-Q2-2026-Earnings-Release-Ex99.1.md</t>
        </is>
      </c>
      <c r="F20" s="2" t="inlineStr">
        <is>
          <t>Later public fact vs the Q1 course anchor.</t>
        </is>
      </c>
    </row>
    <row r="21">
      <c r="A21" s="2" t="inlineStr">
        <is>
          <t>Net leverage (times)</t>
        </is>
      </c>
      <c r="B21" s="2" t="n">
        <v>4.18</v>
      </c>
      <c r="C21" s="2" t="inlineStr">
        <is>
          <t>30 Jun 2026</t>
        </is>
      </c>
      <c r="D21" s="2" t="inlineStr">
        <is>
          <t>Retrieved</t>
        </is>
      </c>
      <c r="E21" s="2" t="inlineStr">
        <is>
          <t>PrimarySources/readable/CHTR-10-Q-Q2-2026.md</t>
        </is>
      </c>
      <c r="F21" s="2" t="inlineStr">
        <is>
          <t>Net debt / LTM Adjusted EBITDA. Not in the Q2 earnings headline table.</t>
        </is>
      </c>
    </row>
    <row r="22">
      <c r="A22" s="2" t="inlineStr">
        <is>
          <t>Q2 penetration</t>
        </is>
      </c>
      <c r="B22" s="2" t="n">
        <v>0.534</v>
      </c>
      <c r="C22" s="2" t="inlineStr">
        <is>
          <t>30 Jun 2026</t>
        </is>
      </c>
      <c r="D22" s="2" t="inlineStr">
        <is>
          <t>Retrieved</t>
        </is>
      </c>
      <c r="E22" s="2" t="inlineStr">
        <is>
          <t>PrimarySources/readable/CHTR-Q2-2026-Earnings-Release-Ex99.1.md</t>
        </is>
      </c>
      <c r="F22" s="2" t="inlineStr">
        <is>
          <t>Later public fact. 53.4% on 58,981 thousand passings.</t>
        </is>
      </c>
    </row>
    <row r="23">
      <c r="A23" s="2" t="inlineStr">
        <is>
          <t>Mobile line net additions (000s)</t>
        </is>
      </c>
      <c r="B23" s="2" t="n">
        <v>368</v>
      </c>
      <c r="C23" s="2" t="inlineStr">
        <is>
          <t>Q1 2026</t>
        </is>
      </c>
      <c r="D23" s="2" t="inlineStr">
        <is>
          <t>Retrieved</t>
        </is>
      </c>
      <c r="E23" s="2" t="inlineStr">
        <is>
          <t>PrimarySources/readable/CHTR-Q1-2026-Earnings-Release-Ex99.1.md</t>
        </is>
      </c>
      <c r="F23" s="2" t="inlineStr">
        <is>
          <t>Total lines. Residential was +344. Did not replace the Internet print.</t>
        </is>
      </c>
    </row>
    <row r="24">
      <c r="A24" s="2" t="inlineStr">
        <is>
          <t>Mobile service revenue change</t>
        </is>
      </c>
      <c r="B24" s="2" t="n">
        <v>138</v>
      </c>
      <c r="C24" s="2" t="inlineStr">
        <is>
          <t>Q1 2026 vs Q1 2025</t>
        </is>
      </c>
      <c r="D24" s="2" t="inlineStr">
        <is>
          <t>Retrieved</t>
        </is>
      </c>
      <c r="E24" s="2" t="inlineStr">
        <is>
          <t>PrimarySources/readable/CHTR-Q1-2026-Earnings-Release-Ex99.1.md</t>
        </is>
      </c>
      <c r="F24" s="2" t="inlineStr">
        <is>
          <t>Millions. $1,052 vs $914. Did not replace −$78 million of Internet.</t>
        </is>
      </c>
    </row>
    <row r="25">
      <c r="A25" s="2" t="inlineStr">
        <is>
          <t>Contribution per incremental PSU</t>
        </is>
      </c>
      <c r="B25" s="2" t="n"/>
      <c r="C25" s="2" t="inlineStr">
        <is>
          <t>—</t>
        </is>
      </c>
      <c r="D25" s="2" t="inlineStr">
        <is>
          <t>Not disclosed</t>
        </is>
      </c>
      <c r="E25" s="2" t="inlineStr">
        <is>
          <t>—</t>
        </is>
      </c>
      <c r="F25" s="2" t="inlineStr">
        <is>
          <t>Left blank. Do not invent.</t>
        </is>
      </c>
    </row>
    <row r="26">
      <c r="A26" s="2" t="inlineStr">
        <is>
          <t>Consumer acquisition cost</t>
        </is>
      </c>
      <c r="B26" s="2" t="n"/>
      <c r="C26" s="2" t="inlineStr">
        <is>
          <t>—</t>
        </is>
      </c>
      <c r="D26" s="2" t="inlineStr">
        <is>
          <t>Not disclosed</t>
        </is>
      </c>
      <c r="E26" s="2" t="inlineStr">
        <is>
          <t>—</t>
        </is>
      </c>
      <c r="F26" s="2" t="inlineStr">
        <is>
          <t>Left blank. Do not invent.</t>
        </is>
      </c>
    </row>
  </sheetData>
  <autoFilter ref="A1:F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1" customWidth="1" min="1" max="1"/>
    <col width="30" customWidth="1" min="2" max="2"/>
    <col width="26" customWidth="1" min="3" max="3"/>
    <col width="18" customWidth="1" min="4" max="4"/>
    <col width="45" customWidth="1" min="5" max="5"/>
  </cols>
  <sheetData>
    <row r="1">
      <c r="A1" s="1" t="inlineStr">
        <is>
          <t>Line</t>
        </is>
      </c>
      <c r="B1" s="1" t="inlineStr">
        <is>
          <t>Q1 2026 revenue ($ millions)</t>
        </is>
      </c>
      <c r="C1" s="1" t="inlineStr">
        <is>
          <t>Share of $13,597 million</t>
        </is>
      </c>
      <c r="D1" s="1" t="inlineStr">
        <is>
          <t>Chart role</t>
        </is>
      </c>
      <c r="E1" s="1" t="inlineStr">
        <is>
          <t>Label</t>
        </is>
      </c>
    </row>
    <row r="2">
      <c r="A2" s="3" t="inlineStr">
        <is>
          <t>Internet</t>
        </is>
      </c>
      <c r="B2" s="3" t="n">
        <v>5852</v>
      </c>
      <c r="C2" s="3" t="n">
        <v>0.4303890564095021</v>
      </c>
      <c r="D2" s="3" t="inlineStr">
        <is>
          <t>Accent</t>
        </is>
      </c>
      <c r="E2" s="3" t="inlineStr">
        <is>
          <t>Retrieved dollars; share = dollars / 13,597</t>
        </is>
      </c>
    </row>
    <row r="3">
      <c r="A3" s="2" t="inlineStr">
        <is>
          <t>Video</t>
        </is>
      </c>
      <c r="B3" s="2" t="n">
        <v>3252</v>
      </c>
      <c r="C3" s="2" t="n">
        <v>0.2391704052364492</v>
      </c>
      <c r="D3" s="2" t="inlineStr">
        <is>
          <t>Gray</t>
        </is>
      </c>
      <c r="E3" s="2" t="inlineStr">
        <is>
          <t>Retrieved dollars; share = dollars / 13,597</t>
        </is>
      </c>
    </row>
    <row r="4">
      <c r="A4" s="2" t="inlineStr">
        <is>
          <t>Small business</t>
        </is>
      </c>
      <c r="B4" s="2" t="n">
        <v>1090</v>
      </c>
      <c r="C4" s="2" t="n">
        <v>0.08016474222254909</v>
      </c>
      <c r="D4" s="2" t="inlineStr">
        <is>
          <t>Gray</t>
        </is>
      </c>
      <c r="E4" s="2" t="inlineStr">
        <is>
          <t>Retrieved dollars; share = dollars / 13,597</t>
        </is>
      </c>
    </row>
    <row r="5">
      <c r="A5" s="2" t="inlineStr">
        <is>
          <t>Mobile service</t>
        </is>
      </c>
      <c r="B5" s="2" t="n">
        <v>1052</v>
      </c>
      <c r="C5" s="2" t="n">
        <v>0.07737000809001986</v>
      </c>
      <c r="D5" s="2" t="inlineStr">
        <is>
          <t>Gray</t>
        </is>
      </c>
      <c r="E5" s="2" t="inlineStr">
        <is>
          <t>Retrieved dollars; share = dollars / 13,597</t>
        </is>
      </c>
    </row>
    <row r="6">
      <c r="A6" s="2" t="inlineStr">
        <is>
          <t>Other</t>
        </is>
      </c>
      <c r="B6" s="2" t="n">
        <v>906</v>
      </c>
      <c r="C6" s="2" t="n">
        <v>0.06663234537030227</v>
      </c>
      <c r="D6" s="2" t="inlineStr">
        <is>
          <t>Gray</t>
        </is>
      </c>
      <c r="E6" s="2" t="inlineStr">
        <is>
          <t>Retrieved dollars; share = dollars / 13,597</t>
        </is>
      </c>
    </row>
    <row r="7">
      <c r="A7" s="2" t="inlineStr">
        <is>
          <t>Mid-market and large business</t>
        </is>
      </c>
      <c r="B7" s="2" t="n">
        <v>749</v>
      </c>
      <c r="C7" s="2" t="n">
        <v>0.05508568066485254</v>
      </c>
      <c r="D7" s="2" t="inlineStr">
        <is>
          <t>Gray</t>
        </is>
      </c>
      <c r="E7" s="2" t="inlineStr">
        <is>
          <t>Retrieved dollars; share = dollars / 13,597</t>
        </is>
      </c>
    </row>
    <row r="8">
      <c r="A8" s="2" t="inlineStr">
        <is>
          <t>Advertising sales</t>
        </is>
      </c>
      <c r="B8" s="2" t="n">
        <v>358</v>
      </c>
      <c r="C8" s="2" t="n">
        <v>0.02632933735382805</v>
      </c>
      <c r="D8" s="2" t="inlineStr">
        <is>
          <t>Gray</t>
        </is>
      </c>
      <c r="E8" s="2" t="inlineStr">
        <is>
          <t>Retrieved dollars; share = dollars / 13,597</t>
        </is>
      </c>
    </row>
    <row r="9">
      <c r="A9" s="2" t="inlineStr">
        <is>
          <t>Voice</t>
        </is>
      </c>
      <c r="B9" s="2" t="n">
        <v>338</v>
      </c>
      <c r="C9" s="2" t="n">
        <v>0.02485842465249687</v>
      </c>
      <c r="D9" s="2" t="inlineStr">
        <is>
          <t>Gray</t>
        </is>
      </c>
      <c r="E9" s="2" t="inlineStr">
        <is>
          <t>Retrieved dollars; share = dollars / 13,597</t>
        </is>
      </c>
    </row>
    <row r="11">
      <c r="A11" t="inlineStr">
        <is>
          <t>Sum (must equal company revenue)</t>
        </is>
      </c>
      <c r="B11" s="4">
        <f>SUM(B2:B9)</f>
        <v/>
      </c>
      <c r="C11">
        <f>SUM(C2:C9)</f>
        <v/>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6" customWidth="1" min="1" max="1"/>
    <col width="20" customWidth="1" min="2" max="2"/>
    <col width="18" customWidth="1" min="3" max="3"/>
    <col width="22" customWidth="1" min="4" max="4"/>
    <col width="72" customWidth="1" min="5" max="5"/>
    <col width="57" customWidth="1" min="6" max="6"/>
  </cols>
  <sheetData>
    <row r="1">
      <c r="A1" s="1" t="inlineStr">
        <is>
          <t>Piece</t>
        </is>
      </c>
      <c r="B1" s="1" t="inlineStr">
        <is>
          <t>Value</t>
        </is>
      </c>
      <c r="C1" s="1" t="inlineStr">
        <is>
          <t>Period</t>
        </is>
      </c>
      <c r="D1" s="1" t="inlineStr">
        <is>
          <t>Retrieved or derived</t>
        </is>
      </c>
      <c r="E1" s="1" t="inlineStr">
        <is>
          <t>Formula or source</t>
        </is>
      </c>
      <c r="F1" s="1" t="inlineStr">
        <is>
          <t>How to use</t>
        </is>
      </c>
    </row>
    <row r="2">
      <c r="A2" s="3" t="inlineStr">
        <is>
          <t>Printed volume</t>
        </is>
      </c>
      <c r="B2" s="3" t="n">
        <v>-87</v>
      </c>
      <c r="C2" s="3" t="inlineStr">
        <is>
          <t>Q1 2026</t>
        </is>
      </c>
      <c r="D2" s="3" t="inlineStr">
        <is>
          <t>Retrieved</t>
        </is>
      </c>
      <c r="E2" s="3" t="inlineStr">
        <is>
          <t>10-Q: decrease in average residential Internet customers</t>
        </is>
      </c>
      <c r="F2" s="3" t="inlineStr">
        <is>
          <t>Use this figure</t>
        </is>
      </c>
    </row>
    <row r="3">
      <c r="A3" s="3" t="inlineStr">
        <is>
          <t>Printed rate and mix</t>
        </is>
      </c>
      <c r="B3" s="3" t="n">
        <v>9</v>
      </c>
      <c r="C3" s="3" t="inlineStr">
        <is>
          <t>Q1 2026</t>
        </is>
      </c>
      <c r="D3" s="3" t="inlineStr">
        <is>
          <t>Retrieved</t>
        </is>
      </c>
      <c r="E3" s="3" t="inlineStr">
        <is>
          <t>10-Q: increase related to rate and product mix</t>
        </is>
      </c>
      <c r="F3" s="3" t="inlineStr">
        <is>
          <t>Use this figure</t>
        </is>
      </c>
    </row>
    <row r="4">
      <c r="A4" s="3" t="inlineStr">
        <is>
          <t>Printed net</t>
        </is>
      </c>
      <c r="B4" s="3" t="n">
        <v>-78</v>
      </c>
      <c r="C4" s="3" t="inlineStr">
        <is>
          <t>Q1 2026</t>
        </is>
      </c>
      <c r="D4" s="3" t="inlineStr">
        <is>
          <t>Retrieved</t>
        </is>
      </c>
      <c r="E4" s="3" t="inlineStr">
        <is>
          <t>10-Q total of the two lines; also Ex99.1 $5,852 − $5,930</t>
        </is>
      </c>
      <c r="F4" s="3" t="inlineStr">
        <is>
          <t>Must equal −78</t>
        </is>
      </c>
    </row>
    <row r="5">
      <c r="A5" s="2" t="inlineStr">
        <is>
          <t>FY2025 rate and mix</t>
        </is>
      </c>
      <c r="B5" s="2" t="n">
        <v>785</v>
      </c>
      <c r="C5" s="2" t="inlineStr">
        <is>
          <t>FY2025</t>
        </is>
      </c>
      <c r="D5" s="2" t="inlineStr">
        <is>
          <t>Retrieved</t>
        </is>
      </c>
      <c r="E5" s="2" t="inlineStr">
        <is>
          <t>10-K</t>
        </is>
      </c>
      <c r="F5" s="2" t="inlineStr">
        <is>
          <t>Covered volume that year</t>
        </is>
      </c>
    </row>
    <row r="6">
      <c r="A6" s="2" t="inlineStr">
        <is>
          <t>FY2025 volume</t>
        </is>
      </c>
      <c r="B6" s="2" t="n">
        <v>-380</v>
      </c>
      <c r="C6" s="2" t="inlineStr">
        <is>
          <t>FY2025</t>
        </is>
      </c>
      <c r="D6" s="2" t="inlineStr">
        <is>
          <t>Retrieved</t>
        </is>
      </c>
      <c r="E6" s="2" t="inlineStr">
        <is>
          <t>10-K</t>
        </is>
      </c>
      <c r="F6" s="2" t="inlineStr"/>
    </row>
    <row r="7">
      <c r="A7" s="2" t="inlineStr">
        <is>
          <t>FY2025 net</t>
        </is>
      </c>
      <c r="B7" s="2" t="n">
        <v>405</v>
      </c>
      <c r="C7" s="2" t="inlineStr">
        <is>
          <t>FY2025</t>
        </is>
      </c>
      <c r="D7" s="2" t="inlineStr">
        <is>
          <t>Retrieved</t>
        </is>
      </c>
      <c r="E7" s="2" t="inlineStr">
        <is>
          <t>785 + (−380)</t>
        </is>
      </c>
      <c r="F7" s="2" t="inlineStr"/>
    </row>
    <row r="8">
      <c r="A8" s="2" t="inlineStr">
        <is>
          <t>FY2025 customer change</t>
        </is>
      </c>
      <c r="B8" s="2" t="n">
        <v>-393000</v>
      </c>
      <c r="C8" s="2" t="inlineStr">
        <is>
          <t>FY2025</t>
        </is>
      </c>
      <c r="D8" s="2" t="inlineStr">
        <is>
          <t>Retrieved</t>
        </is>
      </c>
      <c r="E8" s="2" t="inlineStr">
        <is>
          <t>10-K: residential Internet customers decreased by 393,000</t>
        </is>
      </c>
      <c r="F8" s="2" t="inlineStr">
        <is>
          <t>Not Q1 −117,000</t>
        </is>
      </c>
    </row>
    <row r="9">
      <c r="A9" s="2" t="inlineStr">
        <is>
          <t>Derived volume, unrounded $ millions</t>
        </is>
      </c>
      <c r="B9" s="2" t="n">
        <v>-89.77630192990912</v>
      </c>
      <c r="C9" s="2" t="inlineStr">
        <is>
          <t>Q1 2026</t>
        </is>
      </c>
      <c r="D9" s="2" t="inlineStr">
        <is>
          <t>Derived</t>
        </is>
      </c>
      <c r="E9" s="2" t="inlineStr">
        <is>
          <t>(avg_26 − avg_25) × ARPU_25 × 3 / 1,000</t>
        </is>
      </c>
      <c r="F9" s="2" t="inlineStr">
        <is>
          <t>Cross-check only. Rounds to −90. Does not override −87.</t>
        </is>
      </c>
    </row>
    <row r="10">
      <c r="A10" s="2" t="inlineStr">
        <is>
          <t>Derived rate, unrounded $ millions</t>
        </is>
      </c>
      <c r="B10" s="2" t="n">
        <v>11.77630192990957</v>
      </c>
      <c r="C10" s="2" t="inlineStr">
        <is>
          <t>Q1 2026</t>
        </is>
      </c>
      <c r="D10" s="2" t="inlineStr">
        <is>
          <t>Derived</t>
        </is>
      </c>
      <c r="E10" s="2" t="inlineStr">
        <is>
          <t>(ARPU_26 − ARPU_25) × avg_26 × 3 / 1,000</t>
        </is>
      </c>
      <c r="F10" s="2" t="inlineStr">
        <is>
          <t>Cross-check only. Rounds to +12. Does not override +9.</t>
        </is>
      </c>
    </row>
    <row r="11">
      <c r="A11" s="2" t="inlineStr">
        <is>
          <t>Derived implied rate Q1 2026</t>
        </is>
      </c>
      <c r="B11" s="2" t="n">
        <v>70.72</v>
      </c>
      <c r="C11" s="2" t="inlineStr">
        <is>
          <t>Q1 2026</t>
        </is>
      </c>
      <c r="D11" s="2" t="inlineStr">
        <is>
          <t>Derived</t>
        </is>
      </c>
      <c r="E11" s="2" t="inlineStr">
        <is>
          <t>quarterly Internet $ millions × 1,000 / 3 / average customers (thousands)</t>
        </is>
      </c>
      <c r="F11" s="2" t="inlineStr">
        <is>
          <t>Dollars per month</t>
        </is>
      </c>
    </row>
    <row r="12">
      <c r="A12" s="2" t="inlineStr">
        <is>
          <t>Derived implied rate Q1 2025</t>
        </is>
      </c>
      <c r="B12" s="2" t="n">
        <v>70.58</v>
      </c>
      <c r="C12" s="2" t="inlineStr">
        <is>
          <t>Q1 2025</t>
        </is>
      </c>
      <c r="D12" s="2" t="inlineStr">
        <is>
          <t>Derived</t>
        </is>
      </c>
      <c r="E12" s="2" t="inlineStr">
        <is>
          <t>quarterly Internet $ millions × 1,000 / 3 / average customers (thousands)</t>
        </is>
      </c>
      <c r="F12" s="2" t="inlineStr">
        <is>
          <t>Dollars per month</t>
        </is>
      </c>
    </row>
    <row r="13">
      <c r="A13" s="2" t="inlineStr">
        <is>
          <t>Derived extra $/month to hold dollars flat</t>
        </is>
      </c>
      <c r="B13" s="2" t="n">
        <v>0.9399999999999999</v>
      </c>
      <c r="C13" s="2" t="inlineStr">
        <is>
          <t>Q1 2026</t>
        </is>
      </c>
      <c r="D13" s="2" t="inlineStr">
        <is>
          <t>Derived</t>
        </is>
      </c>
      <c r="E13" s="2" t="inlineStr">
        <is>
          <t>ARPU to hold dollars flat = Q1 2025 Internet $ × 1,000 / 3 / avg_26; gap = that ARPU − ARPU_26</t>
        </is>
      </c>
      <c r="F13" s="2" t="inlineStr">
        <is>
          <t>On the derived identity only</t>
        </is>
      </c>
    </row>
    <row r="14">
      <c r="A14" s="2" t="inlineStr">
        <is>
          <t>Average residential Internet customers, Q1 2026 (000s)</t>
        </is>
      </c>
      <c r="B14" s="2" t="n">
        <v>27582.5</v>
      </c>
      <c r="C14" s="2" t="inlineStr">
        <is>
          <t>Q1 2026</t>
        </is>
      </c>
      <c r="D14" s="2" t="inlineStr">
        <is>
          <t>Derived</t>
        </is>
      </c>
      <c r="E14" s="2" t="inlineStr">
        <is>
          <t>average = (ending − quarterly net adds + ending) / 2</t>
        </is>
      </c>
      <c r="F14" s="2" t="inlineStr">
        <is>
          <t>Beginning 27,641 thousand; ending 27,524 thousand</t>
        </is>
      </c>
    </row>
    <row r="15">
      <c r="A15" s="2" t="inlineStr">
        <is>
          <t>Average residential Internet customers, Q1 2025 (000s)</t>
        </is>
      </c>
      <c r="B15" s="2" t="n">
        <v>28006.5</v>
      </c>
      <c r="C15" s="2" t="inlineStr">
        <is>
          <t>Q1 2025</t>
        </is>
      </c>
      <c r="D15" s="2" t="inlineStr">
        <is>
          <t>Derived</t>
        </is>
      </c>
      <c r="E15" s="2" t="inlineStr">
        <is>
          <t>average = (ending − quarterly net adds + ending) / 2</t>
        </is>
      </c>
      <c r="F15" s="2" t="inlineStr">
        <is>
          <t>Beginning 28,034 thousand; ending 27,979 thousand</t>
        </is>
      </c>
    </row>
  </sheetData>
  <autoFilter ref="A1:F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26" customWidth="1" min="3" max="3"/>
    <col width="22" customWidth="1" min="4" max="4"/>
    <col width="27" customWidth="1" min="5" max="5"/>
    <col width="37" customWidth="1" min="6" max="6"/>
  </cols>
  <sheetData>
    <row r="1">
      <c r="A1" s="1" t="inlineStr">
        <is>
          <t>Metric</t>
        </is>
      </c>
      <c r="B1" s="1" t="inlineStr">
        <is>
          <t>Value</t>
        </is>
      </c>
      <c r="C1" s="1" t="inlineStr">
        <is>
          <t>Period</t>
        </is>
      </c>
      <c r="D1" s="1" t="inlineStr">
        <is>
          <t>Retrieved or derived</t>
        </is>
      </c>
      <c r="E1" s="1" t="inlineStr">
        <is>
          <t>Source</t>
        </is>
      </c>
      <c r="F1" s="1" t="inlineStr">
        <is>
          <t>Note</t>
        </is>
      </c>
    </row>
    <row r="2">
      <c r="A2" s="2" t="inlineStr">
        <is>
          <t>Company customer-relationship penetration</t>
        </is>
      </c>
      <c r="B2" s="2" t="n">
        <v>0.54</v>
      </c>
      <c r="C2" s="2" t="inlineStr">
        <is>
          <t>31 Mar 2026</t>
        </is>
      </c>
      <c r="D2" s="2" t="inlineStr">
        <is>
          <t>Retrieved</t>
        </is>
      </c>
      <c r="E2" s="2" t="inlineStr">
        <is>
          <t>Ex99.1 Q1 2026</t>
        </is>
      </c>
      <c r="F2" s="2" t="inlineStr">
        <is>
          <t>31,683 / 58,661 thousand</t>
        </is>
      </c>
    </row>
    <row r="3">
      <c r="A3" s="2" t="inlineStr">
        <is>
          <t>Estimated passings (000s)</t>
        </is>
      </c>
      <c r="B3" s="2" t="n">
        <v>58661</v>
      </c>
      <c r="C3" s="2" t="inlineStr">
        <is>
          <t>31 Mar 2026</t>
        </is>
      </c>
      <c r="D3" s="2" t="inlineStr">
        <is>
          <t>Retrieved</t>
        </is>
      </c>
      <c r="E3" s="2" t="inlineStr">
        <is>
          <t>Ex99.1 Q1 2026</t>
        </is>
      </c>
      <c r="F3" s="2" t="inlineStr">
        <is>
          <t>58.661 million, not a silent 59</t>
        </is>
      </c>
    </row>
    <row r="4">
      <c r="A4" s="2" t="inlineStr">
        <is>
          <t>Rural penetration of activated passings</t>
        </is>
      </c>
      <c r="B4" s="2" t="n">
        <v>0.381</v>
      </c>
      <c r="C4" s="2" t="inlineStr">
        <is>
          <t>Q1 2026</t>
        </is>
      </c>
      <c r="D4" s="2" t="inlineStr">
        <is>
          <t>Retrieved</t>
        </is>
      </c>
      <c r="E4" s="2" t="inlineStr">
        <is>
          <t>Q1 2026 trending schedule</t>
        </is>
      </c>
      <c r="F4" s="2" t="inlineStr">
        <is>
          <t>Printed 38.1%. Talk track said 38%.</t>
        </is>
      </c>
    </row>
    <row r="5">
      <c r="A5" s="2" t="inlineStr">
        <is>
          <t>Rural passings (000s)</t>
        </is>
      </c>
      <c r="B5" s="2" t="n">
        <v>1385</v>
      </c>
      <c r="C5" s="2" t="inlineStr">
        <is>
          <t>Q1 2026</t>
        </is>
      </c>
      <c r="D5" s="2" t="inlineStr">
        <is>
          <t>Retrieved</t>
        </is>
      </c>
      <c r="E5" s="2" t="inlineStr">
        <is>
          <t>Q1 2026 trending schedule</t>
        </is>
      </c>
      <c r="F5" s="2" t="inlineStr"/>
    </row>
    <row r="6">
      <c r="A6" s="2" t="inlineStr">
        <is>
          <t>Rural customer relationships (000s)</t>
        </is>
      </c>
      <c r="B6" s="2" t="n">
        <v>527</v>
      </c>
      <c r="C6" s="2" t="inlineStr">
        <is>
          <t>Q1 2026</t>
        </is>
      </c>
      <c r="D6" s="2" t="inlineStr">
        <is>
          <t>Retrieved</t>
        </is>
      </c>
      <c r="E6" s="2" t="inlineStr">
        <is>
          <t>Q1 2026 trending schedule</t>
        </is>
      </c>
      <c r="F6" s="2" t="inlineStr">
        <is>
          <t>527 / 1,385 = 38.1%</t>
        </is>
      </c>
    </row>
    <row r="7">
      <c r="A7" s="2" t="inlineStr">
        <is>
          <t>Subsidized rural construction spend ($ billions)</t>
        </is>
      </c>
      <c r="B7" s="2" t="n">
        <v>7.7</v>
      </c>
      <c r="C7" s="2" t="inlineStr">
        <is>
          <t>2022 through 31 Dec 2025</t>
        </is>
      </c>
      <c r="D7" s="2" t="inlineStr">
        <is>
          <t>Retrieved</t>
        </is>
      </c>
      <c r="E7" s="2" t="inlineStr">
        <is>
          <t>FY2025 10-K</t>
        </is>
      </c>
      <c r="F7" s="2" t="inlineStr"/>
    </row>
    <row r="8">
      <c r="A8" s="2" t="inlineStr">
        <is>
          <t>Principal amount of debt ($ billions)</t>
        </is>
      </c>
      <c r="B8" s="2" t="n">
        <v>93.8</v>
      </c>
      <c r="C8" s="2" t="inlineStr">
        <is>
          <t>30 Jun 2026</t>
        </is>
      </c>
      <c r="D8" s="2" t="inlineStr">
        <is>
          <t>Retrieved</t>
        </is>
      </c>
      <c r="E8" s="2" t="inlineStr">
        <is>
          <t>Ex99.1 Q2 2026</t>
        </is>
      </c>
      <c r="F8" s="2" t="inlineStr"/>
    </row>
    <row r="9">
      <c r="A9" s="2" t="inlineStr">
        <is>
          <t>Net leverage (times Adjusted EBITDA)</t>
        </is>
      </c>
      <c r="B9" s="2" t="n">
        <v>4.18</v>
      </c>
      <c r="C9" s="2" t="inlineStr">
        <is>
          <t>30 Jun 2026</t>
        </is>
      </c>
      <c r="D9" s="2" t="inlineStr">
        <is>
          <t>Retrieved</t>
        </is>
      </c>
      <c r="E9" s="2" t="inlineStr">
        <is>
          <t>10-Q Q2 2026</t>
        </is>
      </c>
      <c r="F9" s="2" t="inlineStr"/>
    </row>
    <row r="10">
      <c r="A10" s="2" t="inlineStr">
        <is>
          <t>Q2 penetration</t>
        </is>
      </c>
      <c r="B10" s="2" t="n">
        <v>0.534</v>
      </c>
      <c r="C10" s="2" t="inlineStr">
        <is>
          <t>30 Jun 2026</t>
        </is>
      </c>
      <c r="D10" s="2" t="inlineStr">
        <is>
          <t>Retrieved</t>
        </is>
      </c>
      <c r="E10" s="2" t="inlineStr">
        <is>
          <t>Ex99.1 Q2 2026</t>
        </is>
      </c>
      <c r="F10" s="2" t="inlineStr">
        <is>
          <t>Later public fact</t>
        </is>
      </c>
    </row>
    <row r="11">
      <c r="A11" s="2" t="inlineStr">
        <is>
          <t>Q2 estimated passings (000s)</t>
        </is>
      </c>
      <c r="B11" s="2" t="n">
        <v>58981</v>
      </c>
      <c r="C11" s="2" t="inlineStr">
        <is>
          <t>30 Jun 2026</t>
        </is>
      </c>
      <c r="D11" s="2" t="inlineStr">
        <is>
          <t>Retrieved</t>
        </is>
      </c>
      <c r="E11" s="2" t="inlineStr">
        <is>
          <t>Ex99.1 Q2 2026</t>
        </is>
      </c>
      <c r="F11" s="2" t="inlineStr">
        <is>
          <t>58.981 million</t>
        </is>
      </c>
    </row>
    <row r="12">
      <c r="A12" s="2" t="inlineStr">
        <is>
          <t>Contribution per incremental Internet PSU</t>
        </is>
      </c>
      <c r="B12" s="2" t="n"/>
      <c r="C12" s="2" t="inlineStr">
        <is>
          <t>—</t>
        </is>
      </c>
      <c r="D12" s="2" t="inlineStr">
        <is>
          <t>Not disclosed</t>
        </is>
      </c>
      <c r="E12" s="2" t="inlineStr">
        <is>
          <t>—</t>
        </is>
      </c>
      <c r="F12" s="2" t="inlineStr">
        <is>
          <t>Blank on purpose</t>
        </is>
      </c>
    </row>
    <row r="13">
      <c r="A13" s="2" t="inlineStr">
        <is>
          <t>Consumer acquisition cost</t>
        </is>
      </c>
      <c r="B13" s="2" t="n"/>
      <c r="C13" s="2" t="inlineStr">
        <is>
          <t>—</t>
        </is>
      </c>
      <c r="D13" s="2" t="inlineStr">
        <is>
          <t>Not disclosed</t>
        </is>
      </c>
      <c r="E13" s="2" t="inlineStr">
        <is>
          <t>—</t>
        </is>
      </c>
      <c r="F13" s="2" t="inlineStr">
        <is>
          <t>Blank on purpose</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54" customWidth="1" min="4" max="4"/>
    <col width="18" customWidth="1" min="5" max="5"/>
  </cols>
  <sheetData>
    <row r="1">
      <c r="A1" s="1" t="inlineStr">
        <is>
          <t>Loss reason</t>
        </is>
      </c>
      <c r="B1" s="1" t="inlineStr">
        <is>
          <t>Fit</t>
        </is>
      </c>
      <c r="C1" s="1" t="inlineStr">
        <is>
          <t>Action</t>
        </is>
      </c>
      <c r="D1" s="1" t="inlineStr">
        <is>
          <t>Scope</t>
        </is>
      </c>
      <c r="E1" s="1" t="inlineStr">
        <is>
          <t>Chart role</t>
        </is>
      </c>
    </row>
    <row r="2">
      <c r="A2" s="3" t="inlineStr">
        <is>
          <t>Fixed wireless</t>
        </is>
      </c>
      <c r="B2" s="3" t="inlineStr">
        <is>
          <t>Best</t>
        </is>
      </c>
      <c r="C2" s="3" t="inlineStr">
        <is>
          <t>Test</t>
        </is>
      </c>
      <c r="D2" s="3" t="inlineStr">
        <is>
          <t>Authorize only if the tracker fill is this reason</t>
        </is>
      </c>
      <c r="E2" s="3" t="inlineStr">
        <is>
          <t>Accent</t>
        </is>
      </c>
    </row>
    <row r="3">
      <c r="A3" s="2" t="inlineStr">
        <is>
          <t>Fiber</t>
        </is>
      </c>
      <c r="B3" s="2" t="inlineStr">
        <is>
          <t>Works</t>
        </is>
      </c>
      <c r="C3" s="2" t="inlineStr">
        <is>
          <t>Do not lead</t>
        </is>
      </c>
      <c r="D3" s="2" t="inlineStr">
        <is>
          <t>Team score. Earlier validation said no.</t>
        </is>
      </c>
      <c r="E3" s="2" t="inlineStr">
        <is>
          <t>Gray</t>
        </is>
      </c>
    </row>
    <row r="4">
      <c r="A4" s="2" t="inlineStr">
        <is>
          <t>Satellite</t>
        </is>
      </c>
      <c r="B4" s="2" t="inlineStr">
        <is>
          <t>No</t>
        </is>
      </c>
      <c r="C4" s="2" t="inlineStr">
        <is>
          <t>Refuse</t>
        </is>
      </c>
      <c r="D4" s="2" t="inlineStr">
        <is>
          <t>Not an employer-ballot play</t>
        </is>
      </c>
      <c r="E4" s="2" t="inlineStr">
        <is>
          <t>Gray</t>
        </is>
      </c>
    </row>
    <row r="5">
      <c r="A5" s="3" t="inlineStr">
        <is>
          <t>Housing, non-mover</t>
        </is>
      </c>
      <c r="B5" s="3" t="inlineStr">
        <is>
          <t>Best</t>
        </is>
      </c>
      <c r="C5" s="3" t="inlineStr">
        <is>
          <t>Test</t>
        </is>
      </c>
      <c r="D5" s="3" t="inlineStr">
        <is>
          <t>Household that did not move; on plant already passed</t>
        </is>
      </c>
      <c r="E5" s="3" t="inlineStr">
        <is>
          <t>Accent</t>
        </is>
      </c>
    </row>
    <row r="6">
      <c r="A6" s="2" t="inlineStr">
        <is>
          <t>Non-pay</t>
        </is>
      </c>
      <c r="B6" s="2" t="inlineStr">
        <is>
          <t>Works</t>
        </is>
      </c>
      <c r="C6" s="2" t="inlineStr">
        <is>
          <t>Do not lead</t>
        </is>
      </c>
      <c r="D6" s="2" t="inlineStr">
        <is>
          <t>Team score. Earlier validation said no.</t>
        </is>
      </c>
      <c r="E6" s="2" t="inlineStr">
        <is>
          <t>Gray</t>
        </is>
      </c>
    </row>
    <row r="7">
      <c r="A7" s="2" t="inlineStr">
        <is>
          <t>No dominant reason</t>
        </is>
      </c>
      <c r="B7" s="2" t="inlineStr">
        <is>
          <t>No</t>
        </is>
      </c>
      <c r="C7" s="2" t="inlineStr">
        <is>
          <t>Refuse</t>
        </is>
      </c>
      <c r="D7" s="2" t="inlineStr">
        <is>
          <t>Null result</t>
        </is>
      </c>
      <c r="E7" s="2" t="inlineStr">
        <is>
          <t>Gray</t>
        </is>
      </c>
    </row>
    <row r="9">
      <c r="A9" t="inlineStr">
        <is>
          <t>Does not close</t>
        </is>
      </c>
      <c r="B9" t="n">
        <v>117000</v>
      </c>
      <c r="C9" t="inlineStr">
        <is>
          <t>No share of the Q1 residential Internet customer loss is claimed. No take-up is invented.</t>
        </is>
      </c>
    </row>
    <row r="10">
      <c r="A10" t="inlineStr">
        <is>
          <t>Capability</t>
        </is>
      </c>
      <c r="C10" t="inlineStr">
        <is>
          <t>Whether a broker can put Internet on a benefits ballot is unknown. Cell left blank.</t>
        </is>
      </c>
    </row>
  </sheetData>
  <autoFilter ref="A1:E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62" customWidth="1" min="3" max="3"/>
  </cols>
  <sheetData>
    <row r="1">
      <c r="A1" s="1" t="inlineStr">
        <is>
          <t>Figure</t>
        </is>
      </c>
      <c r="B1" s="1" t="inlineStr">
        <is>
          <t>What it is not</t>
        </is>
      </c>
      <c r="C1" s="1" t="inlineStr">
        <is>
          <t>Why</t>
        </is>
      </c>
    </row>
    <row r="2">
      <c r="A2" s="2" t="inlineStr">
        <is>
          <t>94.6% of jobs in Charter-present states</t>
        </is>
      </c>
      <c r="B2" s="2" t="inlineStr">
        <is>
          <t>Not serviceable homes</t>
        </is>
      </c>
      <c r="C2" s="2" t="inlineStr">
        <is>
          <t>M5 jobs-in-footprint. Workplace state is not a billable home.</t>
        </is>
      </c>
    </row>
    <row r="3">
      <c r="A3" s="2" t="inlineStr">
        <is>
          <t>54.1% of payroll at firms of 500 or more</t>
        </is>
      </c>
      <c r="B3" s="2" t="inlineStr">
        <is>
          <t>Not covered lives</t>
        </is>
      </c>
      <c r="C3" s="2" t="inlineStr">
        <is>
          <t>SUSB 2022 employment mix. Not a broker book.</t>
        </is>
      </c>
    </row>
    <row r="4">
      <c r="A4" s="2" t="inlineStr">
        <is>
          <t>44% top-10 Form 5500 compensation</t>
        </is>
      </c>
      <c r="B4" s="2" t="inlineStr">
        <is>
          <t>Not covered lives</t>
        </is>
      </c>
      <c r="C4" s="2" t="inlineStr">
        <is>
          <t>PlanOptica compensation share. M2 lives are still blank.</t>
        </is>
      </c>
    </row>
    <row r="5">
      <c r="A5" s="2" t="inlineStr">
        <is>
          <t>13.3% ACS usually works from home</t>
        </is>
      </c>
      <c r="B5" s="2" t="inlineStr">
        <is>
          <t>Not ATUS 32.5%</t>
        </is>
      </c>
      <c r="C5" s="2" t="inlineStr">
        <is>
          <t>Different questions. Do not put them on one unlabeled bar.</t>
        </is>
      </c>
    </row>
    <row r="6">
      <c r="A6" s="2" t="inlineStr">
        <is>
          <t>FCC 19 vs 27 states</t>
        </is>
      </c>
      <c r="B6" s="2" t="inlineStr">
        <is>
          <t>Locations, not subscribers</t>
        </is>
      </c>
      <c r="C6" s="2" t="inlineStr">
        <is>
          <t>Where each company reports more broadband-serviceable places.</t>
        </is>
      </c>
    </row>
    <row r="7">
      <c r="A7" s="2" t="inlineStr">
        <is>
          <t>Mobile +368,000 lines and +$138 million</t>
        </is>
      </c>
      <c r="B7" s="2" t="inlineStr">
        <is>
          <t>Did not replace the Internet print</t>
        </is>
      </c>
      <c r="C7" s="2" t="inlineStr">
        <is>
          <t>Verified in Q1 2026 Ex99.1 before inclusion.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2026-09-27T18:58:27Z</dcterms:created>
  <dcterms:modified xmlns:dcterms="http://purl.org/dc/terms/" xmlns:xsi="http://www.w3.org/2001/XMLSchema-instance" xsi:type="dcterms:W3CDTF">2026-09-27T18:58:27Z</dcterms:modified>
</cp:coreProperties>
</file>