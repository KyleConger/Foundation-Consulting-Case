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wner\Desktop\MAN6930 Case\Decisions\EH&amp;B\"/>
    </mc:Choice>
  </mc:AlternateContent>
  <xr:revisionPtr revIDLastSave="0" documentId="13_ncr:1_{F80C569C-95F5-4BF1-9ABD-F794DABE24A3}" xr6:coauthVersionLast="47" xr6:coauthVersionMax="47" xr10:uidLastSave="{00000000-0000-0000-0000-000000000000}"/>
  <bookViews>
    <workbookView xWindow="-110" yWindow="-110" windowWidth="25820" windowHeight="15500" firstSheet="30" activeTab="36" xr2:uid="{00000000-000D-0000-FFFF-FFFF00000000}"/>
  </bookViews>
  <sheets>
    <sheet name="TOC" sheetId="1" r:id="rId1"/>
    <sheet name="Emp-Notes" sheetId="2" r:id="rId2"/>
    <sheet name="Emp-US" sheetId="3" r:id="rId3"/>
    <sheet name="Emp-States" sheetId="4" r:id="rId4"/>
    <sheet name="Emp-MetrosHiLo" sheetId="5" r:id="rId5"/>
    <sheet name="Emp-MetrosFull" sheetId="6" r:id="rId6"/>
    <sheet name="Emp-MSAFull" sheetId="7" r:id="rId7"/>
    <sheet name="Emp-CutoffSens" sheetId="8" r:id="rId8"/>
    <sheet name="WFH-Notes" sheetId="9" r:id="rId9"/>
    <sheet name="WFH-US" sheetId="10" r:id="rId10"/>
    <sheet name="WFH-States" sheetId="11" r:id="rId11"/>
    <sheet name="WFH-Seniority" sheetId="12" r:id="rId12"/>
    <sheet name="WFH-FirmSize" sheetId="13" r:id="rId13"/>
    <sheet name="Brok-Notes" sheetId="14" r:id="rId14"/>
    <sheet name="Brok-Core" sheetId="15" r:id="rId15"/>
    <sheet name="Brok-Later" sheetId="16" r:id="rId16"/>
    <sheet name="Brok-InHand" sheetId="17" r:id="rId17"/>
    <sheet name="BrkDn-Notes" sheetId="18" r:id="rId18"/>
    <sheet name="BrkDn-Score" sheetId="19" r:id="rId19"/>
    <sheet name="BrkDn-M1" sheetId="20" r:id="rId20"/>
    <sheet name="BrkDn-M2" sheetId="21" r:id="rId21"/>
    <sheet name="BrkDn-M5" sheetId="22" r:id="rId22"/>
    <sheet name="BrkDn-M9" sheetId="23" r:id="rId23"/>
    <sheet name="BrkDn-M13" sheetId="24" r:id="rId24"/>
    <sheet name="BrkDn-Analogues" sheetId="25" r:id="rId25"/>
    <sheet name="CvC-Notes" sheetId="26" r:id="rId26"/>
    <sheet name="CvC-Leads" sheetId="27" r:id="rId27"/>
    <sheet name="CvC-Charter" sheetId="28" r:id="rId28"/>
    <sheet name="CvC-Comcast" sheetId="29" r:id="rId29"/>
    <sheet name="CvC-Neither" sheetId="30" r:id="rId30"/>
    <sheet name="Dens-Notes" sheetId="31" r:id="rId31"/>
    <sheet name="Dens-State" sheetId="32" r:id="rId32"/>
    <sheet name="Dens-Division" sheetId="33" r:id="rId33"/>
    <sheet name="Dens-A-CvC" sheetId="34" r:id="rId34"/>
    <sheet name="Dens-B-WFH" sheetId="35" r:id="rId35"/>
    <sheet name="Dens-C-Large" sheetId="36" r:id="rId36"/>
    <sheet name="State Combined" sheetId="37" r:id="rId37"/>
  </sheets>
  <definedNames>
    <definedName name="_xlnm._FilterDatabase" localSheetId="24" hidden="1">'BrkDn-Analogues'!$A$1:$L$31</definedName>
    <definedName name="_xlnm._FilterDatabase" localSheetId="19" hidden="1">'BrkDn-M1'!$A$1:$H$30</definedName>
    <definedName name="_xlnm._FilterDatabase" localSheetId="23" hidden="1">'BrkDn-M13'!$A$1:$H$23</definedName>
    <definedName name="_xlnm._FilterDatabase" localSheetId="20" hidden="1">'BrkDn-M2'!$A$1:$H$28</definedName>
    <definedName name="_xlnm._FilterDatabase" localSheetId="21" hidden="1">'BrkDn-M5'!$A$1:$H$21</definedName>
    <definedName name="_xlnm._FilterDatabase" localSheetId="22" hidden="1">'BrkDn-M9'!$A$1:$H$22</definedName>
    <definedName name="_xlnm._FilterDatabase" localSheetId="17" hidden="1">'BrkDn-Notes'!$A$1:$B$15</definedName>
    <definedName name="_xlnm._FilterDatabase" localSheetId="18" hidden="1">'BrkDn-Score'!$A$1:$G$6</definedName>
    <definedName name="_xlnm._FilterDatabase" localSheetId="14" hidden="1">'Brok-Core'!$A$1:$K$9</definedName>
    <definedName name="_xlnm._FilterDatabase" localSheetId="16" hidden="1">'Brok-InHand'!$A$1:$D$13</definedName>
    <definedName name="_xlnm._FilterDatabase" localSheetId="15" hidden="1">'Brok-Later'!$A$1:$L$8</definedName>
    <definedName name="_xlnm._FilterDatabase" localSheetId="13" hidden="1">'Brok-Notes'!$A$1:$B$13</definedName>
    <definedName name="_xlnm._FilterDatabase" localSheetId="27" hidden="1">'CvC-Charter'!$A$1:$M$20</definedName>
    <definedName name="_xlnm._FilterDatabase" localSheetId="28" hidden="1">'CvC-Comcast'!$A$1:$M$28</definedName>
    <definedName name="_xlnm._FilterDatabase" localSheetId="26" hidden="1">'CvC-Leads'!$A$1:$M$52</definedName>
    <definedName name="_xlnm._FilterDatabase" localSheetId="29" hidden="1">'CvC-Neither'!$A$1:$M$6</definedName>
    <definedName name="_xlnm._FilterDatabase" localSheetId="25" hidden="1">'CvC-Notes'!$A$1:$B$29</definedName>
    <definedName name="_xlnm._FilterDatabase" localSheetId="33" hidden="1">'Dens-A-CvC'!$A$4:$P$55</definedName>
    <definedName name="_xlnm._FilterDatabase" localSheetId="34" hidden="1">'Dens-B-WFH'!$A$4:$L$55</definedName>
    <definedName name="_xlnm._FilterDatabase" localSheetId="35" hidden="1">'Dens-C-Large'!$A$4:$M$55</definedName>
    <definedName name="_xlnm._FilterDatabase" localSheetId="31" hidden="1">'Dens-State'!$A$1:$X$52</definedName>
    <definedName name="_xlnm._FilterDatabase" localSheetId="7" hidden="1">'Emp-CutoffSens'!$A$1:$E$7</definedName>
    <definedName name="_xlnm._FilterDatabase" localSheetId="5" hidden="1">'Emp-MetrosFull'!$A$1:$J$390</definedName>
    <definedName name="_xlnm._FilterDatabase" localSheetId="4" hidden="1">'Emp-MetrosHiLo'!$A$1:$I$21</definedName>
    <definedName name="_xlnm._FilterDatabase" localSheetId="6" hidden="1">'Emp-MSAFull'!$A$1:$J$926</definedName>
    <definedName name="_xlnm._FilterDatabase" localSheetId="1" hidden="1">'Emp-Notes'!$A$1:$B$26</definedName>
    <definedName name="_xlnm._FilterDatabase" localSheetId="3" hidden="1">'Emp-States'!$A$1:$J$52</definedName>
    <definedName name="_xlnm._FilterDatabase" localSheetId="36" hidden="1">'State Combined'!$A$1:$J$52</definedName>
    <definedName name="_xlnm._FilterDatabase" localSheetId="12" hidden="1">'WFH-FirmSize'!$A$1:$P$7</definedName>
    <definedName name="_xlnm._FilterDatabase" localSheetId="8" hidden="1">'WFH-Notes'!$A$1:$D$16</definedName>
    <definedName name="_xlnm._FilterDatabase" localSheetId="11" hidden="1">'WFH-Seniority'!$A$1:$N$22</definedName>
    <definedName name="_xlnm._FilterDatabase" localSheetId="10" hidden="1">'WFH-States'!$A$1:$H$52</definedName>
    <definedName name="_xlnm._FilterDatabase" localSheetId="9" hidden="1">'WFH-US'!$A$1:$L$2</definedName>
    <definedName name="_xlchart.v5.0" hidden="1">'State Combined'!$A$1</definedName>
    <definedName name="_xlchart.v5.1" hidden="1">'State Combined'!$A$2:$A$52</definedName>
    <definedName name="_xlchart.v5.10" hidden="1">'State Combined'!$A$1</definedName>
    <definedName name="_xlchart.v5.11" hidden="1">'State Combined'!$A$2:$A$52</definedName>
    <definedName name="_xlchart.v5.12" hidden="1">'State Combined'!$H$1</definedName>
    <definedName name="_xlchart.v5.13" hidden="1">'State Combined'!$H$2:$H$52</definedName>
    <definedName name="_xlchart.v5.14" hidden="1">'State Combined'!$A$1</definedName>
    <definedName name="_xlchart.v5.15" hidden="1">'State Combined'!$A$1:$A$36</definedName>
    <definedName name="_xlchart.v5.16" hidden="1">'State Combined'!$A$1:$A$52</definedName>
    <definedName name="_xlchart.v5.17" hidden="1">'State Combined'!$A$2:$A$52</definedName>
    <definedName name="_xlchart.v5.18" hidden="1">'State Combined'!$I$1</definedName>
    <definedName name="_xlchart.v5.19" hidden="1">'State Combined'!$I$2:$I$52</definedName>
    <definedName name="_xlchart.v5.2" hidden="1">'State Combined'!$H$1</definedName>
    <definedName name="_xlchart.v5.20" hidden="1">'State Combined'!$J$1</definedName>
    <definedName name="_xlchart.v5.21" hidden="1">'State Combined'!$J$1:$J$44</definedName>
    <definedName name="_xlchart.v5.22" hidden="1">'State Combined'!$J$1:$J$52</definedName>
    <definedName name="_xlchart.v5.23" hidden="1">'State Combined'!$J$2:$J$52</definedName>
    <definedName name="_xlchart.v5.24" hidden="1">'State Combined'!$J$52</definedName>
    <definedName name="_xlchart.v5.25" hidden="1">'State Combined'!$A$1</definedName>
    <definedName name="_xlchart.v5.26" hidden="1">'State Combined'!$A$1:$A$36</definedName>
    <definedName name="_xlchart.v5.27" hidden="1">'State Combined'!$A$1:$A$52</definedName>
    <definedName name="_xlchart.v5.28" hidden="1">'State Combined'!$A$2:$A$52</definedName>
    <definedName name="_xlchart.v5.29" hidden="1">'State Combined'!$I$1</definedName>
    <definedName name="_xlchart.v5.3" hidden="1">'State Combined'!$H$2:$H$52</definedName>
    <definedName name="_xlchart.v5.30" hidden="1">'State Combined'!$I$2:$I$52</definedName>
    <definedName name="_xlchart.v5.31" hidden="1">'State Combined'!$J$1</definedName>
    <definedName name="_xlchart.v5.32" hidden="1">'State Combined'!$J$1:$J$44</definedName>
    <definedName name="_xlchart.v5.33" hidden="1">'State Combined'!$J$1:$J$52</definedName>
    <definedName name="_xlchart.v5.34" hidden="1">'State Combined'!$J$2:$J$52</definedName>
    <definedName name="_xlchart.v5.35" hidden="1">'State Combined'!$J$52</definedName>
    <definedName name="_xlchart.v5.36" hidden="1">'State Combined'!$A$1</definedName>
    <definedName name="_xlchart.v5.37" hidden="1">'State Combined'!$A$2:$A$52</definedName>
    <definedName name="_xlchart.v5.38" hidden="1">'State Combined'!$H$1</definedName>
    <definedName name="_xlchart.v5.39" hidden="1">'State Combined'!$H$2:$H$52</definedName>
    <definedName name="_xlchart.v5.4" hidden="1">'State Combined'!$J$1</definedName>
    <definedName name="_xlchart.v5.5" hidden="1">'State Combined'!$J$2:$J$52</definedName>
    <definedName name="_xlchart.v5.6" hidden="1">'State Combined'!$A$1</definedName>
    <definedName name="_xlchart.v5.7" hidden="1">'State Combined'!$A$2:$A$52</definedName>
    <definedName name="_xlchart.v5.8" hidden="1">'State Combined'!$I$1</definedName>
    <definedName name="_xlchart.v5.9" hidden="1">'State Combined'!$I$2:$I$52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7" l="1"/>
  <c r="H3" i="37"/>
  <c r="H4" i="37"/>
  <c r="H5" i="37"/>
  <c r="H6" i="37"/>
  <c r="H7" i="37"/>
  <c r="H8" i="37"/>
  <c r="H9" i="37"/>
  <c r="H10" i="37"/>
  <c r="H11" i="37"/>
  <c r="H12" i="37"/>
  <c r="H13" i="37"/>
  <c r="H14" i="37"/>
  <c r="H15" i="37"/>
  <c r="H16" i="37"/>
  <c r="H17" i="37"/>
  <c r="H18" i="37"/>
  <c r="H19" i="37"/>
  <c r="H20" i="37"/>
  <c r="H21" i="37"/>
  <c r="H22" i="37"/>
  <c r="H23" i="37"/>
  <c r="H24" i="37"/>
  <c r="H25" i="37"/>
  <c r="H26" i="37"/>
  <c r="H27" i="37"/>
  <c r="H28" i="37"/>
  <c r="H29" i="37"/>
  <c r="H30" i="37"/>
  <c r="H31" i="37"/>
  <c r="H32" i="37"/>
  <c r="H33" i="37"/>
  <c r="H34" i="37"/>
  <c r="H35" i="37"/>
  <c r="H36" i="37"/>
  <c r="H37" i="37"/>
  <c r="H38" i="37"/>
  <c r="H39" i="37"/>
  <c r="H40" i="37"/>
  <c r="H41" i="37"/>
  <c r="H42" i="37"/>
  <c r="H43" i="37"/>
  <c r="H44" i="37"/>
  <c r="H45" i="37"/>
  <c r="H46" i="37"/>
  <c r="H47" i="37"/>
  <c r="H48" i="37"/>
  <c r="H49" i="37"/>
  <c r="H50" i="37"/>
  <c r="H51" i="37"/>
  <c r="H52" i="37"/>
  <c r="J52" i="37"/>
  <c r="I52" i="37"/>
  <c r="G52" i="37"/>
  <c r="F52" i="37"/>
  <c r="E52" i="37"/>
  <c r="D52" i="37"/>
  <c r="C52" i="37"/>
  <c r="B52" i="37"/>
  <c r="J51" i="37"/>
  <c r="I51" i="37"/>
  <c r="G51" i="37"/>
  <c r="F51" i="37"/>
  <c r="E51" i="37"/>
  <c r="D51" i="37"/>
  <c r="C51" i="37"/>
  <c r="B51" i="37"/>
  <c r="J50" i="37"/>
  <c r="I50" i="37"/>
  <c r="G50" i="37"/>
  <c r="F50" i="37"/>
  <c r="E50" i="37"/>
  <c r="D50" i="37"/>
  <c r="C50" i="37"/>
  <c r="B50" i="37"/>
  <c r="J49" i="37"/>
  <c r="I49" i="37"/>
  <c r="G49" i="37"/>
  <c r="F49" i="37"/>
  <c r="E49" i="37"/>
  <c r="D49" i="37"/>
  <c r="C49" i="37"/>
  <c r="B49" i="37"/>
  <c r="J48" i="37"/>
  <c r="I48" i="37"/>
  <c r="G48" i="37"/>
  <c r="F48" i="37"/>
  <c r="E48" i="37"/>
  <c r="D48" i="37"/>
  <c r="C48" i="37"/>
  <c r="B48" i="37"/>
  <c r="J47" i="37"/>
  <c r="I47" i="37"/>
  <c r="G47" i="37"/>
  <c r="F47" i="37"/>
  <c r="E47" i="37"/>
  <c r="D47" i="37"/>
  <c r="C47" i="37"/>
  <c r="B47" i="37"/>
  <c r="J46" i="37"/>
  <c r="I46" i="37"/>
  <c r="G46" i="37"/>
  <c r="F46" i="37"/>
  <c r="E46" i="37"/>
  <c r="D46" i="37"/>
  <c r="C46" i="37"/>
  <c r="B46" i="37"/>
  <c r="J45" i="37"/>
  <c r="I45" i="37"/>
  <c r="G45" i="37"/>
  <c r="F45" i="37"/>
  <c r="E45" i="37"/>
  <c r="D45" i="37"/>
  <c r="C45" i="37"/>
  <c r="B45" i="37"/>
  <c r="J44" i="37"/>
  <c r="I44" i="37"/>
  <c r="G44" i="37"/>
  <c r="F44" i="37"/>
  <c r="E44" i="37"/>
  <c r="D44" i="37"/>
  <c r="C44" i="37"/>
  <c r="B44" i="37"/>
  <c r="J43" i="37"/>
  <c r="I43" i="37"/>
  <c r="G43" i="37"/>
  <c r="F43" i="37"/>
  <c r="E43" i="37"/>
  <c r="D43" i="37"/>
  <c r="C43" i="37"/>
  <c r="B43" i="37"/>
  <c r="J42" i="37"/>
  <c r="I42" i="37"/>
  <c r="G42" i="37"/>
  <c r="F42" i="37"/>
  <c r="E42" i="37"/>
  <c r="D42" i="37"/>
  <c r="C42" i="37"/>
  <c r="B42" i="37"/>
  <c r="J41" i="37"/>
  <c r="I41" i="37"/>
  <c r="G41" i="37"/>
  <c r="F41" i="37"/>
  <c r="E41" i="37"/>
  <c r="D41" i="37"/>
  <c r="C41" i="37"/>
  <c r="B41" i="37"/>
  <c r="J40" i="37"/>
  <c r="I40" i="37"/>
  <c r="G40" i="37"/>
  <c r="F40" i="37"/>
  <c r="E40" i="37"/>
  <c r="D40" i="37"/>
  <c r="C40" i="37"/>
  <c r="B40" i="37"/>
  <c r="J39" i="37"/>
  <c r="I39" i="37"/>
  <c r="G39" i="37"/>
  <c r="F39" i="37"/>
  <c r="E39" i="37"/>
  <c r="D39" i="37"/>
  <c r="C39" i="37"/>
  <c r="B39" i="37"/>
  <c r="J38" i="37"/>
  <c r="I38" i="37"/>
  <c r="G38" i="37"/>
  <c r="F38" i="37"/>
  <c r="E38" i="37"/>
  <c r="D38" i="37"/>
  <c r="C38" i="37"/>
  <c r="B38" i="37"/>
  <c r="J37" i="37"/>
  <c r="I37" i="37"/>
  <c r="G37" i="37"/>
  <c r="F37" i="37"/>
  <c r="E37" i="37"/>
  <c r="D37" i="37"/>
  <c r="C37" i="37"/>
  <c r="B37" i="37"/>
  <c r="J36" i="37"/>
  <c r="I36" i="37"/>
  <c r="G36" i="37"/>
  <c r="F36" i="37"/>
  <c r="E36" i="37"/>
  <c r="D36" i="37"/>
  <c r="C36" i="37"/>
  <c r="B36" i="37"/>
  <c r="J35" i="37"/>
  <c r="I35" i="37"/>
  <c r="G35" i="37"/>
  <c r="F35" i="37"/>
  <c r="E35" i="37"/>
  <c r="D35" i="37"/>
  <c r="C35" i="37"/>
  <c r="B35" i="37"/>
  <c r="J34" i="37"/>
  <c r="I34" i="37"/>
  <c r="G34" i="37"/>
  <c r="F34" i="37"/>
  <c r="E34" i="37"/>
  <c r="D34" i="37"/>
  <c r="C34" i="37"/>
  <c r="B34" i="37"/>
  <c r="J33" i="37"/>
  <c r="I33" i="37"/>
  <c r="G33" i="37"/>
  <c r="F33" i="37"/>
  <c r="E33" i="37"/>
  <c r="D33" i="37"/>
  <c r="C33" i="37"/>
  <c r="B33" i="37"/>
  <c r="J32" i="37"/>
  <c r="I32" i="37"/>
  <c r="G32" i="37"/>
  <c r="F32" i="37"/>
  <c r="E32" i="37"/>
  <c r="D32" i="37"/>
  <c r="C32" i="37"/>
  <c r="B32" i="37"/>
  <c r="J31" i="37"/>
  <c r="I31" i="37"/>
  <c r="G31" i="37"/>
  <c r="F31" i="37"/>
  <c r="E31" i="37"/>
  <c r="D31" i="37"/>
  <c r="C31" i="37"/>
  <c r="B31" i="37"/>
  <c r="J30" i="37"/>
  <c r="I30" i="37"/>
  <c r="G30" i="37"/>
  <c r="F30" i="37"/>
  <c r="E30" i="37"/>
  <c r="D30" i="37"/>
  <c r="C30" i="37"/>
  <c r="B30" i="37"/>
  <c r="J29" i="37"/>
  <c r="I29" i="37"/>
  <c r="G29" i="37"/>
  <c r="F29" i="37"/>
  <c r="E29" i="37"/>
  <c r="D29" i="37"/>
  <c r="C29" i="37"/>
  <c r="B29" i="37"/>
  <c r="J28" i="37"/>
  <c r="I28" i="37"/>
  <c r="G28" i="37"/>
  <c r="F28" i="37"/>
  <c r="E28" i="37"/>
  <c r="D28" i="37"/>
  <c r="C28" i="37"/>
  <c r="B28" i="37"/>
  <c r="J27" i="37"/>
  <c r="I27" i="37"/>
  <c r="G27" i="37"/>
  <c r="F27" i="37"/>
  <c r="E27" i="37"/>
  <c r="D27" i="37"/>
  <c r="C27" i="37"/>
  <c r="B27" i="37"/>
  <c r="J26" i="37"/>
  <c r="I26" i="37"/>
  <c r="G26" i="37"/>
  <c r="F26" i="37"/>
  <c r="E26" i="37"/>
  <c r="D26" i="37"/>
  <c r="C26" i="37"/>
  <c r="B26" i="37"/>
  <c r="J25" i="37"/>
  <c r="I25" i="37"/>
  <c r="G25" i="37"/>
  <c r="F25" i="37"/>
  <c r="E25" i="37"/>
  <c r="D25" i="37"/>
  <c r="C25" i="37"/>
  <c r="B25" i="37"/>
  <c r="J24" i="37"/>
  <c r="I24" i="37"/>
  <c r="G24" i="37"/>
  <c r="F24" i="37"/>
  <c r="E24" i="37"/>
  <c r="D24" i="37"/>
  <c r="C24" i="37"/>
  <c r="B24" i="37"/>
  <c r="J23" i="37"/>
  <c r="I23" i="37"/>
  <c r="G23" i="37"/>
  <c r="F23" i="37"/>
  <c r="E23" i="37"/>
  <c r="D23" i="37"/>
  <c r="C23" i="37"/>
  <c r="B23" i="37"/>
  <c r="J22" i="37"/>
  <c r="I22" i="37"/>
  <c r="G22" i="37"/>
  <c r="F22" i="37"/>
  <c r="E22" i="37"/>
  <c r="D22" i="37"/>
  <c r="C22" i="37"/>
  <c r="B22" i="37"/>
  <c r="J21" i="37"/>
  <c r="I21" i="37"/>
  <c r="G21" i="37"/>
  <c r="F21" i="37"/>
  <c r="E21" i="37"/>
  <c r="D21" i="37"/>
  <c r="C21" i="37"/>
  <c r="B21" i="37"/>
  <c r="J20" i="37"/>
  <c r="I20" i="37"/>
  <c r="G20" i="37"/>
  <c r="F20" i="37"/>
  <c r="E20" i="37"/>
  <c r="D20" i="37"/>
  <c r="C20" i="37"/>
  <c r="B20" i="37"/>
  <c r="J19" i="37"/>
  <c r="I19" i="37"/>
  <c r="G19" i="37"/>
  <c r="F19" i="37"/>
  <c r="E19" i="37"/>
  <c r="D19" i="37"/>
  <c r="C19" i="37"/>
  <c r="B19" i="37"/>
  <c r="J18" i="37"/>
  <c r="I18" i="37"/>
  <c r="G18" i="37"/>
  <c r="F18" i="37"/>
  <c r="E18" i="37"/>
  <c r="D18" i="37"/>
  <c r="C18" i="37"/>
  <c r="B18" i="37"/>
  <c r="J17" i="37"/>
  <c r="I17" i="37"/>
  <c r="G17" i="37"/>
  <c r="F17" i="37"/>
  <c r="E17" i="37"/>
  <c r="D17" i="37"/>
  <c r="C17" i="37"/>
  <c r="B17" i="37"/>
  <c r="J16" i="37"/>
  <c r="I16" i="37"/>
  <c r="G16" i="37"/>
  <c r="F16" i="37"/>
  <c r="E16" i="37"/>
  <c r="D16" i="37"/>
  <c r="C16" i="37"/>
  <c r="B16" i="37"/>
  <c r="J15" i="37"/>
  <c r="I15" i="37"/>
  <c r="G15" i="37"/>
  <c r="F15" i="37"/>
  <c r="E15" i="37"/>
  <c r="D15" i="37"/>
  <c r="C15" i="37"/>
  <c r="B15" i="37"/>
  <c r="J14" i="37"/>
  <c r="I14" i="37"/>
  <c r="G14" i="37"/>
  <c r="F14" i="37"/>
  <c r="E14" i="37"/>
  <c r="D14" i="37"/>
  <c r="C14" i="37"/>
  <c r="B14" i="37"/>
  <c r="J13" i="37"/>
  <c r="I13" i="37"/>
  <c r="G13" i="37"/>
  <c r="F13" i="37"/>
  <c r="E13" i="37"/>
  <c r="D13" i="37"/>
  <c r="C13" i="37"/>
  <c r="B13" i="37"/>
  <c r="J12" i="37"/>
  <c r="I12" i="37"/>
  <c r="G12" i="37"/>
  <c r="F12" i="37"/>
  <c r="E12" i="37"/>
  <c r="D12" i="37"/>
  <c r="C12" i="37"/>
  <c r="B12" i="37"/>
  <c r="J11" i="37"/>
  <c r="I11" i="37"/>
  <c r="G11" i="37"/>
  <c r="F11" i="37"/>
  <c r="E11" i="37"/>
  <c r="D11" i="37"/>
  <c r="C11" i="37"/>
  <c r="B11" i="37"/>
  <c r="J10" i="37"/>
  <c r="I10" i="37"/>
  <c r="G10" i="37"/>
  <c r="F10" i="37"/>
  <c r="E10" i="37"/>
  <c r="D10" i="37"/>
  <c r="C10" i="37"/>
  <c r="B10" i="37"/>
  <c r="J9" i="37"/>
  <c r="I9" i="37"/>
  <c r="G9" i="37"/>
  <c r="F9" i="37"/>
  <c r="E9" i="37"/>
  <c r="D9" i="37"/>
  <c r="C9" i="37"/>
  <c r="B9" i="37"/>
  <c r="J8" i="37"/>
  <c r="I8" i="37"/>
  <c r="G8" i="37"/>
  <c r="F8" i="37"/>
  <c r="E8" i="37"/>
  <c r="D8" i="37"/>
  <c r="C8" i="37"/>
  <c r="B8" i="37"/>
  <c r="J7" i="37"/>
  <c r="I7" i="37"/>
  <c r="G7" i="37"/>
  <c r="F7" i="37"/>
  <c r="E7" i="37"/>
  <c r="D7" i="37"/>
  <c r="C7" i="37"/>
  <c r="B7" i="37"/>
  <c r="J6" i="37"/>
  <c r="I6" i="37"/>
  <c r="G6" i="37"/>
  <c r="F6" i="37"/>
  <c r="E6" i="37"/>
  <c r="D6" i="37"/>
  <c r="C6" i="37"/>
  <c r="B6" i="37"/>
  <c r="J5" i="37"/>
  <c r="I5" i="37"/>
  <c r="G5" i="37"/>
  <c r="F5" i="37"/>
  <c r="E5" i="37"/>
  <c r="D5" i="37"/>
  <c r="C5" i="37"/>
  <c r="B5" i="37"/>
  <c r="J4" i="37"/>
  <c r="I4" i="37"/>
  <c r="G4" i="37"/>
  <c r="F4" i="37"/>
  <c r="E4" i="37"/>
  <c r="D4" i="37"/>
  <c r="C4" i="37"/>
  <c r="B4" i="37"/>
  <c r="J3" i="37"/>
  <c r="I3" i="37"/>
  <c r="G3" i="37"/>
  <c r="F3" i="37"/>
  <c r="E3" i="37"/>
  <c r="D3" i="37"/>
  <c r="C3" i="37"/>
  <c r="B3" i="37"/>
  <c r="J2" i="37"/>
  <c r="I2" i="37"/>
  <c r="G2" i="37"/>
  <c r="F2" i="37"/>
  <c r="E2" i="37"/>
  <c r="D2" i="37"/>
  <c r="C2" i="37"/>
  <c r="B2" i="37"/>
</calcChain>
</file>

<file path=xl/sharedStrings.xml><?xml version="1.0" encoding="utf-8"?>
<sst xmlns="http://schemas.openxmlformats.org/spreadsheetml/2006/main" count="10067" uniqueCount="3255">
  <si>
    <t>Charter leads Comcast on residential locations in 19 of 51 states (+5.54M units in New York) against 27 Comcast-lead states (-4.36M in Pennsylvania); by Census division the only positive Charter unit margins are West South Central (+3.55M, Texas-driven), West North Central (+1.19M), and East South Central (+0.44M).</t>
  </si>
  <si>
    <t>Federal Communications Commission, Broadband Data Collection / National Broadband Map, as of 31 Dec 2025 (D25), file revision 15 Sep 2026. Metric: res_st_pct = share of residential units at Broadband Serviceable Locations where the holding company reports residential fixed broadband availability. Estimated units = res_st_pct × state residential fabric units. Availability, not subscribers. Charter Communications (Spectrum, provider_id 130235, FRN 0025646373); Comcast Corporation (Xfinity, provider_id 130317, FRN 0003768165). Files: bdc_us_provider_list_D25_15sep2026.csv; bdc_us_provider_summary_by_geography_D25_15sep2026.csv; bdc_us_fixed_broadband_summary_by_geography_D25_15sep2026.csv; bdc_us_fixed_broadband_provider_summary_D25_15sep2026.csv. URL: https://broadbandmap.fcc.gov/data-download</t>
  </si>
  <si>
    <t>sort_rank</t>
  </si>
  <si>
    <t>state</t>
  </si>
  <si>
    <t>abbr</t>
  </si>
  <si>
    <t>census_division</t>
  </si>
  <si>
    <t>census_region</t>
  </si>
  <si>
    <t>leader</t>
  </si>
  <si>
    <t>margin_units_chtr_minus_cmcsa</t>
  </si>
  <si>
    <t>margin_pp</t>
  </si>
  <si>
    <t>charter_res_st_pct</t>
  </si>
  <si>
    <t>comcast_res_st_pct</t>
  </si>
  <si>
    <t>charter_est_units</t>
  </si>
  <si>
    <t>comcast_est_units</t>
  </si>
  <si>
    <t>total_residential_units</t>
  </si>
  <si>
    <t>chart_chtr_lead_m</t>
  </si>
  <si>
    <t>chart_cmcsa_lead_m</t>
  </si>
  <si>
    <t>origin</t>
  </si>
  <si>
    <t>New York</t>
  </si>
  <si>
    <t>NY</t>
  </si>
  <si>
    <t>Middle Atlantic</t>
  </si>
  <si>
    <t>Northeast</t>
  </si>
  <si>
    <t>Charter</t>
  </si>
  <si>
    <t>RETRIEVED</t>
  </si>
  <si>
    <t>Ohio</t>
  </si>
  <si>
    <t>OH</t>
  </si>
  <si>
    <t>East North Central</t>
  </si>
  <si>
    <t>Midwest</t>
  </si>
  <si>
    <t>North Carolina</t>
  </si>
  <si>
    <t>NC</t>
  </si>
  <si>
    <t>South Atlantic</t>
  </si>
  <si>
    <t>South</t>
  </si>
  <si>
    <t>Texas</t>
  </si>
  <si>
    <t>TX</t>
  </si>
  <si>
    <t>West South Central</t>
  </si>
  <si>
    <t>Wisconsin</t>
  </si>
  <si>
    <t>WI</t>
  </si>
  <si>
    <t>California</t>
  </si>
  <si>
    <t>CA</t>
  </si>
  <si>
    <t>Pacific</t>
  </si>
  <si>
    <t>West</t>
  </si>
  <si>
    <t>Missouri</t>
  </si>
  <si>
    <t>MO</t>
  </si>
  <si>
    <t>West North Central</t>
  </si>
  <si>
    <t>Kentucky</t>
  </si>
  <si>
    <t>KY</t>
  </si>
  <si>
    <t>East South Central</t>
  </si>
  <si>
    <t>South Carolina</t>
  </si>
  <si>
    <t>SC</t>
  </si>
  <si>
    <t>Alabama</t>
  </si>
  <si>
    <t>AL</t>
  </si>
  <si>
    <t>Hawaii</t>
  </si>
  <si>
    <t>HI</t>
  </si>
  <si>
    <t>Maine</t>
  </si>
  <si>
    <t>ME</t>
  </si>
  <si>
    <t>New England</t>
  </si>
  <si>
    <t>Montana</t>
  </si>
  <si>
    <t>MT</t>
  </si>
  <si>
    <t>Mountain</t>
  </si>
  <si>
    <t>Nebraska</t>
  </si>
  <si>
    <t>NE</t>
  </si>
  <si>
    <t>Nevada</t>
  </si>
  <si>
    <t>NV</t>
  </si>
  <si>
    <t>Kansas</t>
  </si>
  <si>
    <t>KS</t>
  </si>
  <si>
    <t>Wyoming</t>
  </si>
  <si>
    <t>WY</t>
  </si>
  <si>
    <t>Idaho</t>
  </si>
  <si>
    <t>ID</t>
  </si>
  <si>
    <t>Louisiana</t>
  </si>
  <si>
    <t>LA</t>
  </si>
  <si>
    <t>Alaska</t>
  </si>
  <si>
    <t>AK</t>
  </si>
  <si>
    <t>Neither</t>
  </si>
  <si>
    <t>Iowa</t>
  </si>
  <si>
    <t>IA</t>
  </si>
  <si>
    <t>North Dakota</t>
  </si>
  <si>
    <t>ND</t>
  </si>
  <si>
    <t>Oklahoma</t>
  </si>
  <si>
    <t>OK</t>
  </si>
  <si>
    <t>South Dakota</t>
  </si>
  <si>
    <t>SD</t>
  </si>
  <si>
    <t>Rhode Island</t>
  </si>
  <si>
    <t>RI</t>
  </si>
  <si>
    <t>Comcast</t>
  </si>
  <si>
    <t>Arizona</t>
  </si>
  <si>
    <t>AZ</t>
  </si>
  <si>
    <t>Vermont</t>
  </si>
  <si>
    <t>VT</t>
  </si>
  <si>
    <t>West Virginia</t>
  </si>
  <si>
    <t>WV</t>
  </si>
  <si>
    <t>Arkansas</t>
  </si>
  <si>
    <t>AR</t>
  </si>
  <si>
    <t>District of Columbia</t>
  </si>
  <si>
    <t>DC</t>
  </si>
  <si>
    <t>New Hampshire</t>
  </si>
  <si>
    <t>NH</t>
  </si>
  <si>
    <t>Delaware</t>
  </si>
  <si>
    <t>DE</t>
  </si>
  <si>
    <t>Mississippi</t>
  </si>
  <si>
    <t>MS</t>
  </si>
  <si>
    <t>New Mexico</t>
  </si>
  <si>
    <t>NM</t>
  </si>
  <si>
    <t>Minnesota</t>
  </si>
  <si>
    <t>MN</t>
  </si>
  <si>
    <t>Oregon</t>
  </si>
  <si>
    <t>OR</t>
  </si>
  <si>
    <t>Connecticut</t>
  </si>
  <si>
    <t>CT</t>
  </si>
  <si>
    <t>Tennessee</t>
  </si>
  <si>
    <t>TN</t>
  </si>
  <si>
    <t>Utah</t>
  </si>
  <si>
    <t>UT</t>
  </si>
  <si>
    <t>Indiana</t>
  </si>
  <si>
    <t>IN</t>
  </si>
  <si>
    <t>Michigan</t>
  </si>
  <si>
    <t>MI</t>
  </si>
  <si>
    <t>Virginia</t>
  </si>
  <si>
    <t>VA</t>
  </si>
  <si>
    <t>Florida</t>
  </si>
  <si>
    <t>FL</t>
  </si>
  <si>
    <t>Georgia</t>
  </si>
  <si>
    <t>GA</t>
  </si>
  <si>
    <t>Colorado</t>
  </si>
  <si>
    <t>CO</t>
  </si>
  <si>
    <t>New Jersey</t>
  </si>
  <si>
    <t>NJ</t>
  </si>
  <si>
    <t>Washington</t>
  </si>
  <si>
    <t>WA</t>
  </si>
  <si>
    <t>Massachusetts</t>
  </si>
  <si>
    <t>MA</t>
  </si>
  <si>
    <t>Maryland</t>
  </si>
  <si>
    <t>MD</t>
  </si>
  <si>
    <t>Illinois</t>
  </si>
  <si>
    <t>IL</t>
  </si>
  <si>
    <t>Pennsylvania</t>
  </si>
  <si>
    <t>PA</t>
  </si>
  <si>
    <t>Chart columns chart_chtr_lead_m / chart_cmcsa_lead_m are millions of estimated residential units; split so Charter-lead and Comcast-lead can be drawn as two series (one accent). Axis must start at zero.</t>
  </si>
  <si>
    <t>5 states have neither operator in the FCC state summary (AK, IA, ND, OK, SD); margin = 0. Beating = strictly larger res_st_pct. Availability, not subscribers.</t>
  </si>
  <si>
    <t>EH&amp;B MASTER — compiled copy of every workbook in this folder</t>
  </si>
  <si>
    <t>Compiled 2026-09-22. Every number is a copy. Source workbooks remain the originals and are unchanged. Do not treat MASTER as the system of record.</t>
  </si>
  <si>
    <t>Source file</t>
  </si>
  <si>
    <t>Date compiled</t>
  </si>
  <si>
    <t>MASTER tabs from this file</t>
  </si>
  <si>
    <t>Source sheets (original names)</t>
  </si>
  <si>
    <t>Small Large Employment Shares.xlsx</t>
  </si>
  <si>
    <t>2026-09-22</t>
  </si>
  <si>
    <t>Emp-Notes, Emp-US, Emp-States, Emp-MetrosHiLo, Emp-MetrosFull, Emp-MSAFull, Emp-CutoffSens</t>
  </si>
  <si>
    <t>Notes, United States, States, Metros Exhibit High Low, Metros Full (387), MSA Full File, Cutoff Sensitivity</t>
  </si>
  <si>
    <t>Work from Home Rates.xlsx</t>
  </si>
  <si>
    <t>WFH-Notes, WFH-US, WFH-States, WFH-Seniority, WFH-FirmSize</t>
  </si>
  <si>
    <t>Notes, United States, States, Seniority proxies, Firm size</t>
  </si>
  <si>
    <t>Brokerage Metrics.xlsx</t>
  </si>
  <si>
    <t>Brok-Notes, Brok-Core, Brok-Later, Brok-InHand</t>
  </si>
  <si>
    <t>Notes, Core metrics, Later demoted, Already in hand</t>
  </si>
  <si>
    <t>Brokerage Metrics Breakdown.xlsx</t>
  </si>
  <si>
    <t>BrkDn-Notes, BrkDn-Score, BrkDn-M1, BrkDn-M2, BrkDn-M5, BrkDn-M9, BrkDn-M13, BrkDn-Analogues</t>
  </si>
  <si>
    <t>Notes, Scorecard, M1, M2, M5, M9, M13, Analogues</t>
  </si>
  <si>
    <t>Comcast vs Charter.xlsx</t>
  </si>
  <si>
    <t>CvC-Notes, CvC-Leads, CvC-Charter, CvC-Comcast, CvC-Neither</t>
  </si>
  <si>
    <t>Notes, State leads, Charter lead states, Comcast lead states, Neither</t>
  </si>
  <si>
    <t>State Region Density Maps.xlsx</t>
  </si>
  <si>
    <t>Dens-Notes, Dens-State, Dens-Division, Dens-A-CvC, Dens-B-WFH, Dens-C-Large</t>
  </si>
  <si>
    <t>Notes, State combined, Division rollup, A Charter vs Comcast, B WFH ACS, C Large-firm 500+</t>
  </si>
  <si>
    <t>MASTER.xlsx (this workbook)</t>
  </si>
  <si>
    <t>State Combined</t>
  </si>
  <si>
    <t>Join of Dens-A-CvC + Dens-B-WFH + Dens-C-Large (51 states + DC; live formulas)</t>
  </si>
  <si>
    <t>State Combined: INDEX/MATCH to Dens-* snake_case headers (fixed 2026-09-22).</t>
  </si>
  <si>
    <t>Field</t>
  </si>
  <si>
    <t>Content</t>
  </si>
  <si>
    <t>Title</t>
  </si>
  <si>
    <t>Where people work: small vs large firms — chart and table contents</t>
  </si>
  <si>
    <t>Canvas</t>
  </si>
  <si>
    <t>Chtr Small Large Employment Shares (chtr-small-large-employment-shares.canvas.tsx)</t>
  </si>
  <si>
    <t>Year</t>
  </si>
  <si>
    <t>2022</t>
  </si>
  <si>
    <t>Origin</t>
  </si>
  <si>
    <t>Primary cutoff</t>
  </si>
  <si>
    <t>SBA &lt;500 employees (enterprise)</t>
  </si>
  <si>
    <t>Definition</t>
  </si>
  <si>
    <t>SUSB employment is mid-March payroll employment at employer establishments, classified by enterprise (firm) employment size; excludes nonemployers, most government, and most of agriculture.</t>
  </si>
  <si>
    <t>Measure</t>
  </si>
  <si>
    <t>mid-March payroll employment at employer establishments, classified by enterprise (firm) employment size; primary split firms &lt;500 vs 500+ employees (SBA cutoff)</t>
  </si>
  <si>
    <t>Vintage note</t>
  </si>
  <si>
    <t>US, state, and MSA/µSA enterprise-size employment all from SUSB 2022 (same vintage; MSA revised 2025-07-22). No year mixing.</t>
  </si>
  <si>
    <t>Agency</t>
  </si>
  <si>
    <t>U.S. Census Bureau</t>
  </si>
  <si>
    <t>Program</t>
  </si>
  <si>
    <t>Statistics of U.S. Businesses (SUSB)</t>
  </si>
  <si>
    <t>Landing page</t>
  </si>
  <si>
    <t>https://www.census.gov/data/datasets/2022/econ/susb/2022-susb.html</t>
  </si>
  <si>
    <t>US/State file</t>
  </si>
  <si>
    <t>us_state_naics_detailedsizes_2022.txt</t>
  </si>
  <si>
    <t>US/State URL</t>
  </si>
  <si>
    <t>https://www2.census.gov/programs-surveys/susb/tables/2022/us_state_naics_detailedsizes_2022.txt</t>
  </si>
  <si>
    <t>US/State release</t>
  </si>
  <si>
    <t>reference year 2022; datasets page April 2025; file last-modified 2025-04-10</t>
  </si>
  <si>
    <t>MSA file</t>
  </si>
  <si>
    <t>msa_3digitnaics_2022.txt</t>
  </si>
  <si>
    <t>MSA URL</t>
  </si>
  <si>
    <t>https://www2.census.gov/programs-surveys/susb/datasets/2022/msa_3digitnaics_2022.txt</t>
  </si>
  <si>
    <t>MSA release</t>
  </si>
  <si>
    <t>reference year 2022; MSA dataset originally released 2025-05-29, revised 2025-07-22 (extraneous estimates removed; remaining estimates unchanged)</t>
  </si>
  <si>
    <t>Enterprise codes</t>
  </si>
  <si>
    <t>https://www2.census.gov/programs-surveys/susb/technical-documentation/enterprise_codes_2017.txt</t>
  </si>
  <si>
    <t>Full citation (US/State)</t>
  </si>
  <si>
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2025-04-10; measures mid-March payroll employment at employer establishments, classified by enterprise (firm) employment size; primary split firms &lt;500 vs 500+ employees (SBA cutoff). File: https://www2.census.gov/programs-surveys/susb/tables/2022/us_state_naics_detailedsizes_2022.txt Landing page: https://www.census.gov/data/datasets/2022/econ/susb/2022-susb.html</t>
  </si>
  <si>
    <t>Full citation (MSA)</t>
  </si>
  <si>
    <t>U.S. Census Bureau, Statistics of U.S. Businesses (SUSB), 2022 Annual Datasets by Establishment Industry — msa_3digitnaics_2022.txt (all-industry NAICS=--, enterprise employment size); reference year 2022; MSA dataset originally released 2025-05-29, revised 2025-07-22 (extraneous estimates removed; remaining estimates unchanged); measures mid-March payroll employment at employer establishments, classified by enterprise (firm) employment size; primary split firms &lt;500 vs 500+ employees (SBA cutoff). File: https://www2.census.gov/programs-surveys/susb/datasets/2022/msa_3digitnaics_2022.txt Landing page: https://www.census.gov/data/datasets/2022/econ/susb/2022-susb.html</t>
  </si>
  <si>
    <t>Exclusions</t>
  </si>
  <si>
    <t>Excludes nonemployers, most government, and most of agriculture. Classified by enterprise (firm) size, not establishment size.</t>
  </si>
  <si>
    <t>Metro median note</t>
  </si>
  <si>
    <t>Canvas metro median 49.8% = median of share_lt500 across 387 Metropolitan Statistical Areas (Micro Areas excluded). Reproduce on sheet 'Metros Full (387)' by taking the median of column 'Share &lt;500 (%)'.</t>
  </si>
  <si>
    <t>Sheet guide</t>
  </si>
  <si>
    <t>United States = national binary + size-class chart data. States = all 50+DC sorted by small-firm share (canvas table). Metros Exhibit High Low = canvas high/low tables only. Metros Full (387) = all Metro Areas (median universe). MSA Full File = metros + micros from msa_employment_by_firm_size.csv. Cutoff Sensitivity = &lt;100 vs &lt;500 vs 500+ chart.</t>
  </si>
  <si>
    <t>Source CSVs</t>
  </si>
  <si>
    <t>Analysis/small-large-employment/out/*.csv · Script: Analysis/small-large-employment/build_susb_employment_shares.py</t>
  </si>
  <si>
    <t>Charter footprint</t>
  </si>
  <si>
    <t>Repo sources state Charter serves 41 states but do not list the 41 states or Spectrum service metros. Footprint filter not applied; need an official state/metro list to subset.</t>
  </si>
  <si>
    <t>Geography</t>
  </si>
  <si>
    <t>Employment &lt;500</t>
  </si>
  <si>
    <t>Employment 500+</t>
  </si>
  <si>
    <t>Total employment</t>
  </si>
  <si>
    <t>Share &lt;500 (%)</t>
  </si>
  <si>
    <t>Share 500+ (%)</t>
  </si>
  <si>
    <t>Share &lt;500 (full precision)</t>
  </si>
  <si>
    <t>Share 500+ (full precision)</t>
  </si>
  <si>
    <t>Source URL</t>
  </si>
  <si>
    <t>United States</t>
  </si>
  <si>
    <t>Enterprise size class</t>
  </si>
  <si>
    <t>Employment</t>
  </si>
  <si>
    <t>Share of U.S. employment (%)</t>
  </si>
  <si>
    <t>Share (full precision)</t>
  </si>
  <si>
    <t>Notes</t>
  </si>
  <si>
    <t>&lt;5</t>
  </si>
  <si>
    <t>Other size classes (canvas)</t>
  </si>
  <si>
    <t>5–9</t>
  </si>
  <si>
    <t>10–19</t>
  </si>
  <si>
    <t>20–99</t>
  </si>
  <si>
    <t>100–499</t>
  </si>
  <si>
    <t>500+</t>
  </si>
  <si>
    <t>Firms with 500+ employees (canvas focal)</t>
  </si>
  <si>
    <t>Citation</t>
  </si>
  <si>
    <t>Rank (by small-firm share)</t>
  </si>
  <si>
    <t>State / DC</t>
  </si>
  <si>
    <t>Total employment (base)</t>
  </si>
  <si>
    <t>D.C.</t>
  </si>
  <si>
    <t>Exhibit group</t>
  </si>
  <si>
    <t>Metro Area</t>
  </si>
  <si>
    <t>Highest small-firm shares</t>
  </si>
  <si>
    <t>Bozeman, MT</t>
  </si>
  <si>
    <t>Santa Cruz-Watsonville, CA</t>
  </si>
  <si>
    <t>Kingston, NY</t>
  </si>
  <si>
    <t>St. George, UT</t>
  </si>
  <si>
    <t>Missoula, MT</t>
  </si>
  <si>
    <t>Bellingham, WA</t>
  </si>
  <si>
    <t>Fairbanks-College, AK</t>
  </si>
  <si>
    <t>Barnstable Town, MA</t>
  </si>
  <si>
    <t>Hilton Head Island-Bluffton-Port Royal, SC</t>
  </si>
  <si>
    <t>Bend, OR</t>
  </si>
  <si>
    <t>Lowest small-firm shares</t>
  </si>
  <si>
    <t>Rochester, MN</t>
  </si>
  <si>
    <t>Durham-Chapel Hill, NC</t>
  </si>
  <si>
    <t>Bloomington, IL</t>
  </si>
  <si>
    <t>San Jose-Sunnyvale-Santa Clara, CA</t>
  </si>
  <si>
    <t>Columbus, IN</t>
  </si>
  <si>
    <t>Ithaca, NY</t>
  </si>
  <si>
    <t>Spartanburg, SC</t>
  </si>
  <si>
    <t>Hinesville, GA</t>
  </si>
  <si>
    <t>Morgantown, WV</t>
  </si>
  <si>
    <t>Elkhart-Goshen, IN</t>
  </si>
  <si>
    <t>CBSA code</t>
  </si>
  <si>
    <t>Bozeman, MT Metro Area</t>
  </si>
  <si>
    <t>14580</t>
  </si>
  <si>
    <t>Santa Cruz-Watsonville, CA Metro Area</t>
  </si>
  <si>
    <t>42100</t>
  </si>
  <si>
    <t>Kingston, NY Metro Area</t>
  </si>
  <si>
    <t>28740</t>
  </si>
  <si>
    <t>St. George, UT Metro Area</t>
  </si>
  <si>
    <t>41100</t>
  </si>
  <si>
    <t>Missoula, MT Metro Area</t>
  </si>
  <si>
    <t>33540</t>
  </si>
  <si>
    <t>Bellingham, WA Metro Area</t>
  </si>
  <si>
    <t>13380</t>
  </si>
  <si>
    <t>Fairbanks-College, AK Metro Area</t>
  </si>
  <si>
    <t>21820</t>
  </si>
  <si>
    <t>Barnstable Town, MA Metro Area</t>
  </si>
  <si>
    <t>12700</t>
  </si>
  <si>
    <t>Hilton Head Island-Bluffton-Port Royal, SC Metro Area</t>
  </si>
  <si>
    <t>25940</t>
  </si>
  <si>
    <t>Bend, OR Metro Area</t>
  </si>
  <si>
    <t>13460</t>
  </si>
  <si>
    <t>San Luis Obispo-Paso Robles, CA Metro Area</t>
  </si>
  <si>
    <t>42020</t>
  </si>
  <si>
    <t>Napa, CA Metro Area</t>
  </si>
  <si>
    <t>34900</t>
  </si>
  <si>
    <t>Coeur d'Alene, ID Metro Area</t>
  </si>
  <si>
    <t>17660</t>
  </si>
  <si>
    <t>Bremerton-Silverdale-Port Orchard, WA Metro Area</t>
  </si>
  <si>
    <t>14740</t>
  </si>
  <si>
    <t>Grants Pass, OR Metro Area</t>
  </si>
  <si>
    <t>24420</t>
  </si>
  <si>
    <t>Santa Fe, NM Metro Area</t>
  </si>
  <si>
    <t>42140</t>
  </si>
  <si>
    <t>Wenatchee-East Wenatchee, WA Metro Area</t>
  </si>
  <si>
    <t>48300</t>
  </si>
  <si>
    <t>Traverse City, MI Metro Area</t>
  </si>
  <si>
    <t>45900</t>
  </si>
  <si>
    <t>Naples-Marco Island, FL Metro Area</t>
  </si>
  <si>
    <t>34940</t>
  </si>
  <si>
    <t>Helena, MT Metro Area</t>
  </si>
  <si>
    <t>25740</t>
  </si>
  <si>
    <t>Rapid City, SD Metro Area</t>
  </si>
  <si>
    <t>39660</t>
  </si>
  <si>
    <t>Casper, WY Metro Area</t>
  </si>
  <si>
    <t>16220</t>
  </si>
  <si>
    <t>Eugene-Springfield, OR Metro Area</t>
  </si>
  <si>
    <t>21660</t>
  </si>
  <si>
    <t>Santa Rosa-Petaluma, CA Metro Area</t>
  </si>
  <si>
    <t>42220</t>
  </si>
  <si>
    <t>Lafayette, LA Metro Area</t>
  </si>
  <si>
    <t>29180</t>
  </si>
  <si>
    <t>Santa Maria-Santa Barbara, CA Metro Area</t>
  </si>
  <si>
    <t>42200</t>
  </si>
  <si>
    <t>Manhattan, KS Metro Area</t>
  </si>
  <si>
    <t>31740</t>
  </si>
  <si>
    <t>Lawrence, KS Metro Area</t>
  </si>
  <si>
    <t>29940</t>
  </si>
  <si>
    <t>Lexington Park, MD Metro Area</t>
  </si>
  <si>
    <t>30500</t>
  </si>
  <si>
    <t>Bay City, MI Metro Area</t>
  </si>
  <si>
    <t>13020</t>
  </si>
  <si>
    <t>Salem, OR Metro Area</t>
  </si>
  <si>
    <t>41420</t>
  </si>
  <si>
    <t>Daphne-Fairhope-Foley, AL Metro Area</t>
  </si>
  <si>
    <t>19300</t>
  </si>
  <si>
    <t>Houma-Bayou Cane-Thibodaux, LA Metro Area</t>
  </si>
  <si>
    <t>26380</t>
  </si>
  <si>
    <t>Redding, CA Metro Area</t>
  </si>
  <si>
    <t>39820</t>
  </si>
  <si>
    <t>Minot, ND Metro Area</t>
  </si>
  <si>
    <t>33500</t>
  </si>
  <si>
    <t>Prescott Valley-Prescott, AZ Metro Area</t>
  </si>
  <si>
    <t>39150</t>
  </si>
  <si>
    <t>Corvallis, OR Metro Area</t>
  </si>
  <si>
    <t>18700</t>
  </si>
  <si>
    <t>Monroe, LA Metro Area</t>
  </si>
  <si>
    <t>33740</t>
  </si>
  <si>
    <t>Yakima, WA Metro Area</t>
  </si>
  <si>
    <t>49420</t>
  </si>
  <si>
    <t>Medford, OR Metro Area</t>
  </si>
  <si>
    <t>32780</t>
  </si>
  <si>
    <t>Gettysburg, PA Metro Area</t>
  </si>
  <si>
    <t>23900</t>
  </si>
  <si>
    <t>Chico, CA Metro Area</t>
  </si>
  <si>
    <t>17020</t>
  </si>
  <si>
    <t>Mount Vernon-Anacortes, WA Metro Area</t>
  </si>
  <si>
    <t>34580</t>
  </si>
  <si>
    <t>Burlington-South Burlington, VT Metro Area</t>
  </si>
  <si>
    <t>15540</t>
  </si>
  <si>
    <t>Sebastian-Vero Beach-West Vero Corridor, FL Metro Area</t>
  </si>
  <si>
    <t>42680</t>
  </si>
  <si>
    <t>Midland, TX Metro Area</t>
  </si>
  <si>
    <t>33260</t>
  </si>
  <si>
    <t>State College, PA Metro Area</t>
  </si>
  <si>
    <t>44300</t>
  </si>
  <si>
    <t>Watertown-Fort Drum, NY Metro Area</t>
  </si>
  <si>
    <t>48060</t>
  </si>
  <si>
    <t>Myrtle Beach-Conway-North Myrtle Beach, SC Metro Area</t>
  </si>
  <si>
    <t>34820</t>
  </si>
  <si>
    <t>Farmington, NM Metro Area</t>
  </si>
  <si>
    <t>22140</t>
  </si>
  <si>
    <t>Youngstown-Warren, OH Metro Area</t>
  </si>
  <si>
    <t>49660</t>
  </si>
  <si>
    <t>Billings, MT Metro Area</t>
  </si>
  <si>
    <t>13740</t>
  </si>
  <si>
    <t>Laredo, TX Metro Area</t>
  </si>
  <si>
    <t>29700</t>
  </si>
  <si>
    <t>Fort Collins-Loveland, CO Metro Area</t>
  </si>
  <si>
    <t>22660</t>
  </si>
  <si>
    <t>Carson City, NV Metro Area</t>
  </si>
  <si>
    <t>16180</t>
  </si>
  <si>
    <t>Yuba City, CA Metro Area</t>
  </si>
  <si>
    <t>49700</t>
  </si>
  <si>
    <t>Oxnard-Thousand Oaks-Ventura, CA Metro Area</t>
  </si>
  <si>
    <t>37100</t>
  </si>
  <si>
    <t>North Port-Bradenton-Sarasota, FL Metro Area</t>
  </si>
  <si>
    <t>35840</t>
  </si>
  <si>
    <t>Longview-Kelso, WA Metro Area</t>
  </si>
  <si>
    <t>31020</t>
  </si>
  <si>
    <t>Grand Junction, CO Metro Area</t>
  </si>
  <si>
    <t>24300</t>
  </si>
  <si>
    <t>Enid, OK Metro Area</t>
  </si>
  <si>
    <t>21420</t>
  </si>
  <si>
    <t>Sierra Vista-Douglas, AZ Metro Area</t>
  </si>
  <si>
    <t>43420</t>
  </si>
  <si>
    <t>Glens Falls, NY Metro Area</t>
  </si>
  <si>
    <t>24020</t>
  </si>
  <si>
    <t>Hammond, LA Metro Area</t>
  </si>
  <si>
    <t>25220</t>
  </si>
  <si>
    <t>Salinas, CA Metro Area</t>
  </si>
  <si>
    <t>41500</t>
  </si>
  <si>
    <t>Flagstaff, AZ Metro Area</t>
  </si>
  <si>
    <t>22380</t>
  </si>
  <si>
    <t>Kahului-Wailuku, HI Metro Area</t>
  </si>
  <si>
    <t>27980</t>
  </si>
  <si>
    <t>Brunswick-St. Simons, GA Metro Area</t>
  </si>
  <si>
    <t>15260</t>
  </si>
  <si>
    <t>Boulder, CO Metro Area</t>
  </si>
  <si>
    <t>14500</t>
  </si>
  <si>
    <t>Lake Havasu City-Kingman, AZ Metro Area</t>
  </si>
  <si>
    <t>29420</t>
  </si>
  <si>
    <t>Athens-Clarke County, GA Metro Area</t>
  </si>
  <si>
    <t>12020</t>
  </si>
  <si>
    <t>Slidell-Mandeville-Covington, LA Metro Area</t>
  </si>
  <si>
    <t>43640</t>
  </si>
  <si>
    <t>Olympia-Lacey-Tumwater, WA Metro Area</t>
  </si>
  <si>
    <t>36500</t>
  </si>
  <si>
    <t>Alexandria, LA Metro Area</t>
  </si>
  <si>
    <t>10780</t>
  </si>
  <si>
    <t>Las Cruces, NM Metro Area</t>
  </si>
  <si>
    <t>29740</t>
  </si>
  <si>
    <t>Cheyenne, WY Metro Area</t>
  </si>
  <si>
    <t>16940</t>
  </si>
  <si>
    <t>Ames, IA Metro Area</t>
  </si>
  <si>
    <t>11180</t>
  </si>
  <si>
    <t>Pittsfield, MA Metro Area</t>
  </si>
  <si>
    <t>38340</t>
  </si>
  <si>
    <t>Johnstown, PA Metro Area</t>
  </si>
  <si>
    <t>27780</t>
  </si>
  <si>
    <t>Salisbury, MD Metro Area</t>
  </si>
  <si>
    <t>41540</t>
  </si>
  <si>
    <t>Port St. Lucie, FL Metro Area</t>
  </si>
  <si>
    <t>38940</t>
  </si>
  <si>
    <t>Charlottesville, VA Metro Area</t>
  </si>
  <si>
    <t>16820</t>
  </si>
  <si>
    <t>Hot Springs, AR Metro Area</t>
  </si>
  <si>
    <t>26300</t>
  </si>
  <si>
    <t>Crestview-Fort Walton Beach-Destin, FL Metro Area</t>
  </si>
  <si>
    <t>18880</t>
  </si>
  <si>
    <t>Grand Forks, ND-MN Metro Area</t>
  </si>
  <si>
    <t>24220</t>
  </si>
  <si>
    <t>Odessa, TX Metro Area</t>
  </si>
  <si>
    <t>36220</t>
  </si>
  <si>
    <t>Bangor, ME Metro Area</t>
  </si>
  <si>
    <t>12620</t>
  </si>
  <si>
    <t>Gadsden, AL Metro Area</t>
  </si>
  <si>
    <t>23460</t>
  </si>
  <si>
    <t>Great Falls, MT Metro Area</t>
  </si>
  <si>
    <t>24500</t>
  </si>
  <si>
    <t>Twin Falls, ID Metro Area</t>
  </si>
  <si>
    <t>46300</t>
  </si>
  <si>
    <t>Dover, DE Metro Area</t>
  </si>
  <si>
    <t>20100</t>
  </si>
  <si>
    <t>Cape Coral-Fort Myers, FL Metro Area</t>
  </si>
  <si>
    <t>15980</t>
  </si>
  <si>
    <t>Wilmington, NC Metro Area</t>
  </si>
  <si>
    <t>48900</t>
  </si>
  <si>
    <t>Homosassa Springs, FL Metro Area</t>
  </si>
  <si>
    <t>26140</t>
  </si>
  <si>
    <t>Punta Gorda, FL Metro Area</t>
  </si>
  <si>
    <t>39460</t>
  </si>
  <si>
    <t>Pocatello, ID Metro Area</t>
  </si>
  <si>
    <t>38540</t>
  </si>
  <si>
    <t>Sebring, FL Metro Area</t>
  </si>
  <si>
    <t>42700</t>
  </si>
  <si>
    <t>Niles, MI Metro Area</t>
  </si>
  <si>
    <t>35660</t>
  </si>
  <si>
    <t>Lancaster, PA Metro Area</t>
  </si>
  <si>
    <t>29540</t>
  </si>
  <si>
    <t>Lubbock, TX Metro Area</t>
  </si>
  <si>
    <t>31180</t>
  </si>
  <si>
    <t>Waterbury-Shelton, CT Metro Area</t>
  </si>
  <si>
    <t>47930</t>
  </si>
  <si>
    <t>Jacksonville, NC Metro Area</t>
  </si>
  <si>
    <t>27340</t>
  </si>
  <si>
    <t>Tallahassee, FL Metro Area</t>
  </si>
  <si>
    <t>45220</t>
  </si>
  <si>
    <t>El Centro, CA Metro Area</t>
  </si>
  <si>
    <t>20940</t>
  </si>
  <si>
    <t>Idaho Falls, ID Metro Area</t>
  </si>
  <si>
    <t>26820</t>
  </si>
  <si>
    <t>Bakersfield-Delano, CA Metro Area</t>
  </si>
  <si>
    <t>12540</t>
  </si>
  <si>
    <t>Amherst Town-Northampton, MA Metro Area</t>
  </si>
  <si>
    <t>11200</t>
  </si>
  <si>
    <t>Texarkana, TX-AR Metro Area</t>
  </si>
  <si>
    <t>45500</t>
  </si>
  <si>
    <t>Lake Charles, LA Metro Area</t>
  </si>
  <si>
    <t>29340</t>
  </si>
  <si>
    <t>Bismarck, ND Metro Area</t>
  </si>
  <si>
    <t>13900</t>
  </si>
  <si>
    <t>Greeley, CO Metro Area</t>
  </si>
  <si>
    <t>24540</t>
  </si>
  <si>
    <t>Duluth, MN-WI Metro Area</t>
  </si>
  <si>
    <t>20260</t>
  </si>
  <si>
    <t>Shreveport-Bossier City, LA Metro Area</t>
  </si>
  <si>
    <t>43340</t>
  </si>
  <si>
    <t>Kiryas Joel-Poughkeepsie-Newburgh, NY Metro Area</t>
  </si>
  <si>
    <t>28880</t>
  </si>
  <si>
    <t>Panama City-Panama City Beach, FL Metro Area</t>
  </si>
  <si>
    <t>37460</t>
  </si>
  <si>
    <t>Albany, OR Metro Area</t>
  </si>
  <si>
    <t>10540</t>
  </si>
  <si>
    <t>Paducah, KY-IL Metro Area</t>
  </si>
  <si>
    <t>37140</t>
  </si>
  <si>
    <t>Lewiston-Auburn, ME Metro Area</t>
  </si>
  <si>
    <t>30340</t>
  </si>
  <si>
    <t>San Angelo, TX Metro Area</t>
  </si>
  <si>
    <t>41660</t>
  </si>
  <si>
    <t>Miami-Fort Lauderdale-West Palm Beach, FL Metro Area</t>
  </si>
  <si>
    <t>33100</t>
  </si>
  <si>
    <t>Vineland, NJ Metro Area</t>
  </si>
  <si>
    <t>47220</t>
  </si>
  <si>
    <t>Victoria, TX Metro Area</t>
  </si>
  <si>
    <t>47020</t>
  </si>
  <si>
    <t>Cape Girardeau, MO-IL Metro Area</t>
  </si>
  <si>
    <t>16020</t>
  </si>
  <si>
    <t>Ogden, UT Metro Area</t>
  </si>
  <si>
    <t>36260</t>
  </si>
  <si>
    <t>Wichita Falls, TX Metro Area</t>
  </si>
  <si>
    <t>48660</t>
  </si>
  <si>
    <t>Elmira, NY Metro Area</t>
  </si>
  <si>
    <t>21300</t>
  </si>
  <si>
    <t>Fresno, CA Metro Area</t>
  </si>
  <si>
    <t>23420</t>
  </si>
  <si>
    <t>College Station-Bryan, TX Metro Area</t>
  </si>
  <si>
    <t>17780</t>
  </si>
  <si>
    <t>Racine-Mount Pleasant, WI Metro Area</t>
  </si>
  <si>
    <t>39540</t>
  </si>
  <si>
    <t>Auburn-Opelika, AL Metro Area</t>
  </si>
  <si>
    <t>12220</t>
  </si>
  <si>
    <t>Spokane-Spokane Valley, WA Metro Area</t>
  </si>
  <si>
    <t>44060</t>
  </si>
  <si>
    <t>Lewiston, ID-WA Metro Area</t>
  </si>
  <si>
    <t>30300</t>
  </si>
  <si>
    <t>Charleston-North Charleston, SC Metro Area</t>
  </si>
  <si>
    <t>16700</t>
  </si>
  <si>
    <t>Boise City, ID Metro Area</t>
  </si>
  <si>
    <t>14260</t>
  </si>
  <si>
    <t>Mansfield, OH Metro Area</t>
  </si>
  <si>
    <t>31900</t>
  </si>
  <si>
    <t>Deltona-Daytona Beach-Ormond Beach, FL Metro Area</t>
  </si>
  <si>
    <t>19660</t>
  </si>
  <si>
    <t>Michigan City-La Porte, IN Metro Area</t>
  </si>
  <si>
    <t>33140</t>
  </si>
  <si>
    <t>Los Angeles-Long Beach-Anaheim, CA Metro Area</t>
  </si>
  <si>
    <t>31080</t>
  </si>
  <si>
    <t>Eau Claire, WI Metro Area</t>
  </si>
  <si>
    <t>20740</t>
  </si>
  <si>
    <t>Valdosta, GA Metro Area</t>
  </si>
  <si>
    <t>46660</t>
  </si>
  <si>
    <t>Lincoln, NE Metro Area</t>
  </si>
  <si>
    <t>30700</t>
  </si>
  <si>
    <t>Logan, UT-ID Metro Area</t>
  </si>
  <si>
    <t>30860</t>
  </si>
  <si>
    <t>Fond du Lac, WI Metro Area</t>
  </si>
  <si>
    <t>22540</t>
  </si>
  <si>
    <t>Portland-South Portland, ME Metro Area</t>
  </si>
  <si>
    <t>38860</t>
  </si>
  <si>
    <t>Jefferson City, MO Metro Area</t>
  </si>
  <si>
    <t>27620</t>
  </si>
  <si>
    <t>Flint, MI Metro Area</t>
  </si>
  <si>
    <t>22420</t>
  </si>
  <si>
    <t>Jackson, MI Metro Area</t>
  </si>
  <si>
    <t>27100</t>
  </si>
  <si>
    <t>Amarillo, TX Metro Area</t>
  </si>
  <si>
    <t>11100</t>
  </si>
  <si>
    <t>Pueblo, CO Metro Area</t>
  </si>
  <si>
    <t>39380</t>
  </si>
  <si>
    <t>Canton-Massillon, OH Metro Area</t>
  </si>
  <si>
    <t>15940</t>
  </si>
  <si>
    <t>Dothan, AL Metro Area</t>
  </si>
  <si>
    <t>20020</t>
  </si>
  <si>
    <t>Longview, TX Metro Area</t>
  </si>
  <si>
    <t>30980</t>
  </si>
  <si>
    <t>Asheville, NC Metro Area</t>
  </si>
  <si>
    <t>11700</t>
  </si>
  <si>
    <t>Pinehurst-Southern Pines, NC Metro Area</t>
  </si>
  <si>
    <t>38240</t>
  </si>
  <si>
    <t>Visalia, CA Metro Area</t>
  </si>
  <si>
    <t>47300</t>
  </si>
  <si>
    <t>Modesto, CA Metro Area</t>
  </si>
  <si>
    <t>33700</t>
  </si>
  <si>
    <t>Providence-Warwick, RI-MA Metro Area</t>
  </si>
  <si>
    <t>39300</t>
  </si>
  <si>
    <t>Monroe, MI Metro Area</t>
  </si>
  <si>
    <t>33780</t>
  </si>
  <si>
    <t>Ocala, FL Metro Area</t>
  </si>
  <si>
    <t>36100</t>
  </si>
  <si>
    <t>Mankato, MN Metro Area</t>
  </si>
  <si>
    <t>31860</t>
  </si>
  <si>
    <t>Oklahoma City, OK Metro Area</t>
  </si>
  <si>
    <t>36420</t>
  </si>
  <si>
    <t>New Orleans-Metairie, LA Metro Area</t>
  </si>
  <si>
    <t>35380</t>
  </si>
  <si>
    <t>Bridgeport-Stamford-Danbury, CT Metro Area</t>
  </si>
  <si>
    <t>14860</t>
  </si>
  <si>
    <t>Lebanon, PA Metro Area</t>
  </si>
  <si>
    <t>30140</t>
  </si>
  <si>
    <t>Urban Honolulu, HI Metro Area</t>
  </si>
  <si>
    <t>46520</t>
  </si>
  <si>
    <t>Muskegon-Norton Shores, MI Metro Area</t>
  </si>
  <si>
    <t>34740</t>
  </si>
  <si>
    <t>Dubuque, IA Metro Area</t>
  </si>
  <si>
    <t>20220</t>
  </si>
  <si>
    <t>San Diego-Chula Vista-Carlsbad, CA Metro Area</t>
  </si>
  <si>
    <t>41740</t>
  </si>
  <si>
    <t>Merced, CA Metro Area</t>
  </si>
  <si>
    <t>32900</t>
  </si>
  <si>
    <t>Beaumont-Port Arthur, TX Metro Area</t>
  </si>
  <si>
    <t>13140</t>
  </si>
  <si>
    <t>Tulsa, OK Metro Area</t>
  </si>
  <si>
    <t>46140</t>
  </si>
  <si>
    <t>McAllen-Edinburg-Mission, TX Metro Area</t>
  </si>
  <si>
    <t>32580</t>
  </si>
  <si>
    <t>Anchorage, AK Metro Area</t>
  </si>
  <si>
    <t>11260</t>
  </si>
  <si>
    <t>Atlantic City-Hammonton, NJ Metro Area</t>
  </si>
  <si>
    <t>12100</t>
  </si>
  <si>
    <t>Fargo, ND-MN Metro Area</t>
  </si>
  <si>
    <t>22020</t>
  </si>
  <si>
    <t>Wildwood-The Villages, FL Metro Area</t>
  </si>
  <si>
    <t>48680</t>
  </si>
  <si>
    <t>Grand Rapids-Wyoming-Kentwood, MI Metro Area</t>
  </si>
  <si>
    <t>24340</t>
  </si>
  <si>
    <t>Provo-Orem-Lehi, UT Metro Area</t>
  </si>
  <si>
    <t>39340</t>
  </si>
  <si>
    <t>Williamsport, PA Metro Area</t>
  </si>
  <si>
    <t>48700</t>
  </si>
  <si>
    <t>Sacramento-Roseville-Folsom, CA Metro Area</t>
  </si>
  <si>
    <t>40900</t>
  </si>
  <si>
    <t>Goldsboro, NC Metro Area</t>
  </si>
  <si>
    <t>24140</t>
  </si>
  <si>
    <t>Palm Bay-Melbourne-Titusville, FL Metro Area</t>
  </si>
  <si>
    <t>37340</t>
  </si>
  <si>
    <t>Reno, NV Metro Area</t>
  </si>
  <si>
    <t>39900</t>
  </si>
  <si>
    <t>Portland-Vancouver-Hillsboro, OR-WA Metro Area</t>
  </si>
  <si>
    <t>38900</t>
  </si>
  <si>
    <t>Manchester-Nashua, NH Metro Area</t>
  </si>
  <si>
    <t>31700</t>
  </si>
  <si>
    <t>New York-Newark-Jersey City, NY-NJ Metro Area</t>
  </si>
  <si>
    <t>35620</t>
  </si>
  <si>
    <t>Sandusky, OH Metro Area</t>
  </si>
  <si>
    <t>41780</t>
  </si>
  <si>
    <t>Yuma, AZ Metro Area</t>
  </si>
  <si>
    <t>49740</t>
  </si>
  <si>
    <t>Wichita, KS Metro Area</t>
  </si>
  <si>
    <t>48620</t>
  </si>
  <si>
    <t>El Paso, TX Metro Area</t>
  </si>
  <si>
    <t>21340</t>
  </si>
  <si>
    <t>Warner Robins, GA Metro Area</t>
  </si>
  <si>
    <t>47580</t>
  </si>
  <si>
    <t>Baton Rouge, LA Metro Area</t>
  </si>
  <si>
    <t>12940</t>
  </si>
  <si>
    <t>Erie, PA Metro Area</t>
  </si>
  <si>
    <t>21500</t>
  </si>
  <si>
    <t>Abilene, TX Metro Area</t>
  </si>
  <si>
    <t>10180</t>
  </si>
  <si>
    <t>Buffalo-Cheektowaga, NY Metro Area</t>
  </si>
  <si>
    <t>15380</t>
  </si>
  <si>
    <t>Lawton, OK Metro Area</t>
  </si>
  <si>
    <t>30020</t>
  </si>
  <si>
    <t>Appleton, WI Metro Area</t>
  </si>
  <si>
    <t>11540</t>
  </si>
  <si>
    <t>Albany, GA Metro Area</t>
  </si>
  <si>
    <t>10500</t>
  </si>
  <si>
    <t>Gainesville, FL Metro Area</t>
  </si>
  <si>
    <t>23540</t>
  </si>
  <si>
    <t>Springfield, MA Metro Area</t>
  </si>
  <si>
    <t>44140</t>
  </si>
  <si>
    <t>Beckley, WV Metro Area</t>
  </si>
  <si>
    <t>13220</t>
  </si>
  <si>
    <t>Huntington-Ashland, WV-KY-OH Metro Area</t>
  </si>
  <si>
    <t>26580</t>
  </si>
  <si>
    <t>Montgomery, AL Metro Area</t>
  </si>
  <si>
    <t>33860</t>
  </si>
  <si>
    <t>Tyler, TX Metro Area</t>
  </si>
  <si>
    <t>46340</t>
  </si>
  <si>
    <t>Brownsville-Harlingen, TX Metro Area</t>
  </si>
  <si>
    <t>15180</t>
  </si>
  <si>
    <t>Washington-Arlington-Alexandria, DC-VA-MD-WV Metro Area</t>
  </si>
  <si>
    <t>47900</t>
  </si>
  <si>
    <t>Colorado Springs, CO Metro Area</t>
  </si>
  <si>
    <t>17820</t>
  </si>
  <si>
    <t>St. Cloud, MN Metro Area</t>
  </si>
  <si>
    <t>41060</t>
  </si>
  <si>
    <t>Sherman-Denison, TX Metro Area</t>
  </si>
  <si>
    <t>43300</t>
  </si>
  <si>
    <t>Albuquerque, NM Metro Area</t>
  </si>
  <si>
    <t>10740</t>
  </si>
  <si>
    <t>Walla Walla, WA Metro Area</t>
  </si>
  <si>
    <t>47460</t>
  </si>
  <si>
    <t>Topeka, KS Metro Area</t>
  </si>
  <si>
    <t>45820</t>
  </si>
  <si>
    <t>Sioux Falls, SD-MN Metro Area</t>
  </si>
  <si>
    <t>43620</t>
  </si>
  <si>
    <t>Baltimore-Columbia-Towson, MD Metro Area</t>
  </si>
  <si>
    <t>12580</t>
  </si>
  <si>
    <t>Kennewick-Richland, WA Metro Area</t>
  </si>
  <si>
    <t>28420</t>
  </si>
  <si>
    <t>Altoona, PA Metro Area</t>
  </si>
  <si>
    <t>11020</t>
  </si>
  <si>
    <t>Jonesboro, AR Metro Area</t>
  </si>
  <si>
    <t>27860</t>
  </si>
  <si>
    <t>Eagle Pass, TX Metro Area</t>
  </si>
  <si>
    <t>20580</t>
  </si>
  <si>
    <t>Utica-Rome, NY Metro Area</t>
  </si>
  <si>
    <t>46540</t>
  </si>
  <si>
    <t>La Crosse-Onalaska, WI-MN Metro Area</t>
  </si>
  <si>
    <t>29100</t>
  </si>
  <si>
    <t>Lansing-East Lansing, MI Metro Area</t>
  </si>
  <si>
    <t>29620</t>
  </si>
  <si>
    <t>Florence-Muscle Shoals, AL Metro Area</t>
  </si>
  <si>
    <t>22520</t>
  </si>
  <si>
    <t>Vallejo, CA Metro Area</t>
  </si>
  <si>
    <t>46700</t>
  </si>
  <si>
    <t>Bloomington, IN Metro Area</t>
  </si>
  <si>
    <t>14020</t>
  </si>
  <si>
    <t>Austin-Round Rock-San Marcos, TX Metro Area</t>
  </si>
  <si>
    <t>12420</t>
  </si>
  <si>
    <t>Decatur, AL Metro Area</t>
  </si>
  <si>
    <t>19460</t>
  </si>
  <si>
    <t>Champaign-Urbana, IL Metro Area</t>
  </si>
  <si>
    <t>16580</t>
  </si>
  <si>
    <t>Hattiesburg, MS Metro Area</t>
  </si>
  <si>
    <t>25620</t>
  </si>
  <si>
    <t>Parkersburg-Vienna, WV Metro Area</t>
  </si>
  <si>
    <t>37620</t>
  </si>
  <si>
    <t>Fort Wayne, IN Metro Area</t>
  </si>
  <si>
    <t>23060</t>
  </si>
  <si>
    <t>Milwaukee-Waukesha, WI Metro Area</t>
  </si>
  <si>
    <t>33340</t>
  </si>
  <si>
    <t>Little Rock-North Little Rock-Conway, AR Metro Area</t>
  </si>
  <si>
    <t>30780</t>
  </si>
  <si>
    <t>Wheeling, WV-OH Metro Area</t>
  </si>
  <si>
    <t>48540</t>
  </si>
  <si>
    <t>Green Bay, WI Metro Area</t>
  </si>
  <si>
    <t>24580</t>
  </si>
  <si>
    <t>Stockton-Lodi, CA Metro Area</t>
  </si>
  <si>
    <t>44700</t>
  </si>
  <si>
    <t>Akron, OH Metro Area</t>
  </si>
  <si>
    <t>10420</t>
  </si>
  <si>
    <t>Waterloo-Cedar Falls, IA Metro Area</t>
  </si>
  <si>
    <t>47940</t>
  </si>
  <si>
    <t>Raleigh-Cary, NC Metro Area</t>
  </si>
  <si>
    <t>39580</t>
  </si>
  <si>
    <t>Kalamazoo-Portage, MI Metro Area</t>
  </si>
  <si>
    <t>28020</t>
  </si>
  <si>
    <t>Ann Arbor, MI Metro Area</t>
  </si>
  <si>
    <t>11460</t>
  </si>
  <si>
    <t>Binghamton, NY Metro Area</t>
  </si>
  <si>
    <t>13780</t>
  </si>
  <si>
    <t>Springfield, IL Metro Area</t>
  </si>
  <si>
    <t>44100</t>
  </si>
  <si>
    <t>Fort Smith, AR-OK Metro Area</t>
  </si>
  <si>
    <t>22900</t>
  </si>
  <si>
    <t>Worcester, MA Metro Area</t>
  </si>
  <si>
    <t>49340</t>
  </si>
  <si>
    <t>Riverside-San Bernardino-Ontario, CA Metro Area</t>
  </si>
  <si>
    <t>40140</t>
  </si>
  <si>
    <t>Detroit-Warren-Dearborn, MI Metro Area</t>
  </si>
  <si>
    <t>19820</t>
  </si>
  <si>
    <t>Virginia Beach-Chesapeake-Norfolk, VA-NC Metro Area</t>
  </si>
  <si>
    <t>47260</t>
  </si>
  <si>
    <t>Sioux City, IA-NE-SD Metro Area</t>
  </si>
  <si>
    <t>43580</t>
  </si>
  <si>
    <t>Lima, OH Metro Area</t>
  </si>
  <si>
    <t>30620</t>
  </si>
  <si>
    <t>Staunton-Stuarts Draft, VA Metro Area</t>
  </si>
  <si>
    <t>44420</t>
  </si>
  <si>
    <t>Burlington, NC Metro Area</t>
  </si>
  <si>
    <t>15500</t>
  </si>
  <si>
    <t>Terre Haute, IN Metro Area</t>
  </si>
  <si>
    <t>45460</t>
  </si>
  <si>
    <t>Corpus Christi, TX Metro Area</t>
  </si>
  <si>
    <t>18580</t>
  </si>
  <si>
    <t>San Francisco-Oakland-Fremont, CA Metro Area</t>
  </si>
  <si>
    <t>41860</t>
  </si>
  <si>
    <t>Grand Island, NE Metro Area</t>
  </si>
  <si>
    <t>24260</t>
  </si>
  <si>
    <t>Clarksville, TN-KY Metro Area</t>
  </si>
  <si>
    <t>17300</t>
  </si>
  <si>
    <t>Wausau, WI Metro Area</t>
  </si>
  <si>
    <t>48140</t>
  </si>
  <si>
    <t>New Haven, CT Metro Area</t>
  </si>
  <si>
    <t>35300</t>
  </si>
  <si>
    <t>Syracuse, NY Metro Area</t>
  </si>
  <si>
    <t>45060</t>
  </si>
  <si>
    <t>Rochester, NY Metro Area</t>
  </si>
  <si>
    <t>40380</t>
  </si>
  <si>
    <t>Springfield, MO Metro Area</t>
  </si>
  <si>
    <t>44180</t>
  </si>
  <si>
    <t>Houston-Pasadena-The Woodlands, TX Metro Area</t>
  </si>
  <si>
    <t>26420</t>
  </si>
  <si>
    <t>Mobile, AL Metro Area</t>
  </si>
  <si>
    <t>33660</t>
  </si>
  <si>
    <t>Cleveland, OH Metro Area</t>
  </si>
  <si>
    <t>17410</t>
  </si>
  <si>
    <t>Lynchburg, VA Metro Area</t>
  </si>
  <si>
    <t>31340</t>
  </si>
  <si>
    <t>Janesville-Beloit, WI Metro Area</t>
  </si>
  <si>
    <t>27500</t>
  </si>
  <si>
    <t>Philadelphia-Camden-Wilmington, PA-NJ-DE-MD Metro Area</t>
  </si>
  <si>
    <t>37980</t>
  </si>
  <si>
    <t>Hartford-West Hartford-East Hartford, CT Metro Area</t>
  </si>
  <si>
    <t>25540</t>
  </si>
  <si>
    <t>Tucson, AZ Metro Area</t>
  </si>
  <si>
    <t>46060</t>
  </si>
  <si>
    <t>Rockford, IL Metro Area</t>
  </si>
  <si>
    <t>40420</t>
  </si>
  <si>
    <t>Minneapolis-St. Paul-Bloomington, MN-WI Metro Area</t>
  </si>
  <si>
    <t>33460</t>
  </si>
  <si>
    <t>Tuscaloosa, AL Metro Area</t>
  </si>
  <si>
    <t>46220</t>
  </si>
  <si>
    <t>Blacksburg-Christiansburg-Radford, VA Metro Area</t>
  </si>
  <si>
    <t>13980</t>
  </si>
  <si>
    <t>Jackson, MS Metro Area</t>
  </si>
  <si>
    <t>27140</t>
  </si>
  <si>
    <t>Chambersburg, PA Metro Area</t>
  </si>
  <si>
    <t>16540</t>
  </si>
  <si>
    <t>Anniston-Oxford, AL Metro Area</t>
  </si>
  <si>
    <t>11500</t>
  </si>
  <si>
    <t>Hickory-Lenoir-Morganton, NC Metro Area</t>
  </si>
  <si>
    <t>25860</t>
  </si>
  <si>
    <t>Elizabethtown, KY Metro Area</t>
  </si>
  <si>
    <t>21060</t>
  </si>
  <si>
    <t>Pensacola-Ferry Pass-Brent, FL Metro Area</t>
  </si>
  <si>
    <t>37860</t>
  </si>
  <si>
    <t>Davenport-Moline-Rock Island, IA-IL Metro Area</t>
  </si>
  <si>
    <t>19340</t>
  </si>
  <si>
    <t>Omaha, NE-IA Metro Area</t>
  </si>
  <si>
    <t>36540</t>
  </si>
  <si>
    <t>Albany-Schenectady-Troy, NY Metro Area</t>
  </si>
  <si>
    <t>10580</t>
  </si>
  <si>
    <t>Fayetteville, NC Metro Area</t>
  </si>
  <si>
    <t>22180</t>
  </si>
  <si>
    <t>Greenville, NC Metro Area</t>
  </si>
  <si>
    <t>24780</t>
  </si>
  <si>
    <t>Reading, PA Metro Area</t>
  </si>
  <si>
    <t>39740</t>
  </si>
  <si>
    <t>Norwich-New London-Willimantic, CT Metro Area</t>
  </si>
  <si>
    <t>35980</t>
  </si>
  <si>
    <t>Toledo, OH Metro Area</t>
  </si>
  <si>
    <t>45780</t>
  </si>
  <si>
    <t>Denver-Aurora-Centennial, CO Metro Area</t>
  </si>
  <si>
    <t>19740</t>
  </si>
  <si>
    <t>Springfield, OH Metro Area</t>
  </si>
  <si>
    <t>44220</t>
  </si>
  <si>
    <t>Weirton-Steubenville, WV-OH Metro Area</t>
  </si>
  <si>
    <t>48260</t>
  </si>
  <si>
    <t>Owensboro, KY Metro Area</t>
  </si>
  <si>
    <t>36980</t>
  </si>
  <si>
    <t>Muncie, IN Metro Area</t>
  </si>
  <si>
    <t>34620</t>
  </si>
  <si>
    <t>Sumter, SC Metro Area</t>
  </si>
  <si>
    <t>44940</t>
  </si>
  <si>
    <t>Cedar Rapids, IA Metro Area</t>
  </si>
  <si>
    <t>16300</t>
  </si>
  <si>
    <t>Waco, TX Metro Area</t>
  </si>
  <si>
    <t>47380</t>
  </si>
  <si>
    <t>Savannah, GA Metro Area</t>
  </si>
  <si>
    <t>42340</t>
  </si>
  <si>
    <t>Peoria, IL Metro Area</t>
  </si>
  <si>
    <t>37900</t>
  </si>
  <si>
    <t>Tampa-St. Petersburg-Clearwater, FL Metro Area</t>
  </si>
  <si>
    <t>45300</t>
  </si>
  <si>
    <t>Columbia, MO Metro Area</t>
  </si>
  <si>
    <t>17860</t>
  </si>
  <si>
    <t>Hanford-Corcoran, CA Metro Area</t>
  </si>
  <si>
    <t>25260</t>
  </si>
  <si>
    <t>Greensboro-High Point, NC Metro Area</t>
  </si>
  <si>
    <t>24660</t>
  </si>
  <si>
    <t>Pittsburgh, PA Metro Area</t>
  </si>
  <si>
    <t>38300</t>
  </si>
  <si>
    <t>Scranton--Wilkes-Barre, PA Metro Area</t>
  </si>
  <si>
    <t>42540</t>
  </si>
  <si>
    <t>Birmingham, AL Metro Area</t>
  </si>
  <si>
    <t>13820</t>
  </si>
  <si>
    <t>Harrisonburg, VA Metro Area</t>
  </si>
  <si>
    <t>25500</t>
  </si>
  <si>
    <t>Madison, WI Metro Area</t>
  </si>
  <si>
    <t>31540</t>
  </si>
  <si>
    <t>Johnson City, TN Metro Area</t>
  </si>
  <si>
    <t>27740</t>
  </si>
  <si>
    <t>Saginaw, MI Metro Area</t>
  </si>
  <si>
    <t>40980</t>
  </si>
  <si>
    <t>Chicago-Naperville-Elgin, IL-IN Metro Area</t>
  </si>
  <si>
    <t>16980</t>
  </si>
  <si>
    <t>Las Vegas-Henderson-North Las Vegas, NV Metro Area</t>
  </si>
  <si>
    <t>29820</t>
  </si>
  <si>
    <t>Lafayette-West Lafayette, IN Metro Area</t>
  </si>
  <si>
    <t>29200</t>
  </si>
  <si>
    <t>Boston-Cambridge-Newton, MA-NH Metro Area</t>
  </si>
  <si>
    <t>14460</t>
  </si>
  <si>
    <t>St. Louis, MO-IL Metro Area</t>
  </si>
  <si>
    <t>41180</t>
  </si>
  <si>
    <t>York-Hanover, PA Metro Area</t>
  </si>
  <si>
    <t>49620</t>
  </si>
  <si>
    <t>Winchester, VA-WV Metro Area</t>
  </si>
  <si>
    <t>49020</t>
  </si>
  <si>
    <t>Jackson, TN Metro Area</t>
  </si>
  <si>
    <t>27180</t>
  </si>
  <si>
    <t>Roanoke, VA Metro Area</t>
  </si>
  <si>
    <t>40220</t>
  </si>
  <si>
    <t>South Bend-Mishawaka, IN-MI Metro Area</t>
  </si>
  <si>
    <t>43780</t>
  </si>
  <si>
    <t>Kansas City, MO-KS Metro Area</t>
  </si>
  <si>
    <t>28140</t>
  </si>
  <si>
    <t>Greenville-Anderson-Greer, SC Metro Area</t>
  </si>
  <si>
    <t>24860</t>
  </si>
  <si>
    <t>Charleston, WV Metro Area</t>
  </si>
  <si>
    <t>16620</t>
  </si>
  <si>
    <t>Chattanooga, TN-GA Metro Area</t>
  </si>
  <si>
    <t>16860</t>
  </si>
  <si>
    <t>Columbia, SC Metro Area</t>
  </si>
  <si>
    <t>17900</t>
  </si>
  <si>
    <t>Killeen-Temple, TX Metro Area</t>
  </si>
  <si>
    <t>28660</t>
  </si>
  <si>
    <t>Seattle-Tacoma-Bellevue, WA Metro Area</t>
  </si>
  <si>
    <t>42660</t>
  </si>
  <si>
    <t>Kingsport-Bristol, TN-VA Metro Area</t>
  </si>
  <si>
    <t>28700</t>
  </si>
  <si>
    <t>Lexington-Fayette, KY Metro Area</t>
  </si>
  <si>
    <t>30460</t>
  </si>
  <si>
    <t>Dayton-Kettering-Beavercreek, OH Metro Area</t>
  </si>
  <si>
    <t>19430</t>
  </si>
  <si>
    <t>Knoxville, TN Metro Area</t>
  </si>
  <si>
    <t>28940</t>
  </si>
  <si>
    <t>Richmond, VA Metro Area</t>
  </si>
  <si>
    <t>40060</t>
  </si>
  <si>
    <t>Sheboygan, WI Metro Area</t>
  </si>
  <si>
    <t>43100</t>
  </si>
  <si>
    <t>Huntsville, AL Metro Area</t>
  </si>
  <si>
    <t>26620</t>
  </si>
  <si>
    <t>Atlanta-Sandy Springs-Roswell, GA Metro Area</t>
  </si>
  <si>
    <t>12060</t>
  </si>
  <si>
    <t>Gulfport-Biloxi, MS Metro Area</t>
  </si>
  <si>
    <t>25060</t>
  </si>
  <si>
    <t>Kankakee, IL Metro Area</t>
  </si>
  <si>
    <t>28100</t>
  </si>
  <si>
    <t>Cleveland, TN Metro Area</t>
  </si>
  <si>
    <t>17420</t>
  </si>
  <si>
    <t>Evansville, IN Metro Area</t>
  </si>
  <si>
    <t>21780</t>
  </si>
  <si>
    <t>Gainesville, GA Metro Area</t>
  </si>
  <si>
    <t>23580</t>
  </si>
  <si>
    <t>Indianapolis-Carmel-Greenwood, IN Metro Area</t>
  </si>
  <si>
    <t>26900</t>
  </si>
  <si>
    <t>Phoenix-Mesa-Chandler, AZ Metro Area</t>
  </si>
  <si>
    <t>38060</t>
  </si>
  <si>
    <t>Augusta-Richmond County, GA-SC Metro Area</t>
  </si>
  <si>
    <t>12260</t>
  </si>
  <si>
    <t>Winston-Salem, NC Metro Area</t>
  </si>
  <si>
    <t>49180</t>
  </si>
  <si>
    <t>Macon-Bibb County, GA Metro Area</t>
  </si>
  <si>
    <t>31420</t>
  </si>
  <si>
    <t>Dalton, GA Metro Area</t>
  </si>
  <si>
    <t>19140</t>
  </si>
  <si>
    <t>Kenosha, WI Metro Area</t>
  </si>
  <si>
    <t>28450</t>
  </si>
  <si>
    <t>Joplin, MO-KS Metro Area</t>
  </si>
  <si>
    <t>27900</t>
  </si>
  <si>
    <t>Jacksonville, FL Metro Area</t>
  </si>
  <si>
    <t>27260</t>
  </si>
  <si>
    <t>Dallas-Fort Worth-Arlington, TX Metro Area</t>
  </si>
  <si>
    <t>19100</t>
  </si>
  <si>
    <t>St. Joseph, MO-KS Metro Area</t>
  </si>
  <si>
    <t>41140</t>
  </si>
  <si>
    <t>Charlotte-Concord-Gastonia, NC-SC Metro Area</t>
  </si>
  <si>
    <t>16740</t>
  </si>
  <si>
    <t>Bowling Green, KY Metro Area</t>
  </si>
  <si>
    <t>14540</t>
  </si>
  <si>
    <t>Salt Lake City-Murray, UT Metro Area</t>
  </si>
  <si>
    <t>41620</t>
  </si>
  <si>
    <t>Memphis, TN-MS-AR Metro Area</t>
  </si>
  <si>
    <t>32820</t>
  </si>
  <si>
    <t>Florence, SC Metro Area</t>
  </si>
  <si>
    <t>22500</t>
  </si>
  <si>
    <t>Cincinnati, OH-KY-IN Metro Area</t>
  </si>
  <si>
    <t>17140</t>
  </si>
  <si>
    <t>Columbus, GA-AL Metro Area</t>
  </si>
  <si>
    <t>17980</t>
  </si>
  <si>
    <t>Trenton-Princeton, NJ Metro Area</t>
  </si>
  <si>
    <t>45940</t>
  </si>
  <si>
    <t>Nashville-Davidson--Murfreesboro--Franklin, TN Metro Area</t>
  </si>
  <si>
    <t>34980</t>
  </si>
  <si>
    <t>Rocky Mount, NC Metro Area</t>
  </si>
  <si>
    <t>40580</t>
  </si>
  <si>
    <t>Fayetteville-Springdale-Rogers, AR Metro Area</t>
  </si>
  <si>
    <t>22220</t>
  </si>
  <si>
    <t>Iowa City, IA Metro Area</t>
  </si>
  <si>
    <t>26980</t>
  </si>
  <si>
    <t>San Antonio-New Braunfels, TX Metro Area</t>
  </si>
  <si>
    <t>41700</t>
  </si>
  <si>
    <t>Des Moines-West Des Moines, IA Metro Area</t>
  </si>
  <si>
    <t>19780</t>
  </si>
  <si>
    <t>Allentown-Bethlehem-Easton, PA-NJ Metro Area</t>
  </si>
  <si>
    <t>10900</t>
  </si>
  <si>
    <t>Battle Creek, MI Metro Area</t>
  </si>
  <si>
    <t>12980</t>
  </si>
  <si>
    <t>Columbus, OH Metro Area</t>
  </si>
  <si>
    <t>18140</t>
  </si>
  <si>
    <t>Hagerstown-Martinsburg, MD-WV Metro Area</t>
  </si>
  <si>
    <t>25180</t>
  </si>
  <si>
    <t>Morristown, TN Metro Area</t>
  </si>
  <si>
    <t>34100</t>
  </si>
  <si>
    <t>Midland, MI Metro Area</t>
  </si>
  <si>
    <t>33220</t>
  </si>
  <si>
    <t>Lakeland-Winter Haven, FL Metro Area</t>
  </si>
  <si>
    <t>29460</t>
  </si>
  <si>
    <t>Oshkosh-Neenah, WI Metro Area</t>
  </si>
  <si>
    <t>36780</t>
  </si>
  <si>
    <t>Louisville/Jefferson County, KY-IN Metro Area</t>
  </si>
  <si>
    <t>31140</t>
  </si>
  <si>
    <t>Decatur, IL Metro Area</t>
  </si>
  <si>
    <t>19500</t>
  </si>
  <si>
    <t>Rome, GA Metro Area</t>
  </si>
  <si>
    <t>40660</t>
  </si>
  <si>
    <t>Kokomo, IN Metro Area</t>
  </si>
  <si>
    <t>29020</t>
  </si>
  <si>
    <t>Orlando-Kissimmee-Sanford, FL Metro Area</t>
  </si>
  <si>
    <t>36740</t>
  </si>
  <si>
    <t>Harrisburg-Carlisle, PA Metro Area</t>
  </si>
  <si>
    <t>25420</t>
  </si>
  <si>
    <t>Elkhart-Goshen, IN Metro Area</t>
  </si>
  <si>
    <t>21140</t>
  </si>
  <si>
    <t>Morgantown, WV Metro Area</t>
  </si>
  <si>
    <t>34060</t>
  </si>
  <si>
    <t>Hinesville, GA Metro Area</t>
  </si>
  <si>
    <t>25980</t>
  </si>
  <si>
    <t>Spartanburg, SC Metro Area</t>
  </si>
  <si>
    <t>43900</t>
  </si>
  <si>
    <t>Ithaca, NY Metro Area</t>
  </si>
  <si>
    <t>27060</t>
  </si>
  <si>
    <t>Columbus, IN Metro Area</t>
  </si>
  <si>
    <t>18020</t>
  </si>
  <si>
    <t>San Jose-Sunnyvale-Santa Clara, CA Metro Area</t>
  </si>
  <si>
    <t>41940</t>
  </si>
  <si>
    <t>Bloomington, IL Metro Area</t>
  </si>
  <si>
    <t>14010</t>
  </si>
  <si>
    <t>Durham-Chapel Hill, NC Metro Area</t>
  </si>
  <si>
    <t>20500</t>
  </si>
  <si>
    <t>Rochester, MN Metro Area</t>
  </si>
  <si>
    <t>40340</t>
  </si>
  <si>
    <t>Median note</t>
  </si>
  <si>
    <t>Median share &lt;500 across these 387 Metro Areas = 49.8% (full precision 49.779504242752296). Matches canvas Stat 'Metro median &lt;500 share' 49.8%. Filter: geo_type=metro from msa_metro_only_employment_by_firm_size.csv; Micro Areas excluded.</t>
  </si>
  <si>
    <t>Geography type</t>
  </si>
  <si>
    <t>Area name</t>
  </si>
  <si>
    <t>metro</t>
  </si>
  <si>
    <t>micro</t>
  </si>
  <si>
    <t>Nantucket, MA Micro Area</t>
  </si>
  <si>
    <t>34880</t>
  </si>
  <si>
    <t>Fredericksburg, TX Micro Area</t>
  </si>
  <si>
    <t>23240</t>
  </si>
  <si>
    <t>Andrews, TX Micro Area</t>
  </si>
  <si>
    <t>11380</t>
  </si>
  <si>
    <t>Vineyard Haven, MA Micro Area</t>
  </si>
  <si>
    <t>47240</t>
  </si>
  <si>
    <t>Brookings, OR Micro Area</t>
  </si>
  <si>
    <t>15060</t>
  </si>
  <si>
    <t>Riverton, WY Micro Area</t>
  </si>
  <si>
    <t>40180</t>
  </si>
  <si>
    <t>Bishop, CA Micro Area</t>
  </si>
  <si>
    <t>13860</t>
  </si>
  <si>
    <t>Port Townsend, WA Micro Area</t>
  </si>
  <si>
    <t>39040</t>
  </si>
  <si>
    <t>Jackson, WY-ID Micro Area</t>
  </si>
  <si>
    <t>27220</t>
  </si>
  <si>
    <t>Houghton, MI Micro Area</t>
  </si>
  <si>
    <t>26340</t>
  </si>
  <si>
    <t>Evanston, WY-UT Micro Area</t>
  </si>
  <si>
    <t>21740</t>
  </si>
  <si>
    <t>Oak Harbor, WA Micro Area</t>
  </si>
  <si>
    <t>36020</t>
  </si>
  <si>
    <t>Taos, NM Micro Area</t>
  </si>
  <si>
    <t>45340</t>
  </si>
  <si>
    <t>Ukiah, CA Micro Area</t>
  </si>
  <si>
    <t>46380</t>
  </si>
  <si>
    <t>Eureka-Arcata, CA Micro Area</t>
  </si>
  <si>
    <t>21700</t>
  </si>
  <si>
    <t>Spencer, IA Micro Area</t>
  </si>
  <si>
    <t>43980</t>
  </si>
  <si>
    <t>Kill Devil Hills, NC Micro Area</t>
  </si>
  <si>
    <t>28620</t>
  </si>
  <si>
    <t>Zapata, TX Micro Area</t>
  </si>
  <si>
    <t>49820</t>
  </si>
  <si>
    <t>Aberdeen, WA Micro Area</t>
  </si>
  <si>
    <t>10140</t>
  </si>
  <si>
    <t>Truckee-Grass Valley, CA Micro Area</t>
  </si>
  <si>
    <t>46020</t>
  </si>
  <si>
    <t>Hailey, ID Micro Area</t>
  </si>
  <si>
    <t>25200</t>
  </si>
  <si>
    <t>Port Angeles, WA Micro Area</t>
  </si>
  <si>
    <t>38820</t>
  </si>
  <si>
    <t>Spearfish, SD Micro Area</t>
  </si>
  <si>
    <t>43940</t>
  </si>
  <si>
    <t>Durango, CO Micro Area</t>
  </si>
  <si>
    <t>20420</t>
  </si>
  <si>
    <t>Nogales, AZ Micro Area</t>
  </si>
  <si>
    <t>35700</t>
  </si>
  <si>
    <t>Elk City, OK Micro Area</t>
  </si>
  <si>
    <t>21120</t>
  </si>
  <si>
    <t>Clearlake, CA Micro Area</t>
  </si>
  <si>
    <t>17340</t>
  </si>
  <si>
    <t>Ketchikan, AK Micro Area</t>
  </si>
  <si>
    <t>28540</t>
  </si>
  <si>
    <t>Ruidoso, NM Micro Area</t>
  </si>
  <si>
    <t>40760</t>
  </si>
  <si>
    <t>Wahpeton, ND-MN Micro Area</t>
  </si>
  <si>
    <t>47420</t>
  </si>
  <si>
    <t>Ocean Pines, MD Micro Area</t>
  </si>
  <si>
    <t>36180</t>
  </si>
  <si>
    <t>Weatherford, OK Micro Area</t>
  </si>
  <si>
    <t>48220</t>
  </si>
  <si>
    <t>Sheridan, WY Micro Area</t>
  </si>
  <si>
    <t>43260</t>
  </si>
  <si>
    <t>Brevard, NC Micro Area</t>
  </si>
  <si>
    <t>14820</t>
  </si>
  <si>
    <t>Susanville, CA Micro Area</t>
  </si>
  <si>
    <t>45000</t>
  </si>
  <si>
    <t>Vernal, UT Micro Area</t>
  </si>
  <si>
    <t>46860</t>
  </si>
  <si>
    <t>Cañon City, CO Micro Area</t>
  </si>
  <si>
    <t>15860</t>
  </si>
  <si>
    <t>Celina, OH Micro Area</t>
  </si>
  <si>
    <t>16380</t>
  </si>
  <si>
    <t>Laramie, WY Micro Area</t>
  </si>
  <si>
    <t>29660</t>
  </si>
  <si>
    <t>Shawano, WI Micro Area</t>
  </si>
  <si>
    <t>43020</t>
  </si>
  <si>
    <t>Steamboat Springs, CO Micro Area</t>
  </si>
  <si>
    <t>44460</t>
  </si>
  <si>
    <t>Clarksdale, MS Micro Area</t>
  </si>
  <si>
    <t>17260</t>
  </si>
  <si>
    <t>Escanaba, MI Micro Area</t>
  </si>
  <si>
    <t>21540</t>
  </si>
  <si>
    <t>Woodward, OK Micro Area</t>
  </si>
  <si>
    <t>49260</t>
  </si>
  <si>
    <t>Blackfoot, ID Micro Area</t>
  </si>
  <si>
    <t>13940</t>
  </si>
  <si>
    <t>Brattleboro, VT Micro Area</t>
  </si>
  <si>
    <t>14710</t>
  </si>
  <si>
    <t>Ellensburg, WA Micro Area</t>
  </si>
  <si>
    <t>21260</t>
  </si>
  <si>
    <t>Dickinson, ND Micro Area</t>
  </si>
  <si>
    <t>19860</t>
  </si>
  <si>
    <t>Sandpoint, ID Micro Area</t>
  </si>
  <si>
    <t>41760</t>
  </si>
  <si>
    <t>Hastings, NE Micro Area</t>
  </si>
  <si>
    <t>25580</t>
  </si>
  <si>
    <t>Burley, ID Micro Area</t>
  </si>
  <si>
    <t>15420</t>
  </si>
  <si>
    <t>Hemlock Farms, PA Micro Area</t>
  </si>
  <si>
    <t>25770</t>
  </si>
  <si>
    <t>Key West-Key Largo, FL Micro Area</t>
  </si>
  <si>
    <t>28580</t>
  </si>
  <si>
    <t>Great Bend, KS Micro Area</t>
  </si>
  <si>
    <t>24460</t>
  </si>
  <si>
    <t>Bonham, TX Micro Area</t>
  </si>
  <si>
    <t>14300</t>
  </si>
  <si>
    <t>Hudson, NY Micro Area</t>
  </si>
  <si>
    <t>26460</t>
  </si>
  <si>
    <t>Minden, LA Micro Area</t>
  </si>
  <si>
    <t>33380</t>
  </si>
  <si>
    <t>Torrington, CT Micro Area</t>
  </si>
  <si>
    <t>45860</t>
  </si>
  <si>
    <t>Meadville, PA Micro Area</t>
  </si>
  <si>
    <t>32740</t>
  </si>
  <si>
    <t>Hood River, OR Micro Area</t>
  </si>
  <si>
    <t>26220</t>
  </si>
  <si>
    <t>Kennett, MO Micro Area</t>
  </si>
  <si>
    <t>28380</t>
  </si>
  <si>
    <t>Hobbs, NM Micro Area</t>
  </si>
  <si>
    <t>26020</t>
  </si>
  <si>
    <t>Shelton, WA Micro Area</t>
  </si>
  <si>
    <t>43220</t>
  </si>
  <si>
    <t>Carlsbad-Artesia, NM Micro Area</t>
  </si>
  <si>
    <t>16100</t>
  </si>
  <si>
    <t>Ozark, AL Micro Area</t>
  </si>
  <si>
    <t>37120</t>
  </si>
  <si>
    <t>Cody, WY Micro Area</t>
  </si>
  <si>
    <t>17650</t>
  </si>
  <si>
    <t>Clewiston, FL Micro Area</t>
  </si>
  <si>
    <t>17500</t>
  </si>
  <si>
    <t>Montrose, CO Micro Area</t>
  </si>
  <si>
    <t>33940</t>
  </si>
  <si>
    <t>Morgan City, LA Micro Area</t>
  </si>
  <si>
    <t>34020</t>
  </si>
  <si>
    <t>Moscow, ID Micro Area</t>
  </si>
  <si>
    <t>34140</t>
  </si>
  <si>
    <t>Crescent City, CA Micro Area</t>
  </si>
  <si>
    <t>18860</t>
  </si>
  <si>
    <t>Alamosa, CO Micro Area</t>
  </si>
  <si>
    <t>10480</t>
  </si>
  <si>
    <t>Murrells Inlet, SC Micro Area</t>
  </si>
  <si>
    <t>34680</t>
  </si>
  <si>
    <t>Mineral Wells, TX Micro Area</t>
  </si>
  <si>
    <t>33420</t>
  </si>
  <si>
    <t>Morehead City, NC Micro Area</t>
  </si>
  <si>
    <t>33980</t>
  </si>
  <si>
    <t>Williston, ND Micro Area</t>
  </si>
  <si>
    <t>48780</t>
  </si>
  <si>
    <t>Butte-Silver Bow, MT Micro Area</t>
  </si>
  <si>
    <t>15580</t>
  </si>
  <si>
    <t>Pampa, TX Micro Area</t>
  </si>
  <si>
    <t>37420</t>
  </si>
  <si>
    <t>Baker City, OR Micro Area</t>
  </si>
  <si>
    <t>12520</t>
  </si>
  <si>
    <t>Newport, OR Micro Area</t>
  </si>
  <si>
    <t>35440</t>
  </si>
  <si>
    <t>Pierre, SD Micro Area</t>
  </si>
  <si>
    <t>38180</t>
  </si>
  <si>
    <t>Coos Bay-North Bend, OR Micro Area</t>
  </si>
  <si>
    <t>18300</t>
  </si>
  <si>
    <t>Astoria, OR Micro Area</t>
  </si>
  <si>
    <t>11820</t>
  </si>
  <si>
    <t>Watertown, SD Micro Area</t>
  </si>
  <si>
    <t>47980</t>
  </si>
  <si>
    <t>Sterling, CO Micro Area</t>
  </si>
  <si>
    <t>44540</t>
  </si>
  <si>
    <t>New Iberia, LA Micro Area</t>
  </si>
  <si>
    <t>35340</t>
  </si>
  <si>
    <t>DeRidder, LA Micro Area</t>
  </si>
  <si>
    <t>19760</t>
  </si>
  <si>
    <t>Sonora, CA Micro Area</t>
  </si>
  <si>
    <t>43760</t>
  </si>
  <si>
    <t>Snyder, TX Micro Area</t>
  </si>
  <si>
    <t>43660</t>
  </si>
  <si>
    <t>Silver City, NM Micro Area</t>
  </si>
  <si>
    <t>43500</t>
  </si>
  <si>
    <t>Granbury, TX Micro Area</t>
  </si>
  <si>
    <t>24180</t>
  </si>
  <si>
    <t>Miami, OK Micro Area</t>
  </si>
  <si>
    <t>33060</t>
  </si>
  <si>
    <t>Juneau, AK Micro Area</t>
  </si>
  <si>
    <t>27940</t>
  </si>
  <si>
    <t>Show Low, AZ Micro Area</t>
  </si>
  <si>
    <t>43320</t>
  </si>
  <si>
    <t>Easton, MD Micro Area</t>
  </si>
  <si>
    <t>20660</t>
  </si>
  <si>
    <t>Alpena, MI Micro Area</t>
  </si>
  <si>
    <t>10980</t>
  </si>
  <si>
    <t>Whitewater-Elkhorn, WI Micro Area</t>
  </si>
  <si>
    <t>48580</t>
  </si>
  <si>
    <t>Natchez, MS-LA Micro Area</t>
  </si>
  <si>
    <t>35020</t>
  </si>
  <si>
    <t>Rifle, CO Micro Area</t>
  </si>
  <si>
    <t>40090</t>
  </si>
  <si>
    <t>Greenfield, MA Micro Area</t>
  </si>
  <si>
    <t>24640</t>
  </si>
  <si>
    <t>Somerset, PA Micro Area</t>
  </si>
  <si>
    <t>43740</t>
  </si>
  <si>
    <t>Kalispell, MT Micro Area</t>
  </si>
  <si>
    <t>28060</t>
  </si>
  <si>
    <t>Laconia, NH Micro Area</t>
  </si>
  <si>
    <t>29060</t>
  </si>
  <si>
    <t>Moses Lake, WA Micro Area</t>
  </si>
  <si>
    <t>34180</t>
  </si>
  <si>
    <t>Marquette, MI Micro Area</t>
  </si>
  <si>
    <t>32100</t>
  </si>
  <si>
    <t>Washington, IN Micro Area</t>
  </si>
  <si>
    <t>47780</t>
  </si>
  <si>
    <t>Cedar City, UT Micro Area</t>
  </si>
  <si>
    <t>16260</t>
  </si>
  <si>
    <t>El Campo, TX Micro Area</t>
  </si>
  <si>
    <t>20900</t>
  </si>
  <si>
    <t>Ruston, LA Micro Area</t>
  </si>
  <si>
    <t>40820</t>
  </si>
  <si>
    <t>Wabash, IN Micro Area</t>
  </si>
  <si>
    <t>47340</t>
  </si>
  <si>
    <t>Grand Rapids, MN Micro Area</t>
  </si>
  <si>
    <t>24330</t>
  </si>
  <si>
    <t>Brainerd, MN Micro Area</t>
  </si>
  <si>
    <t>14660</t>
  </si>
  <si>
    <t>Lake of the Woods, VA Micro Area</t>
  </si>
  <si>
    <t>29470</t>
  </si>
  <si>
    <t>Oxford, MS Micro Area</t>
  </si>
  <si>
    <t>37060</t>
  </si>
  <si>
    <t>Gallup, NM Micro Area</t>
  </si>
  <si>
    <t>23700</t>
  </si>
  <si>
    <t>Picayune, MS Micro Area</t>
  </si>
  <si>
    <t>38100</t>
  </si>
  <si>
    <t>Auburn, NY Micro Area</t>
  </si>
  <si>
    <t>12180</t>
  </si>
  <si>
    <t>Cadillac, MI Micro Area</t>
  </si>
  <si>
    <t>15620</t>
  </si>
  <si>
    <t>Lawrenceburg, TN Micro Area</t>
  </si>
  <si>
    <t>29980</t>
  </si>
  <si>
    <t>Vermillion, SD Micro Area</t>
  </si>
  <si>
    <t>46820</t>
  </si>
  <si>
    <t>St. Marys, PA Micro Area</t>
  </si>
  <si>
    <t>41260</t>
  </si>
  <si>
    <t>New Philadelphia-Dover, OH Micro Area</t>
  </si>
  <si>
    <t>35420</t>
  </si>
  <si>
    <t>Willmar, MN Micro Area</t>
  </si>
  <si>
    <t>48820</t>
  </si>
  <si>
    <t>Barre, VT Micro Area</t>
  </si>
  <si>
    <t>12740</t>
  </si>
  <si>
    <t>Salem, OH Micro Area</t>
  </si>
  <si>
    <t>41400</t>
  </si>
  <si>
    <t>Bradford, PA Micro Area</t>
  </si>
  <si>
    <t>14620</t>
  </si>
  <si>
    <t>Atchison, KS Micro Area</t>
  </si>
  <si>
    <t>11860</t>
  </si>
  <si>
    <t>Hays, KS Micro Area</t>
  </si>
  <si>
    <t>25700</t>
  </si>
  <si>
    <t>Uvalde, TX Micro Area</t>
  </si>
  <si>
    <t>46620</t>
  </si>
  <si>
    <t>Gardnerville Ranchos, NV-CA Micro Area</t>
  </si>
  <si>
    <t>23820</t>
  </si>
  <si>
    <t>Scottsbluff, NE Micro Area</t>
  </si>
  <si>
    <t>42420</t>
  </si>
  <si>
    <t>Bemidji, MN Micro Area</t>
  </si>
  <si>
    <t>13420</t>
  </si>
  <si>
    <t>Athens, TX Micro Area</t>
  </si>
  <si>
    <t>11980</t>
  </si>
  <si>
    <t>McPherson, KS Micro Area</t>
  </si>
  <si>
    <t>32700</t>
  </si>
  <si>
    <t>Fergus Falls, MN Micro Area</t>
  </si>
  <si>
    <t>22260</t>
  </si>
  <si>
    <t>Heber, UT Micro Area</t>
  </si>
  <si>
    <t>25720</t>
  </si>
  <si>
    <t>Jamestown, ND Micro Area</t>
  </si>
  <si>
    <t>27420</t>
  </si>
  <si>
    <t>Boone, NC Micro Area</t>
  </si>
  <si>
    <t>14380</t>
  </si>
  <si>
    <t>Huron, SD Micro Area</t>
  </si>
  <si>
    <t>26700</t>
  </si>
  <si>
    <t>Manitowoc, WI Micro Area</t>
  </si>
  <si>
    <t>31820</t>
  </si>
  <si>
    <t>Okeechobee, FL Micro Area</t>
  </si>
  <si>
    <t>36380</t>
  </si>
  <si>
    <t>Ponca City, OK Micro Area</t>
  </si>
  <si>
    <t>38620</t>
  </si>
  <si>
    <t>Town of Pecos, TX Micro Area</t>
  </si>
  <si>
    <t>45880</t>
  </si>
  <si>
    <t>Oskaloosa, IA Micro Area</t>
  </si>
  <si>
    <t>36820</t>
  </si>
  <si>
    <t>Kerrville, TX Micro Area</t>
  </si>
  <si>
    <t>28500</t>
  </si>
  <si>
    <t>Stephenville, TX Micro Area</t>
  </si>
  <si>
    <t>44500</t>
  </si>
  <si>
    <t>Petoskey, MI Micro Area</t>
  </si>
  <si>
    <t>37950</t>
  </si>
  <si>
    <t>Roseburg, OR Micro Area</t>
  </si>
  <si>
    <t>40700</t>
  </si>
  <si>
    <t>Warren, PA Micro Area</t>
  </si>
  <si>
    <t>47620</t>
  </si>
  <si>
    <t>Sweetwater, TX Micro Area</t>
  </si>
  <si>
    <t>45020</t>
  </si>
  <si>
    <t>Connersville, IN Micro Area</t>
  </si>
  <si>
    <t>18220</t>
  </si>
  <si>
    <t>Stillwater, OK Micro Area</t>
  </si>
  <si>
    <t>44660</t>
  </si>
  <si>
    <t>Breckenridge, CO Micro Area</t>
  </si>
  <si>
    <t>14720</t>
  </si>
  <si>
    <t>Waycross, GA Micro Area</t>
  </si>
  <si>
    <t>48180</t>
  </si>
  <si>
    <t>La Grande, OR Micro Area</t>
  </si>
  <si>
    <t>29260</t>
  </si>
  <si>
    <t>Magnolia, AR Micro Area</t>
  </si>
  <si>
    <t>31620</t>
  </si>
  <si>
    <t>Centralia, WA Micro Area</t>
  </si>
  <si>
    <t>16500</t>
  </si>
  <si>
    <t>Paris, TN Micro Area</t>
  </si>
  <si>
    <t>37540</t>
  </si>
  <si>
    <t>Platteville, WI Micro Area</t>
  </si>
  <si>
    <t>38420</t>
  </si>
  <si>
    <t>Fitzgerald, GA Micro Area</t>
  </si>
  <si>
    <t>22340</t>
  </si>
  <si>
    <t>Union City, TN Micro Area</t>
  </si>
  <si>
    <t>46460</t>
  </si>
  <si>
    <t>Olean, NY Micro Area</t>
  </si>
  <si>
    <t>36460</t>
  </si>
  <si>
    <t>Palatka, FL Micro Area</t>
  </si>
  <si>
    <t>37260</t>
  </si>
  <si>
    <t>Winnemucca, NV Micro Area</t>
  </si>
  <si>
    <t>49080</t>
  </si>
  <si>
    <t>Huntingdon, PA Micro Area</t>
  </si>
  <si>
    <t>26500</t>
  </si>
  <si>
    <t>Othello, WA Micro Area</t>
  </si>
  <si>
    <t>36830</t>
  </si>
  <si>
    <t>Opelousas, LA Micro Area</t>
  </si>
  <si>
    <t>36660</t>
  </si>
  <si>
    <t>Owosso, MI Micro Area</t>
  </si>
  <si>
    <t>37020</t>
  </si>
  <si>
    <t>Oil City, PA Micro Area</t>
  </si>
  <si>
    <t>36340</t>
  </si>
  <si>
    <t>Altus, OK Micro Area</t>
  </si>
  <si>
    <t>11060</t>
  </si>
  <si>
    <t>Mountain Home, ID Micro Area</t>
  </si>
  <si>
    <t>34300</t>
  </si>
  <si>
    <t>Huntsville, TX Micro Area</t>
  </si>
  <si>
    <t>26660</t>
  </si>
  <si>
    <t>Taylorville, IL Micro Area</t>
  </si>
  <si>
    <t>45380</t>
  </si>
  <si>
    <t>Peru, IN Micro Area</t>
  </si>
  <si>
    <t>37940</t>
  </si>
  <si>
    <t>Canton, IL Micro Area</t>
  </si>
  <si>
    <t>15900</t>
  </si>
  <si>
    <t>Fallon, NV Micro Area</t>
  </si>
  <si>
    <t>21980</t>
  </si>
  <si>
    <t>Bainbridge, GA Micro Area</t>
  </si>
  <si>
    <t>12460</t>
  </si>
  <si>
    <t>Rutland, VT Micro Area</t>
  </si>
  <si>
    <t>40860</t>
  </si>
  <si>
    <t>Enterprise, AL Micro Area</t>
  </si>
  <si>
    <t>21460</t>
  </si>
  <si>
    <t>The Dalles, OR Micro Area</t>
  </si>
  <si>
    <t>45520</t>
  </si>
  <si>
    <t>Spirit Lake, IA Micro Area</t>
  </si>
  <si>
    <t>44020</t>
  </si>
  <si>
    <t>Albert Lea, MN Micro Area</t>
  </si>
  <si>
    <t>10660</t>
  </si>
  <si>
    <t>Española, NM Micro Area</t>
  </si>
  <si>
    <t>21580</t>
  </si>
  <si>
    <t>Greenwood, MS Micro Area</t>
  </si>
  <si>
    <t>24900</t>
  </si>
  <si>
    <t>Fayetteville, TN Micro Area</t>
  </si>
  <si>
    <t>22190</t>
  </si>
  <si>
    <t>Decatur, IN Micro Area</t>
  </si>
  <si>
    <t>19540</t>
  </si>
  <si>
    <t>Hilo-Kailua, HI Micro Area</t>
  </si>
  <si>
    <t>25900</t>
  </si>
  <si>
    <t>Mitchell, SD Micro Area</t>
  </si>
  <si>
    <t>33580</t>
  </si>
  <si>
    <t>Kapaa, HI Micro Area</t>
  </si>
  <si>
    <t>28180</t>
  </si>
  <si>
    <t>McAlester, OK Micro Area</t>
  </si>
  <si>
    <t>32540</t>
  </si>
  <si>
    <t>Alexandria, MN Micro Area</t>
  </si>
  <si>
    <t>10820</t>
  </si>
  <si>
    <t>Safford, AZ Micro Area</t>
  </si>
  <si>
    <t>40940</t>
  </si>
  <si>
    <t>Price, UT Micro Area</t>
  </si>
  <si>
    <t>39220</t>
  </si>
  <si>
    <t>Roswell, NM Micro Area</t>
  </si>
  <si>
    <t>40740</t>
  </si>
  <si>
    <t>Jacksonville, TX Micro Area</t>
  </si>
  <si>
    <t>27380</t>
  </si>
  <si>
    <t>Fairmont, WV Micro Area</t>
  </si>
  <si>
    <t>21900</t>
  </si>
  <si>
    <t>Toccoa, GA Micro Area</t>
  </si>
  <si>
    <t>45740</t>
  </si>
  <si>
    <t>Jesup, GA Micro Area</t>
  </si>
  <si>
    <t>27700</t>
  </si>
  <si>
    <t>Lincoln, IL Micro Area</t>
  </si>
  <si>
    <t>30660</t>
  </si>
  <si>
    <t>Bogalusa, LA Micro Area</t>
  </si>
  <si>
    <t>14220</t>
  </si>
  <si>
    <t>Putnam, CT Micro Area</t>
  </si>
  <si>
    <t>39480</t>
  </si>
  <si>
    <t>Forest City, NC Micro Area</t>
  </si>
  <si>
    <t>22580</t>
  </si>
  <si>
    <t>Pullman, WA Micro Area</t>
  </si>
  <si>
    <t>39420</t>
  </si>
  <si>
    <t>Clovis, NM Micro Area</t>
  </si>
  <si>
    <t>17580</t>
  </si>
  <si>
    <t>Bennington, VT Micro Area</t>
  </si>
  <si>
    <t>13540</t>
  </si>
  <si>
    <t>Edwards, CO Micro Area</t>
  </si>
  <si>
    <t>20780</t>
  </si>
  <si>
    <t>Brenham, TX Micro Area</t>
  </si>
  <si>
    <t>14780</t>
  </si>
  <si>
    <t>Kearney, NE Micro Area</t>
  </si>
  <si>
    <t>28260</t>
  </si>
  <si>
    <t>Duncan, OK Micro Area</t>
  </si>
  <si>
    <t>20340</t>
  </si>
  <si>
    <t>Centralia, IL Micro Area</t>
  </si>
  <si>
    <t>16460</t>
  </si>
  <si>
    <t>Elkins, WV Micro Area</t>
  </si>
  <si>
    <t>21180</t>
  </si>
  <si>
    <t>Sikeston, MO Micro Area</t>
  </si>
  <si>
    <t>43460</t>
  </si>
  <si>
    <t>Big Spring, TX Micro Area</t>
  </si>
  <si>
    <t>13700</t>
  </si>
  <si>
    <t>Macomb, IL Micro Area</t>
  </si>
  <si>
    <t>31380</t>
  </si>
  <si>
    <t>Greenville, OH Micro Area</t>
  </si>
  <si>
    <t>24820</t>
  </si>
  <si>
    <t>Athens, OH Micro Area</t>
  </si>
  <si>
    <t>11900</t>
  </si>
  <si>
    <t>Sault Ste. Marie, MI Micro Area</t>
  </si>
  <si>
    <t>42300</t>
  </si>
  <si>
    <t>Nacogdoches, TX Micro Area</t>
  </si>
  <si>
    <t>34860</t>
  </si>
  <si>
    <t>Concord, NH Micro Area</t>
  </si>
  <si>
    <t>18180</t>
  </si>
  <si>
    <t>Alma, MI Micro Area</t>
  </si>
  <si>
    <t>10940</t>
  </si>
  <si>
    <t>Detroit Lakes, MN Micro Area</t>
  </si>
  <si>
    <t>19810</t>
  </si>
  <si>
    <t>Seaford, DE Micro Area</t>
  </si>
  <si>
    <t>42580</t>
  </si>
  <si>
    <t>Tiffin, OH Micro Area</t>
  </si>
  <si>
    <t>45660</t>
  </si>
  <si>
    <t>Sevierville, TN Micro Area</t>
  </si>
  <si>
    <t>42940</t>
  </si>
  <si>
    <t>Greenville, MS Micro Area</t>
  </si>
  <si>
    <t>24740</t>
  </si>
  <si>
    <t>North Platte, NE Micro Area</t>
  </si>
  <si>
    <t>35820</t>
  </si>
  <si>
    <t>Ludington, MI Micro Area</t>
  </si>
  <si>
    <t>31220</t>
  </si>
  <si>
    <t>Ottawa, IL Micro Area</t>
  </si>
  <si>
    <t>36837</t>
  </si>
  <si>
    <t>Waynesville, NC Micro Area</t>
  </si>
  <si>
    <t>48200</t>
  </si>
  <si>
    <t>Fairmont, MN Micro Area</t>
  </si>
  <si>
    <t>21860</t>
  </si>
  <si>
    <t>Lock Haven, PA Micro Area</t>
  </si>
  <si>
    <t>30820</t>
  </si>
  <si>
    <t>Cleveland, MS Micro Area</t>
  </si>
  <si>
    <t>17380</t>
  </si>
  <si>
    <t>Hillsdale, MI Micro Area</t>
  </si>
  <si>
    <t>25880</t>
  </si>
  <si>
    <t>Pontiac, IL Micro Area</t>
  </si>
  <si>
    <t>38700</t>
  </si>
  <si>
    <t>Indiana, PA Micro Area</t>
  </si>
  <si>
    <t>26860</t>
  </si>
  <si>
    <t>Glasgow, KY Micro Area</t>
  </si>
  <si>
    <t>23980</t>
  </si>
  <si>
    <t>Cortland, NY Micro Area</t>
  </si>
  <si>
    <t>18660</t>
  </si>
  <si>
    <t>Hutchinson, KS Micro Area</t>
  </si>
  <si>
    <t>26740</t>
  </si>
  <si>
    <t>Corinth, MS Micro Area</t>
  </si>
  <si>
    <t>18420</t>
  </si>
  <si>
    <t>Bucyrus, OH Micro Area</t>
  </si>
  <si>
    <t>15340</t>
  </si>
  <si>
    <t>Aberdeen, SD Micro Area</t>
  </si>
  <si>
    <t>10100</t>
  </si>
  <si>
    <t>Adrian, MI Micro Area</t>
  </si>
  <si>
    <t>10300</t>
  </si>
  <si>
    <t>Marinette, WI-MI Micro Area</t>
  </si>
  <si>
    <t>31940</t>
  </si>
  <si>
    <t>Beatrice, NE Micro Area</t>
  </si>
  <si>
    <t>13100</t>
  </si>
  <si>
    <t>Portsmouth, OH Micro Area</t>
  </si>
  <si>
    <t>39020</t>
  </si>
  <si>
    <t>Shawnee, OK Micro Area</t>
  </si>
  <si>
    <t>43060</t>
  </si>
  <si>
    <t>Arkadelphia, AR Micro Area</t>
  </si>
  <si>
    <t>11660</t>
  </si>
  <si>
    <t>Batavia, NY Micro Area</t>
  </si>
  <si>
    <t>12860</t>
  </si>
  <si>
    <t>Farmington, MO Micro Area</t>
  </si>
  <si>
    <t>22100</t>
  </si>
  <si>
    <t>Bluefield, WV-VA Micro Area</t>
  </si>
  <si>
    <t>14140</t>
  </si>
  <si>
    <t>Arcadia, FL Micro Area</t>
  </si>
  <si>
    <t>11580</t>
  </si>
  <si>
    <t>Baraboo, WI Micro Area</t>
  </si>
  <si>
    <t>12660</t>
  </si>
  <si>
    <t>Mexico, MO Micro Area</t>
  </si>
  <si>
    <t>33020</t>
  </si>
  <si>
    <t>Dublin, GA Micro Area</t>
  </si>
  <si>
    <t>20140</t>
  </si>
  <si>
    <t>Paris, TX Micro Area</t>
  </si>
  <si>
    <t>37580</t>
  </si>
  <si>
    <t>McMinnville, TN Micro Area</t>
  </si>
  <si>
    <t>32660</t>
  </si>
  <si>
    <t>Lebanon-Claremont, NH-VT Micro Area</t>
  </si>
  <si>
    <t>30150</t>
  </si>
  <si>
    <t>Jamestown-Dunkirk, NY Micro Area</t>
  </si>
  <si>
    <t>27460</t>
  </si>
  <si>
    <t>Galesburg, IL Micro Area</t>
  </si>
  <si>
    <t>23660</t>
  </si>
  <si>
    <t>Wooster, OH Micro Area</t>
  </si>
  <si>
    <t>49300</t>
  </si>
  <si>
    <t>Lexington, NE Micro Area</t>
  </si>
  <si>
    <t>30420</t>
  </si>
  <si>
    <t>Cambridge, MD Micro Area</t>
  </si>
  <si>
    <t>15700</t>
  </si>
  <si>
    <t>New Ulm, MN Micro Area</t>
  </si>
  <si>
    <t>35580</t>
  </si>
  <si>
    <t>Monticello, IN Micro Area</t>
  </si>
  <si>
    <t>33900</t>
  </si>
  <si>
    <t>Alexander City, AL Micro Area</t>
  </si>
  <si>
    <t>10760</t>
  </si>
  <si>
    <t>Bay City, TX Micro Area</t>
  </si>
  <si>
    <t>13060</t>
  </si>
  <si>
    <t>Mountain Home, AR Micro Area</t>
  </si>
  <si>
    <t>34260</t>
  </si>
  <si>
    <t>Keene, NH Micro Area</t>
  </si>
  <si>
    <t>28300</t>
  </si>
  <si>
    <t>Coshocton, OH Micro Area</t>
  </si>
  <si>
    <t>18740</t>
  </si>
  <si>
    <t>Starkville, MS Micro Area</t>
  </si>
  <si>
    <t>44260</t>
  </si>
  <si>
    <t>Somerset, KY Micro Area</t>
  </si>
  <si>
    <t>43700</t>
  </si>
  <si>
    <t>New Castle, IN Micro Area</t>
  </si>
  <si>
    <t>35220</t>
  </si>
  <si>
    <t>Gillette, WY Micro Area</t>
  </si>
  <si>
    <t>23940</t>
  </si>
  <si>
    <t>Henderson, KY Micro Area</t>
  </si>
  <si>
    <t>25775</t>
  </si>
  <si>
    <t>Watertown-Fort Atkinson, WI Micro Area</t>
  </si>
  <si>
    <t>48020</t>
  </si>
  <si>
    <t>Borger, TX Micro Area</t>
  </si>
  <si>
    <t>14420</t>
  </si>
  <si>
    <t>Statesboro, GA Micro Area</t>
  </si>
  <si>
    <t>44340</t>
  </si>
  <si>
    <t>Gainesville, TX Micro Area</t>
  </si>
  <si>
    <t>23620</t>
  </si>
  <si>
    <t>Rolla, MO Micro Area</t>
  </si>
  <si>
    <t>40620</t>
  </si>
  <si>
    <t>Rice Lake, WI Micro Area</t>
  </si>
  <si>
    <t>39960</t>
  </si>
  <si>
    <t>Monticello, NY Micro Area</t>
  </si>
  <si>
    <t>33910</t>
  </si>
  <si>
    <t>Mayfield, KY Micro Area</t>
  </si>
  <si>
    <t>32460</t>
  </si>
  <si>
    <t>Americus, GA Micro Area</t>
  </si>
  <si>
    <t>11140</t>
  </si>
  <si>
    <t>Branson, MO Micro Area</t>
  </si>
  <si>
    <t>14700</t>
  </si>
  <si>
    <t>Columbus, MS Micro Area</t>
  </si>
  <si>
    <t>18060</t>
  </si>
  <si>
    <t>Le Mars, IA Micro Area</t>
  </si>
  <si>
    <t>30180</t>
  </si>
  <si>
    <t>Big Rapids, MI Micro Area</t>
  </si>
  <si>
    <t>13660</t>
  </si>
  <si>
    <t>Hermitage, PA Micro Area</t>
  </si>
  <si>
    <t>25850</t>
  </si>
  <si>
    <t>Menomonie, WI Micro Area</t>
  </si>
  <si>
    <t>32860</t>
  </si>
  <si>
    <t>Gloversville, NY Micro Area</t>
  </si>
  <si>
    <t>24100</t>
  </si>
  <si>
    <t>Burlington, IA-IL Micro Area</t>
  </si>
  <si>
    <t>15460</t>
  </si>
  <si>
    <t>Del Rio, TX Micro Area</t>
  </si>
  <si>
    <t>19620</t>
  </si>
  <si>
    <t>Durant, OK Micro Area</t>
  </si>
  <si>
    <t>20460</t>
  </si>
  <si>
    <t>Middlesborough, KY Micro Area</t>
  </si>
  <si>
    <t>33180</t>
  </si>
  <si>
    <t>Danville, VA Micro Area</t>
  </si>
  <si>
    <t>19260</t>
  </si>
  <si>
    <t>New Bern, NC Micro Area</t>
  </si>
  <si>
    <t>35100</t>
  </si>
  <si>
    <t>DuBois, PA Micro Area</t>
  </si>
  <si>
    <t>20180</t>
  </si>
  <si>
    <t>Hannibal, MO Micro Area</t>
  </si>
  <si>
    <t>25300</t>
  </si>
  <si>
    <t>Crossville, TN Micro Area</t>
  </si>
  <si>
    <t>18900</t>
  </si>
  <si>
    <t>Norfolk, NE Micro Area</t>
  </si>
  <si>
    <t>35740</t>
  </si>
  <si>
    <t>Holland, MI Micro Area</t>
  </si>
  <si>
    <t>26090</t>
  </si>
  <si>
    <t>Huntington, IN Micro Area</t>
  </si>
  <si>
    <t>26540</t>
  </si>
  <si>
    <t>Troy, AL Micro Area</t>
  </si>
  <si>
    <t>45980</t>
  </si>
  <si>
    <t>Rochelle, IL Micro Area</t>
  </si>
  <si>
    <t>40300</t>
  </si>
  <si>
    <t>Washington, NC Micro Area</t>
  </si>
  <si>
    <t>47820</t>
  </si>
  <si>
    <t>Sterling, IL Micro Area</t>
  </si>
  <si>
    <t>44580</t>
  </si>
  <si>
    <t>Brookhaven, MS Micro Area</t>
  </si>
  <si>
    <t>15020</t>
  </si>
  <si>
    <t>Sulphur Springs, TX Micro Area</t>
  </si>
  <si>
    <t>44860</t>
  </si>
  <si>
    <t>Ardmore, OK Micro Area</t>
  </si>
  <si>
    <t>11620</t>
  </si>
  <si>
    <t>Pahrump, NV Micro Area</t>
  </si>
  <si>
    <t>37220</t>
  </si>
  <si>
    <t>Payson, AZ Micro Area</t>
  </si>
  <si>
    <t>37740</t>
  </si>
  <si>
    <t>Sturgis, MI Micro Area</t>
  </si>
  <si>
    <t>44780</t>
  </si>
  <si>
    <t>Harrison, AR Micro Area</t>
  </si>
  <si>
    <t>25460</t>
  </si>
  <si>
    <t>Cornelia, GA Micro Area</t>
  </si>
  <si>
    <t>18460</t>
  </si>
  <si>
    <t>Marietta, OH Micro Area</t>
  </si>
  <si>
    <t>31930</t>
  </si>
  <si>
    <t>Fremont, NE Micro Area</t>
  </si>
  <si>
    <t>23340</t>
  </si>
  <si>
    <t>Anderson Creek, NC Micro Area</t>
  </si>
  <si>
    <t>11360</t>
  </si>
  <si>
    <t>Beeville, TX Micro Area</t>
  </si>
  <si>
    <t>13300</t>
  </si>
  <si>
    <t>Seneca Falls, NY Micro Area</t>
  </si>
  <si>
    <t>42900</t>
  </si>
  <si>
    <t>Ontario, OR-ID Micro Area</t>
  </si>
  <si>
    <t>36620</t>
  </si>
  <si>
    <t>Elizabeth City, NC Micro Area</t>
  </si>
  <si>
    <t>21020</t>
  </si>
  <si>
    <t>Albemarle, NC Micro Area</t>
  </si>
  <si>
    <t>10620</t>
  </si>
  <si>
    <t>Warrensburg, MO Micro Area</t>
  </si>
  <si>
    <t>47660</t>
  </si>
  <si>
    <t>Yankton, SD Micro Area</t>
  </si>
  <si>
    <t>49460</t>
  </si>
  <si>
    <t>Plymouth, IN Micro Area</t>
  </si>
  <si>
    <t>38500</t>
  </si>
  <si>
    <t>Ada, OK Micro Area</t>
  </si>
  <si>
    <t>10220</t>
  </si>
  <si>
    <t>Fort Leonard Wood, MO Micro Area</t>
  </si>
  <si>
    <t>22780</t>
  </si>
  <si>
    <t>Frankfort, KY Micro Area</t>
  </si>
  <si>
    <t>23180</t>
  </si>
  <si>
    <t>Cambridge, OH Micro Area</t>
  </si>
  <si>
    <t>15740</t>
  </si>
  <si>
    <t>Fort Payne, AL Micro Area</t>
  </si>
  <si>
    <t>22840</t>
  </si>
  <si>
    <t>Kingsland, GA Micro Area</t>
  </si>
  <si>
    <t>28680</t>
  </si>
  <si>
    <t>Clarksburg, WV Micro Area</t>
  </si>
  <si>
    <t>17220</t>
  </si>
  <si>
    <t>Vincennes, IN Micro Area</t>
  </si>
  <si>
    <t>47180</t>
  </si>
  <si>
    <t>Bedford, IN Micro Area</t>
  </si>
  <si>
    <t>13260</t>
  </si>
  <si>
    <t>Meridian, MS Micro Area</t>
  </si>
  <si>
    <t>32940</t>
  </si>
  <si>
    <t>Tahlequah, OK Micro Area</t>
  </si>
  <si>
    <t>45140</t>
  </si>
  <si>
    <t>Carroll, IA Micro Area</t>
  </si>
  <si>
    <t>16140</t>
  </si>
  <si>
    <t>Kingsville, TX Micro Area</t>
  </si>
  <si>
    <t>28780</t>
  </si>
  <si>
    <t>Sayre, PA Micro Area</t>
  </si>
  <si>
    <t>42380</t>
  </si>
  <si>
    <t>Cullman, AL Micro Area</t>
  </si>
  <si>
    <t>18980</t>
  </si>
  <si>
    <t>Lewistown, PA Micro Area</t>
  </si>
  <si>
    <t>30380</t>
  </si>
  <si>
    <t>Brookings, SD Micro Area</t>
  </si>
  <si>
    <t>15100</t>
  </si>
  <si>
    <t>Lewisburg, TN Micro Area</t>
  </si>
  <si>
    <t>30280</t>
  </si>
  <si>
    <t>Quincy, IL-MO Micro Area</t>
  </si>
  <si>
    <t>39500</t>
  </si>
  <si>
    <t>Hutchinson, MN Micro Area</t>
  </si>
  <si>
    <t>26780</t>
  </si>
  <si>
    <t>Massena-Ogdensburg, NY Micro Area</t>
  </si>
  <si>
    <t>32390</t>
  </si>
  <si>
    <t>Red Bluff, CA Micro Area</t>
  </si>
  <si>
    <t>39780</t>
  </si>
  <si>
    <t>Douglas, GA Micro Area</t>
  </si>
  <si>
    <t>20060</t>
  </si>
  <si>
    <t>Carbondale, IL Micro Area</t>
  </si>
  <si>
    <t>16060</t>
  </si>
  <si>
    <t>McComb, MS Micro Area</t>
  </si>
  <si>
    <t>32620</t>
  </si>
  <si>
    <t>Muskogee, OK Micro Area</t>
  </si>
  <si>
    <t>34780</t>
  </si>
  <si>
    <t>Campbellsville, KY Micro Area</t>
  </si>
  <si>
    <t>15820</t>
  </si>
  <si>
    <t>Klamath Falls, OR Micro Area</t>
  </si>
  <si>
    <t>28900</t>
  </si>
  <si>
    <t>Deming, NM Micro Area</t>
  </si>
  <si>
    <t>19700</t>
  </si>
  <si>
    <t>Dixon, IL Micro Area</t>
  </si>
  <si>
    <t>19940</t>
  </si>
  <si>
    <t>Mason City, IA Micro Area</t>
  </si>
  <si>
    <t>32380</t>
  </si>
  <si>
    <t>Corsicana, TX Micro Area</t>
  </si>
  <si>
    <t>18620</t>
  </si>
  <si>
    <t>Marshall, MN Micro Area</t>
  </si>
  <si>
    <t>32140</t>
  </si>
  <si>
    <t>Sparta, WI Micro Area</t>
  </si>
  <si>
    <t>43890</t>
  </si>
  <si>
    <t>Pottsville, PA Micro Area</t>
  </si>
  <si>
    <t>39060</t>
  </si>
  <si>
    <t>Arkansas City-Winfield, KS Micro Area</t>
  </si>
  <si>
    <t>11680</t>
  </si>
  <si>
    <t>Salina, KS Micro Area</t>
  </si>
  <si>
    <t>41460</t>
  </si>
  <si>
    <t>Mount Sterling, KY Micro Area</t>
  </si>
  <si>
    <t>34460</t>
  </si>
  <si>
    <t>Natchitoches, LA Micro Area</t>
  </si>
  <si>
    <t>35060</t>
  </si>
  <si>
    <t>Pine Bluff, AR Micro Area</t>
  </si>
  <si>
    <t>38220</t>
  </si>
  <si>
    <t>Ashland, OH Micro Area</t>
  </si>
  <si>
    <t>11740</t>
  </si>
  <si>
    <t>Urbana, OH Micro Area</t>
  </si>
  <si>
    <t>46500</t>
  </si>
  <si>
    <t>Pittsburg, KS Micro Area</t>
  </si>
  <si>
    <t>38260</t>
  </si>
  <si>
    <t>Malvern, AR Micro Area</t>
  </si>
  <si>
    <t>31680</t>
  </si>
  <si>
    <t>Martin, TN Micro Area</t>
  </si>
  <si>
    <t>32280</t>
  </si>
  <si>
    <t>Batesville, AR Micro Area</t>
  </si>
  <si>
    <t>12900</t>
  </si>
  <si>
    <t>Seneca, SC Micro Area</t>
  </si>
  <si>
    <t>42860</t>
  </si>
  <si>
    <t>Forrest City, AR Micro Area</t>
  </si>
  <si>
    <t>22620</t>
  </si>
  <si>
    <t>East Stroudsburg, PA Micro Area</t>
  </si>
  <si>
    <t>20700</t>
  </si>
  <si>
    <t>Russellville, AR Micro Area</t>
  </si>
  <si>
    <t>40780</t>
  </si>
  <si>
    <t>Tifton, GA Micro Area</t>
  </si>
  <si>
    <t>45700</t>
  </si>
  <si>
    <t>Cumberland, MD-WV Micro Area</t>
  </si>
  <si>
    <t>19060</t>
  </si>
  <si>
    <t>Thomasville, GA Micro Area</t>
  </si>
  <si>
    <t>45620</t>
  </si>
  <si>
    <t>Augusta-Waterville, ME Micro Area</t>
  </si>
  <si>
    <t>12300</t>
  </si>
  <si>
    <t>Fort Morgan, CO Micro Area</t>
  </si>
  <si>
    <t>22820</t>
  </si>
  <si>
    <t>Plattsburgh, NY Micro Area</t>
  </si>
  <si>
    <t>38460</t>
  </si>
  <si>
    <t>Clinton, IA Micro Area</t>
  </si>
  <si>
    <t>17540</t>
  </si>
  <si>
    <t>Alamogordo, NM Micro Area</t>
  </si>
  <si>
    <t>10460</t>
  </si>
  <si>
    <t>Coldwater, MI Micro Area</t>
  </si>
  <si>
    <t>17740</t>
  </si>
  <si>
    <t>Greenwood, SC Micro Area</t>
  </si>
  <si>
    <t>24940</t>
  </si>
  <si>
    <t>Madison, IN Micro Area</t>
  </si>
  <si>
    <t>31500</t>
  </si>
  <si>
    <t>Newberry, SC Micro Area</t>
  </si>
  <si>
    <t>35140</t>
  </si>
  <si>
    <t>Norwalk, OH Micro Area</t>
  </si>
  <si>
    <t>35940</t>
  </si>
  <si>
    <t>El Dorado, AR Micro Area</t>
  </si>
  <si>
    <t>20980</t>
  </si>
  <si>
    <t>Selinsgrove, PA Micro Area</t>
  </si>
  <si>
    <t>42780</t>
  </si>
  <si>
    <t>Defiance, OH Micro Area</t>
  </si>
  <si>
    <t>19580</t>
  </si>
  <si>
    <t>Marshall, MO Micro Area</t>
  </si>
  <si>
    <t>32180</t>
  </si>
  <si>
    <t>Selma, AL Micro Area</t>
  </si>
  <si>
    <t>42820</t>
  </si>
  <si>
    <t>Garden City, KS Micro Area</t>
  </si>
  <si>
    <t>23780</t>
  </si>
  <si>
    <t>Gallipolis, OH Micro Area</t>
  </si>
  <si>
    <t>23680</t>
  </si>
  <si>
    <t>Palestine, TX Micro Area</t>
  </si>
  <si>
    <t>37300</t>
  </si>
  <si>
    <t>Angola, IN Micro Area</t>
  </si>
  <si>
    <t>11420</t>
  </si>
  <si>
    <t>Cookeville, TN Micro Area</t>
  </si>
  <si>
    <t>18260</t>
  </si>
  <si>
    <t>Freeport, IL Micro Area</t>
  </si>
  <si>
    <t>23300</t>
  </si>
  <si>
    <t>Bartlesville, OK Micro Area</t>
  </si>
  <si>
    <t>12780</t>
  </si>
  <si>
    <t>Fort Madison, IA Micro Area</t>
  </si>
  <si>
    <t>22800</t>
  </si>
  <si>
    <t>Brigham City, UT-ID Micro Area</t>
  </si>
  <si>
    <t>14940</t>
  </si>
  <si>
    <t>Plainview, TX Micro Area</t>
  </si>
  <si>
    <t>38380</t>
  </si>
  <si>
    <t>Grenada, MS Micro Area</t>
  </si>
  <si>
    <t>24980</t>
  </si>
  <si>
    <t>Hereford, TX Micro Area</t>
  </si>
  <si>
    <t>25820</t>
  </si>
  <si>
    <t>Vicksburg, MS Micro Area</t>
  </si>
  <si>
    <t>46980</t>
  </si>
  <si>
    <t>Zanesville, OH Micro Area</t>
  </si>
  <si>
    <t>49780</t>
  </si>
  <si>
    <t>Vidalia, GA Micro Area</t>
  </si>
  <si>
    <t>47080</t>
  </si>
  <si>
    <t>West Plains, MO Micro Area</t>
  </si>
  <si>
    <t>48460</t>
  </si>
  <si>
    <t>Cordele, GA Micro Area</t>
  </si>
  <si>
    <t>18380</t>
  </si>
  <si>
    <t>Orangeburg, SC Micro Area</t>
  </si>
  <si>
    <t>36700</t>
  </si>
  <si>
    <t>Lufkin, TX Micro Area</t>
  </si>
  <si>
    <t>31260</t>
  </si>
  <si>
    <t>Richmond-Berea, KY Micro Area</t>
  </si>
  <si>
    <t>40080</t>
  </si>
  <si>
    <t>Rock Springs, WY Micro Area</t>
  </si>
  <si>
    <t>40540</t>
  </si>
  <si>
    <t>Shelbyville, TN Micro Area</t>
  </si>
  <si>
    <t>43180</t>
  </si>
  <si>
    <t>Poplar Bluff, MO Micro Area</t>
  </si>
  <si>
    <t>38740</t>
  </si>
  <si>
    <t>Worthington, MN Micro Area</t>
  </si>
  <si>
    <t>49380</t>
  </si>
  <si>
    <t>Kirksville, MO Micro Area</t>
  </si>
  <si>
    <t>28860</t>
  </si>
  <si>
    <t>Bloomsburg-Berwick, PA Micro Area</t>
  </si>
  <si>
    <t>14100</t>
  </si>
  <si>
    <t>Greencastle, IN Micro Area</t>
  </si>
  <si>
    <t>24600</t>
  </si>
  <si>
    <t>Las Vegas, NM Micro Area</t>
  </si>
  <si>
    <t>29780</t>
  </si>
  <si>
    <t>Henderson, NC Micro Area</t>
  </si>
  <si>
    <t>25780</t>
  </si>
  <si>
    <t>Emporia, KS Micro Area</t>
  </si>
  <si>
    <t>21380</t>
  </si>
  <si>
    <t>Tupelo, MS Micro Area</t>
  </si>
  <si>
    <t>46180</t>
  </si>
  <si>
    <t>Jacksonville, IL Micro Area</t>
  </si>
  <si>
    <t>27300</t>
  </si>
  <si>
    <t>Newport, TN Micro Area</t>
  </si>
  <si>
    <t>35460</t>
  </si>
  <si>
    <t>Marion-Herrin, IL Micro Area</t>
  </si>
  <si>
    <t>32060</t>
  </si>
  <si>
    <t>Faribault-Northfield, MN Micro Area</t>
  </si>
  <si>
    <t>22060</t>
  </si>
  <si>
    <t>Mount Vernon, OH Micro Area</t>
  </si>
  <si>
    <t>34540</t>
  </si>
  <si>
    <t>Van Wert, OH Micro Area</t>
  </si>
  <si>
    <t>46780</t>
  </si>
  <si>
    <t>Washington Court House, OH Micro Area</t>
  </si>
  <si>
    <t>47920</t>
  </si>
  <si>
    <t>Moberly, MO Micro Area</t>
  </si>
  <si>
    <t>33620</t>
  </si>
  <si>
    <t>Maryville, MO Micro Area</t>
  </si>
  <si>
    <t>32340</t>
  </si>
  <si>
    <t>Eufaula, AL-GA Micro Area</t>
  </si>
  <si>
    <t>21640</t>
  </si>
  <si>
    <t>Brownwood, TX Micro Area</t>
  </si>
  <si>
    <t>15220</t>
  </si>
  <si>
    <t>Red Wing, MN Micro Area</t>
  </si>
  <si>
    <t>39860</t>
  </si>
  <si>
    <t>Roanoke Rapids, NC Micro Area</t>
  </si>
  <si>
    <t>40260</t>
  </si>
  <si>
    <t>Shelby-Kings Mountain, NC Micro Area</t>
  </si>
  <si>
    <t>43140</t>
  </si>
  <si>
    <t>Beaver Dam, WI Micro Area</t>
  </si>
  <si>
    <t>13180</t>
  </si>
  <si>
    <t>Mount Pleasant, TX Micro Area</t>
  </si>
  <si>
    <t>34420</t>
  </si>
  <si>
    <t>Iron Mountain, MI-WI Micro Area</t>
  </si>
  <si>
    <t>27020</t>
  </si>
  <si>
    <t>Searcy, AR Micro Area</t>
  </si>
  <si>
    <t>42620</t>
  </si>
  <si>
    <t>Wisconsin Rapids-Marshfield, WI Micro Area</t>
  </si>
  <si>
    <t>49220</t>
  </si>
  <si>
    <t>Columbus, NE Micro Area</t>
  </si>
  <si>
    <t>18100</t>
  </si>
  <si>
    <t>Murray, KY Micro Area</t>
  </si>
  <si>
    <t>34660</t>
  </si>
  <si>
    <t>Tullahoma-Manchester, TN Micro Area</t>
  </si>
  <si>
    <t>46100</t>
  </si>
  <si>
    <t>Camden, AR Micro Area</t>
  </si>
  <si>
    <t>15780</t>
  </si>
  <si>
    <t>Paragould, AR Micro Area</t>
  </si>
  <si>
    <t>37500</t>
  </si>
  <si>
    <t>Thomaston, GA Micro Area</t>
  </si>
  <si>
    <t>45580</t>
  </si>
  <si>
    <t>Milledgeville, GA Micro Area</t>
  </si>
  <si>
    <t>33300</t>
  </si>
  <si>
    <t>Scottsboro, AL Micro Area</t>
  </si>
  <si>
    <t>42460</t>
  </si>
  <si>
    <t>Lake City, FL Micro Area</t>
  </si>
  <si>
    <t>29380</t>
  </si>
  <si>
    <t>Fremont, OH Micro Area</t>
  </si>
  <si>
    <t>23380</t>
  </si>
  <si>
    <t>Laurel, MS Micro Area</t>
  </si>
  <si>
    <t>29860</t>
  </si>
  <si>
    <t>Pikeville, KY Micro Area</t>
  </si>
  <si>
    <t>38210</t>
  </si>
  <si>
    <t>Winona, MN Micro Area</t>
  </si>
  <si>
    <t>49100</t>
  </si>
  <si>
    <t>Rio Grande City-Roma, TX Micro Area</t>
  </si>
  <si>
    <t>40100</t>
  </si>
  <si>
    <t>Wapakoneta, OH Micro Area</t>
  </si>
  <si>
    <t>47540</t>
  </si>
  <si>
    <t>Kendallville, IN Micro Area</t>
  </si>
  <si>
    <t>28340</t>
  </si>
  <si>
    <t>Alice, TX Micro Area</t>
  </si>
  <si>
    <t>10860</t>
  </si>
  <si>
    <t>Corning, NY Micro Area</t>
  </si>
  <si>
    <t>18500</t>
  </si>
  <si>
    <t>Corbin, KY Micro Area</t>
  </si>
  <si>
    <t>18340</t>
  </si>
  <si>
    <t>Chillicothe, OH Micro Area</t>
  </si>
  <si>
    <t>17060</t>
  </si>
  <si>
    <t>Richmond, IN Micro Area</t>
  </si>
  <si>
    <t>39980</t>
  </si>
  <si>
    <t>Logansport, IN Micro Area</t>
  </si>
  <si>
    <t>30900</t>
  </si>
  <si>
    <t>Sunbury, PA Micro Area</t>
  </si>
  <si>
    <t>44980</t>
  </si>
  <si>
    <t>Athens, TN Micro Area</t>
  </si>
  <si>
    <t>11940</t>
  </si>
  <si>
    <t>Dyersburg, TN Micro Area</t>
  </si>
  <si>
    <t>20540</t>
  </si>
  <si>
    <t>Franklin, KY Micro Area</t>
  </si>
  <si>
    <t>23190</t>
  </si>
  <si>
    <t>Stevens Point-Plover, WI Micro Area</t>
  </si>
  <si>
    <t>44620</t>
  </si>
  <si>
    <t>Albertville, AL Micro Area</t>
  </si>
  <si>
    <t>10700</t>
  </si>
  <si>
    <t>Lewisburg, PA Micro Area</t>
  </si>
  <si>
    <t>30260</t>
  </si>
  <si>
    <t>Storm Lake, IA Micro Area</t>
  </si>
  <si>
    <t>44740</t>
  </si>
  <si>
    <t>Warsaw, IN Micro Area</t>
  </si>
  <si>
    <t>47700</t>
  </si>
  <si>
    <t>Austin, MN Micro Area</t>
  </si>
  <si>
    <t>12380</t>
  </si>
  <si>
    <t>Charleston-Mattoon, IL Micro Area</t>
  </si>
  <si>
    <t>16660</t>
  </si>
  <si>
    <t>Rexburg, ID Micro Area</t>
  </si>
  <si>
    <t>39940</t>
  </si>
  <si>
    <t>Moultrie, GA Micro Area</t>
  </si>
  <si>
    <t>34220</t>
  </si>
  <si>
    <t>Oneonta, NY Micro Area</t>
  </si>
  <si>
    <t>36580</t>
  </si>
  <si>
    <t>Fort Dodge, IA Micro Area</t>
  </si>
  <si>
    <t>22700</t>
  </si>
  <si>
    <t>Danville, KY Micro Area</t>
  </si>
  <si>
    <t>19220</t>
  </si>
  <si>
    <t>Port Lavaca, TX Micro Area</t>
  </si>
  <si>
    <t>38920</t>
  </si>
  <si>
    <t>LaGrange, GA-AL Micro Area</t>
  </si>
  <si>
    <t>29300</t>
  </si>
  <si>
    <t>Hermiston-Pendleton, OR Micro Area</t>
  </si>
  <si>
    <t>25840</t>
  </si>
  <si>
    <t>Wilson, NC Micro Area</t>
  </si>
  <si>
    <t>48980</t>
  </si>
  <si>
    <t>Ottumwa, IA Micro Area</t>
  </si>
  <si>
    <t>36900</t>
  </si>
  <si>
    <t>Elko, NV Micro Area</t>
  </si>
  <si>
    <t>21220</t>
  </si>
  <si>
    <t>Madisonville, KY Micro Area</t>
  </si>
  <si>
    <t>31580</t>
  </si>
  <si>
    <t>Auburn, IN Micro Area</t>
  </si>
  <si>
    <t>12140</t>
  </si>
  <si>
    <t>Mount Pleasant, MI Micro Area</t>
  </si>
  <si>
    <t>34380</t>
  </si>
  <si>
    <t>Martinsville, VA Micro Area</t>
  </si>
  <si>
    <t>32300</t>
  </si>
  <si>
    <t>Amsterdam, NY Micro Area</t>
  </si>
  <si>
    <t>11220</t>
  </si>
  <si>
    <t>Sidney, OH Micro Area</t>
  </si>
  <si>
    <t>43380</t>
  </si>
  <si>
    <t>Danville, IL Micro Area</t>
  </si>
  <si>
    <t>19180</t>
  </si>
  <si>
    <t>Marion, OH Micro Area</t>
  </si>
  <si>
    <t>32020</t>
  </si>
  <si>
    <t>Dodge City, KS Micro Area</t>
  </si>
  <si>
    <t>19980</t>
  </si>
  <si>
    <t>Frankfort, IN Micro Area</t>
  </si>
  <si>
    <t>23140</t>
  </si>
  <si>
    <t>Ottawa, KS Micro Area</t>
  </si>
  <si>
    <t>36840</t>
  </si>
  <si>
    <t>Sedalia, MO Micro Area</t>
  </si>
  <si>
    <t>42740</t>
  </si>
  <si>
    <t>North Wilkesboro, NC Micro Area</t>
  </si>
  <si>
    <t>35900</t>
  </si>
  <si>
    <t>Lumberton, NC Micro Area</t>
  </si>
  <si>
    <t>31300</t>
  </si>
  <si>
    <t>Cedartown, GA Micro Area</t>
  </si>
  <si>
    <t>16340</t>
  </si>
  <si>
    <t>Mount Airy, NC Micro Area</t>
  </si>
  <si>
    <t>34340</t>
  </si>
  <si>
    <t>Gaffney, SC Micro Area</t>
  </si>
  <si>
    <t>23500</t>
  </si>
  <si>
    <t>Findlay, OH Micro Area</t>
  </si>
  <si>
    <t>22300</t>
  </si>
  <si>
    <t>Sanford, NC Micro Area</t>
  </si>
  <si>
    <t>41820</t>
  </si>
  <si>
    <t>Marion, NC Micro Area</t>
  </si>
  <si>
    <t>32000</t>
  </si>
  <si>
    <t>Calhoun, GA Micro Area</t>
  </si>
  <si>
    <t>15660</t>
  </si>
  <si>
    <t>Marshalltown, IA Micro Area</t>
  </si>
  <si>
    <t>32260</t>
  </si>
  <si>
    <t>Bellefontaine, OH Micro Area</t>
  </si>
  <si>
    <t>13340</t>
  </si>
  <si>
    <t>Jasper, IN Micro Area</t>
  </si>
  <si>
    <t>27540</t>
  </si>
  <si>
    <t>Marion, IN Micro Area</t>
  </si>
  <si>
    <t>31980</t>
  </si>
  <si>
    <t>Summerville, GA Micro Area</t>
  </si>
  <si>
    <t>44900</t>
  </si>
  <si>
    <t>Russellville, AL Micro Area</t>
  </si>
  <si>
    <t>40770</t>
  </si>
  <si>
    <t>Vernon, TX Micro Area</t>
  </si>
  <si>
    <t>46900</t>
  </si>
  <si>
    <t>Winchester, TN Micro Area</t>
  </si>
  <si>
    <t>49010</t>
  </si>
  <si>
    <t>Guymon, OK Micro Area</t>
  </si>
  <si>
    <t>25100</t>
  </si>
  <si>
    <t>Effingham, IL Micro Area</t>
  </si>
  <si>
    <t>20820</t>
  </si>
  <si>
    <t>Blytheville, AR Micro Area</t>
  </si>
  <si>
    <t>14180</t>
  </si>
  <si>
    <t>Owatonna, MN Micro Area</t>
  </si>
  <si>
    <t>36940</t>
  </si>
  <si>
    <t>Lebanon, MO Micro Area</t>
  </si>
  <si>
    <t>30060</t>
  </si>
  <si>
    <t>Laurinburg, NC Micro Area</t>
  </si>
  <si>
    <t>29900</t>
  </si>
  <si>
    <t>Kinston, NC Micro Area</t>
  </si>
  <si>
    <t>28820</t>
  </si>
  <si>
    <t>Liberal, KS Micro Area</t>
  </si>
  <si>
    <t>30580</t>
  </si>
  <si>
    <t>Rockingham, NC Micro Area</t>
  </si>
  <si>
    <t>40460</t>
  </si>
  <si>
    <t>Crawfordsville, IN Micro Area</t>
  </si>
  <si>
    <t>18820</t>
  </si>
  <si>
    <t>Greensburg, IN Micro Area</t>
  </si>
  <si>
    <t>24700</t>
  </si>
  <si>
    <t>Greeneville, TN Micro Area</t>
  </si>
  <si>
    <t>24620</t>
  </si>
  <si>
    <t>Talladega-Sylacauga, AL Micro Area</t>
  </si>
  <si>
    <t>45180</t>
  </si>
  <si>
    <t>Pella, IA Micro Area</t>
  </si>
  <si>
    <t>37800</t>
  </si>
  <si>
    <t>Seymour, IN Micro Area</t>
  </si>
  <si>
    <t>42980</t>
  </si>
  <si>
    <t>Muscatine, IA Micro Area</t>
  </si>
  <si>
    <t>34700</t>
  </si>
  <si>
    <t>Jefferson, GA Micro Area</t>
  </si>
  <si>
    <t>27600</t>
  </si>
  <si>
    <t>Wilmington, OH Micro Area</t>
  </si>
  <si>
    <t>48940</t>
  </si>
  <si>
    <t>Mount Vernon, IL Micro Area</t>
  </si>
  <si>
    <t>34500</t>
  </si>
  <si>
    <t>Dumas, TX Micro Area</t>
  </si>
  <si>
    <t>20300</t>
  </si>
  <si>
    <t>Raymondville, TX Micro Area</t>
  </si>
  <si>
    <t>39700</t>
  </si>
  <si>
    <t>Los Alamos, NM Micro Area</t>
  </si>
  <si>
    <t>31060</t>
  </si>
  <si>
    <t>Cutoff definition</t>
  </si>
  <si>
    <t>How derived</t>
  </si>
  <si>
    <t>&lt;100</t>
  </si>
  <si>
    <t>Sum of enterprise classes &lt;5 + 5–9 + 10–19 + 20–99 ÷ U.S. total</t>
  </si>
  <si>
    <t>&lt;500 (SBA)</t>
  </si>
  <si>
    <t>Published cumulative class firms &lt;500 ÷ U.S. total</t>
  </si>
  <si>
    <t>Published / residual class firms 500+ ÷ U.S. total</t>
  </si>
  <si>
    <t>U.S. total employment</t>
  </si>
  <si>
    <t>ACS 2024 (usually WFH)</t>
  </si>
  <si>
    <t>ATUS 2024 (any work at home on days worked)</t>
  </si>
  <si>
    <t>ABS 2023 (share of firms with any WFH employees)</t>
  </si>
  <si>
    <t>Definition (do not mix)</t>
  </si>
  <si>
    <t>Percent of workers 16+ whose usual means of transportation to work was “Worked from home” (journey-to-work). Headline US rate: 13.3%.</t>
  </si>
  <si>
    <t>Percent of employed persons (15+) who did any work at home on days they worked. US overall on that question: 32.5%. Seniority figures are proxies (occupation, earnings, education), not job titles.</t>
  </si>
  <si>
    <t>Percent of employer FIRMS that had any employees who worked from home (EMPSZFI &lt;500 vs 500+). Not a worker rate. Firms &lt;500: 35.8%; firms 500+: 77.5%.</t>
  </si>
  <si>
    <t>U.S. Bureau of Labor Statistics</t>
  </si>
  <si>
    <t>American Community Survey (ACS) 1-Year Estimates Detailed Tables</t>
  </si>
  <si>
    <t>American Time Use Survey (ATUS)</t>
  </si>
  <si>
    <t>Annual Business Survey (ABS) Characteristics of Businesses</t>
  </si>
  <si>
    <t>Table / file</t>
  </si>
  <si>
    <t>B08301 Means of Transportation to Work</t>
  </si>
  <si>
    <t>Tables 6 and 7, 2024 annual averages (news release)</t>
  </si>
  <si>
    <t>ABSCB2023.AB2300CSCB04 (Sex/Ethnicity/Race/Veteran × Employment Size of Firm)</t>
  </si>
  <si>
    <t>2024</t>
  </si>
  <si>
    <t>2023</t>
  </si>
  <si>
    <t>Exact question / variable</t>
  </si>
  <si>
    <t>B08301_021E Worked from home / B08301_001E Total; universe = Workers 16 years and over; usually worked from home as means of transportation to work (journey-to-work)</t>
  </si>
  <si>
    <t>Employed persons who worked at home on an average day as percent of employed persons who worked on an average day; 'Working at home' includes any time persons did work at home and is not restricted to persons whose usual workplace is their home. Persons 15+. Table 6: education / full- vs part-time. Table 7: occupation / usual weekly earnings quartiles (full-time wage and salary, single jobholders).</t>
  </si>
  <si>
    <t>QDESC=B28 WORKHOME; BUSCHAR=EWA 'Business had employees who worked from home' as percent of BUSCHAR=EWTR 'Total reporting' (FIRMPDEMP_PCT). EMPSZFI 655 = firms with less than 500 employees; 657 = firms with 500 employees or more. Firm-level (had any WFH employees), not worker WFH rate.</t>
  </si>
  <si>
    <t>URL used</t>
  </si>
  <si>
    <t>https://api.censusreporter.org/1.0/data/show/latest?table_ids=B08301&amp;geo_ids=040%7C01000US,01000US</t>
  </si>
  <si>
    <t>https://www.bls.gov/news.release/archives/atus_06262025.htm</t>
  </si>
  <si>
    <t>https://www2.census.gov/programs-surveys/abs/data/2023/AB2300CSCB04.zip</t>
  </si>
  <si>
    <t>Secondary URL</t>
  </si>
  <si>
    <t>https://data.census.gov/table/ACSDT1Y2024.B08301</t>
  </si>
  <si>
    <t>https://www.bls.gov/news.release/archives/atus_06262025.pdf</t>
  </si>
  <si>
    <t>https://data.census.gov/table/ABSCB2023.AB2300CSCB04</t>
  </si>
  <si>
    <t>Funded by</t>
  </si>
  <si>
    <t>U.S. Census Bureau (federal statistical agency)</t>
  </si>
  <si>
    <t>U.S. Bureau of Labor Statistics (federal statistical agency)</t>
  </si>
  <si>
    <t>Confidence</t>
  </si>
  <si>
    <t>high</t>
  </si>
  <si>
    <t>Pulled via Census Reporter API wrapping ACS 2024 1-year release (release id acs2024_1yr). Direct api.census.gov calls required a key; counts match ACS table B08301.</t>
  </si>
  <si>
    <t>Different metric than ACS usually-WFH. Do not mix with ACS state rates in one comparison. Job level (VP vs IC) is not published; occupation and earnings quartiles are seniority proxies only.</t>
  </si>
  <si>
    <t>FTP YEAR field = 2023. Table notes on data.census.gov. This is not a worker telework rate and is not interchangeable with ACS/ATUS. SBA-style &lt;500 vs 500+ bins are published as EMPSZFI 655 and 657.</t>
  </si>
  <si>
    <t>Chtr Work from Home Rates (chtr-work-from-home-rates.canvas.tsx)</t>
  </si>
  <si>
    <t>Same canvas — ATUS section only</t>
  </si>
  <si>
    <t>Same canvas — ABS firm-size section only</t>
  </si>
  <si>
    <t>Source CSVs / script</t>
  </si>
  <si>
    <t>Analysis/work-from-home/out/acs2024_wfh_by_state.csv · build_wfh_rates.py (CSV is source of truth if canvas differs)</t>
  </si>
  <si>
    <t>Analysis/work-from-home/out/atus2024_work_at_home_breaks.csv</t>
  </si>
  <si>
    <t>Analysis/work-from-home/out/abs2023_workhome_by_firm_size.csv</t>
  </si>
  <si>
    <t>United States = ACS national rate. States = all 50+DC sorted by rate.</t>
  </si>
  <si>
    <t>Seniority proxies = ATUS breaks; column is the ATUS question.</t>
  </si>
  <si>
    <t>Firm size = ABS &lt;500 vs 500+ share of firms (EMPSZFI 655 / 657).</t>
  </si>
  <si>
    <t>Usually WFH (numerator)</t>
  </si>
  <si>
    <t>Workers 16+ (denominator)</t>
  </si>
  <si>
    <t>Usually WFH % (exhibit, 1 decimal)</t>
  </si>
  <si>
    <t>Usually WFH % (full precision)</t>
  </si>
  <si>
    <t>Table</t>
  </si>
  <si>
    <t>Question / variable</t>
  </si>
  <si>
    <t>Rank (by WFH rate)</t>
  </si>
  <si>
    <t>Workers 16+ (base)</t>
  </si>
  <si>
    <t>Worked from home</t>
  </si>
  <si>
    <t>Break type</t>
  </si>
  <si>
    <t>Group</t>
  </si>
  <si>
    <t>Source table</t>
  </si>
  <si>
    <t>Percent who did any work at home on days they worked (% of employed persons who worked on an average day) — exhibit (1 decimal)</t>
  </si>
  <si>
    <t>Percent who did any work at home on days they worked (% of employed persons who worked on an average day) — full precision</t>
  </si>
  <si>
    <t>Worked at home (000s)</t>
  </si>
  <si>
    <t>Worked on average day (000s)</t>
  </si>
  <si>
    <t>Total employed (000s)</t>
  </si>
  <si>
    <t>Seniority proxy?</t>
  </si>
  <si>
    <t>Secondary URL (PDF)</t>
  </si>
  <si>
    <t>overall</t>
  </si>
  <si>
    <t>Total, 15 years and over</t>
  </si>
  <si>
    <t>Table 6</t>
  </si>
  <si>
    <t>No</t>
  </si>
  <si>
    <t>occupation</t>
  </si>
  <si>
    <t>Management, business, and financial operations</t>
  </si>
  <si>
    <t>Table 7</t>
  </si>
  <si>
    <t>Yes</t>
  </si>
  <si>
    <t>Professional and related</t>
  </si>
  <si>
    <t>Service</t>
  </si>
  <si>
    <t>earnings_quartile</t>
  </si>
  <si>
    <t>$1,971 and higher (highest quartile)</t>
  </si>
  <si>
    <t>$0 – $840 (lowest quartile)</t>
  </si>
  <si>
    <t>education</t>
  </si>
  <si>
    <t>Bachelor's degree and higher</t>
  </si>
  <si>
    <t>High school graduates, no college</t>
  </si>
  <si>
    <t>hours</t>
  </si>
  <si>
    <t>Full-time workers</t>
  </si>
  <si>
    <t>Part-time workers</t>
  </si>
  <si>
    <t>Less than a high school diploma</t>
  </si>
  <si>
    <t>Some college or associate degree</t>
  </si>
  <si>
    <t>Bachelor's degree only</t>
  </si>
  <si>
    <t>Advanced degree</t>
  </si>
  <si>
    <t>Sales and related</t>
  </si>
  <si>
    <t>Office and administrative support</t>
  </si>
  <si>
    <t>Construction and extraction</t>
  </si>
  <si>
    <t>Production</t>
  </si>
  <si>
    <t>Transportation and material moving</t>
  </si>
  <si>
    <t>$841 – $1,250</t>
  </si>
  <si>
    <t>$1,251 – $1,970</t>
  </si>
  <si>
    <t>EMPSZFI code</t>
  </si>
  <si>
    <t>Employment size of firm</t>
  </si>
  <si>
    <t>BUSCHAR</t>
  </si>
  <si>
    <t>Business characteristic</t>
  </si>
  <si>
    <t>% of employer firms (exhibit, 1 decimal)</t>
  </si>
  <si>
    <t>% of employer firms (full / recomputed)</t>
  </si>
  <si>
    <t>Employer firms</t>
  </si>
  <si>
    <t>Employees</t>
  </si>
  <si>
    <t>% of employees</t>
  </si>
  <si>
    <t>Note</t>
  </si>
  <si>
    <t>655</t>
  </si>
  <si>
    <t>Firms with less than 500 employees</t>
  </si>
  <si>
    <t>EWA</t>
  </si>
  <si>
    <t>Business had employees who worked from home</t>
  </si>
  <si>
    <t>Share of firms (not workers) that had any employees who worked from home</t>
  </si>
  <si>
    <t>EWN</t>
  </si>
  <si>
    <t>Business did not have employees who worked from home</t>
  </si>
  <si>
    <t>Complement: firms that did not have WFH employees</t>
  </si>
  <si>
    <t>EWTR</t>
  </si>
  <si>
    <t>Total reporting</t>
  </si>
  <si>
    <t>Total reporting denominator for the firm-size bin</t>
  </si>
  <si>
    <t>657</t>
  </si>
  <si>
    <t>Firms with 500 employees or more</t>
  </si>
  <si>
    <t>Brokerage Metrics — Employee Health &amp; Benefits broker-channel core metrics register</t>
  </si>
  <si>
    <t>Chtr EHB Broker Channel Core Metrics (chtr-ehb-broker-channel-core-metrics.canvas.tsx)</t>
  </si>
  <si>
    <t>What this register is</t>
  </si>
  <si>
    <t>DRAFT metric register for whether insurance brokers can put employee home internet inside Employee Health &amp; Benefits. Sequences what to measure next. Not a launch recommendation. No TAM.</t>
  </si>
  <si>
    <t>Offering under test</t>
  </si>
  <si>
    <t>Insurance brokerage firms include employee home connectivity in the benefits offering they already sell to employers. The motion only counts when a residential Spectrum Internet account opens at the employee’s home.</t>
  </si>
  <si>
    <t>Naming collision</t>
  </si>
  <si>
    <t>Repo folder Decisions/EH&amp;B means existing homes and businesses on plant already built. This register uses Employee Health &amp; Benefits (insurance).</t>
  </si>
  <si>
    <t>Cheapest kill question</t>
  </si>
  <si>
    <t>In the pilot states, may the insurance brokerage firm place or enroll Spectrum residential Internet as an employer benefit — or is that legally blocked so the broker can only refer?</t>
  </si>
  <si>
    <t>Kill follow-up</t>
  </si>
  <si>
    <t>One counsel memo. If the answer is no and no compliant referral/enrollment design survives, stop before footprint matching, take-up pilots, or contribution math. If yes only as referral, redesign the channel before sizing broker economics as if they were the seller.</t>
  </si>
  <si>
    <t>Blank metrics</t>
  </si>
  <si>
    <t>M-metrics without a repo number are blank on purpose. Do not invent commissions, take-up, serviceable-home %, already-Spectrum share, stipend prevalence, contribution dollars, subsidy/wholesale rates, or legal authority (flagged Unverified, not asserted).</t>
  </si>
  <si>
    <t>Cited SUSB figures (canvas)</t>
  </si>
  <si>
    <t>US payroll employment 45.9% at firms &lt;500 and 54.1% at 500+; states Montana 66.3% to Florida 39.6%; 387-metro median 49.8%. Source path on canvas: Analysis/small-large-employment/out/summary.json. Canvas does not include a Census URL.</t>
  </si>
  <si>
    <t>Cited WFH figures (canvas)</t>
  </si>
  <si>
    <t>ACS 2024 usually WFH 13.3% US (D.C. 22.9% to Mississippi 6.2%); ATUS 2024 any work at home on days worked 32.5% (management/business 48.1% vs service 10.5%); ABS 2023 share of firms with any WFH employees 35.8% (&lt;500) vs 77.5% (500+). Source path on canvas: Analysis/work-from-home/out/summary.json. Canvas does not include agency URLs.</t>
  </si>
  <si>
    <t>Core metrics = eight 'Core next' pulls. Later / demoted = 'Later' cut. Already in hand = figures the canvas reused (cite only). Notes = register framing.</t>
  </si>
  <si>
    <t>Source line on canvas</t>
  </si>
  <si>
    <t>Source for in-repo rates: Analysis/small-large-employment/out/summary.json; Analysis/work-from-home/out/summary.json. All other values intentionally blank.</t>
  </si>
  <si>
    <t>Metric name</t>
  </si>
  <si>
    <t>Decision it gates</t>
  </si>
  <si>
    <t>Definition (numerator / denominator / unit)</t>
  </si>
  <si>
    <t>In repo?</t>
  </si>
  <si>
    <t>Value (only if canvas cites a number)</t>
  </si>
  <si>
    <t>Cheap vs expensive</t>
  </si>
  <si>
    <t>Status</t>
  </si>
  <si>
    <t>Cut</t>
  </si>
  <si>
    <t>Source / where</t>
  </si>
  <si>
    <t>M10</t>
  </si>
  <si>
    <t>Broker authority to place the product (unverified)</t>
  </si>
  <si>
    <t>Whether the broker channel is even allowed to sell or place residential internet as a benefit</t>
  </si>
  <si>
    <t>Binary by state in the pilot set: may the insurance brokerage firm place / enroll Spectrum residential Internet as an employer benefit (or only introduce / refer)? Document carrier-of-record vs broker-of-record. Mark result pass/fail per state — not a percent.</t>
  </si>
  <si>
    <t>Cheap</t>
  </si>
  <si>
    <t>Unverified</t>
  </si>
  <si>
    <t>Core next</t>
  </si>
  <si>
    <t>6 · Broker motive</t>
  </si>
  <si>
    <t>Not researched in this draft. Must verify with counsel / compliance; do not treat “brokers sell benefits” as permission to sell telecom.</t>
  </si>
  <si>
    <t>M12</t>
  </si>
  <si>
    <t>Benefits-admin provisioning path</t>
  </si>
  <si>
    <t>Whether enrollment can open an ISP account without a second, broken workflow</t>
  </si>
  <si>
    <t>Binary: can the benefits administration platform pass address + consent to Charter and receive serviceable / not-serviceable / account-created statuses? Success rate in a sandbox: successful provisions ÷ enrollment attempts with complete data.</t>
  </si>
  <si>
    <t>Must pull</t>
  </si>
  <si>
    <t>Not in repo. Source: one platform partner technical spike (days to weeks).</t>
  </si>
  <si>
    <t>M1</t>
  </si>
  <si>
    <t>Broker-placed covered lives in Spectrum states</t>
  </si>
  <si>
    <t>Whether a broker book even reaches employers Charter could serve</t>
  </si>
  <si>
    <t>Numerator: employees covered by broker-placed medical (or full benefits) for employers with at least one worksite in a Spectrum service state. Denominator: all employees on that broker’s book. Unit: percent of covered lives; also absolute lives.</t>
  </si>
  <si>
    <t>1 · Broker reach</t>
  </si>
  <si>
    <t>Not in repo. Likely: partner broker book extract; industry context from Kaiser Family Foundation Employer Health Benefits Survey (broker vs direct is often incomplete) or broker RFP data.</t>
  </si>
  <si>
    <t>M2</t>
  </si>
  <si>
    <t>Large-broker concentration of that book</t>
  </si>
  <si>
    <t>Whether a few national brokers can move volume or the channel is fragmented</t>
  </si>
  <si>
    <t>Numerator: covered lives at the top N broker firms (e.g., top 5 / top 10). Denominator: total broker-placed covered lives in the same geography. Unit: percent.</t>
  </si>
  <si>
    <t>Not in repo. Likely: Business Insurance broker rankings (revenue, not lives) plus partner disclosure — revenue rank is a proxy only.</t>
  </si>
  <si>
    <t>M5</t>
  </si>
  <si>
    <t>Serviceable-home share of enrolled employees</t>
  </si>
  <si>
    <t>Whether Spectrum can actually fulfill the benefit at the employee’s address</t>
  </si>
  <si>
    <t>Numerator: enrolled (or broker-covered) employees whose residential address passes a Spectrum residential serviceability check. Denominator: enrolled / covered employees in the pilot book who supply a home address. Unit: percent. Hard fail for out-of-footprint homes.</t>
  </si>
  <si>
    <t>Expensive</t>
  </si>
  <si>
    <t>3 · Footprint</t>
  </si>
  <si>
    <t>Not in repo. Earlier benefits-analogy draft named footprint mismatch as a hard constraint; SUSB summary also flags no official 41-state list applied. Source: Charter plant / addressability systems × employer or broker address file.</t>
  </si>
  <si>
    <t>M6</t>
  </si>
  <si>
    <t>Already-adequate broadband among serviceable homes</t>
  </si>
  <si>
    <t>Whether the offering meets an unserved need or only discounts a line the household already buys</t>
  </si>
  <si>
    <t>Numerator: serviceable employees who already have home broadband meeting a stated adequacy bar (speed/reliability threshold written in advance). Denominator: serviceable employees. Sub-cut: already Spectrum residential (cannibalization) vs other ISP (win-back / switch) vs no adequate service (true add).</t>
  </si>
  <si>
    <t>Moderate</t>
  </si>
  <si>
    <t>4 · Need vs discount</t>
  </si>
  <si>
    <t>Not in repo. Likely: employee opt-in survey at enrollment; Charter billing match for Spectrum subset; FCC National Broadband Map is address-level availability, not subscription.</t>
  </si>
  <si>
    <t>M9</t>
  </si>
  <si>
    <t>Payor model and enrollment take-up</t>
  </si>
  <si>
    <t>Whether employers and employees will treat home internet as a benefit people actually elect</t>
  </si>
  <si>
    <t>Design: share of pilot employers choosing employer-paid vs employee-paid voluntary. Take-up: enrolled internet accounts ÷ eligible employees offered the benefit, by payor model. Unit: percent. Do not invent a rate — measure in a time-boxed pilot.</t>
  </si>
  <si>
    <t>5 · Take-up</t>
  </si>
  <si>
    <t>Not in repo. No public take-up rate for this product exists here; pilot is the source.</t>
  </si>
  <si>
    <t>M13</t>
  </si>
  <si>
    <t>Net new residential Internet accounts from the channel</t>
  </si>
  <si>
    <t>Whether Charter’s Internet print moves, not just gross benefit enrollments</t>
  </si>
  <si>
    <t>Numerator: new Spectrum residential Internet customer relationships attributable to the benefit that were not active Spectrum residential at t−1. Denominator: benefit enrollments (or eligible serviceable employees). Unit: accounts and percent. Transfers of existing Spectrum accounts count as retention/transfer, not net adds.</t>
  </si>
  <si>
    <t>7 · Charter economics</t>
  </si>
  <si>
    <t>Not in repo. Requires billing match; no dollar model until this and M14 inputs exist.</t>
  </si>
  <si>
    <t>Reason demoted</t>
  </si>
  <si>
    <t>M3</t>
  </si>
  <si>
    <t>Small-firm vs large-firm mix of broker-placed lives</t>
  </si>
  <si>
    <t>Whether the broker channel skews toward employers whose workforce mix matches the offering design</t>
  </si>
  <si>
    <t>Numerator: broker-placed covered lives at employers with &lt;500 employees (enterprise). Denominator: all broker-placed covered lives in scope. Unit: percent. Distinct from SUSB payroll employment shares.</t>
  </si>
  <si>
    <t>Later</t>
  </si>
  <si>
    <t>Not in repo. SUSB employment shares (Analysis/small-large-employment/out/summary.json) measure the labor market, not who buys benefits through a broker.</t>
  </si>
  <si>
    <t>Demoted relative to M6. Employment shares already show small and large firms both matter; hold M3 until a pilot broker is named. Pull M1 and M2 next.</t>
  </si>
  <si>
    <t>M7</t>
  </si>
  <si>
    <t>Existing employer connectivity stipend prevalence</t>
  </si>
  <si>
    <t>Whether employers already fund home internet outside benefits brokers</t>
  </si>
  <si>
    <t>Numerator: employers in the broker book that already pay a home-internet or remote-work stipend. Denominator: employers in that book (or covered lives under those employers). Unit: percent of employers and percent of lives.</t>
  </si>
  <si>
    <t>Not in repo. Likely: broker client survey or benefits RFP fields; SHRM / Mercer benefits benchmarking (check who funded the survey before citing).</t>
  </si>
  <si>
    <t>Stipends refine design after M6 (already-adequate broadband among serviceable homes).</t>
  </si>
  <si>
    <t>M8</t>
  </si>
  <si>
    <t>Competitive home-internet presence at serviceable addresses</t>
  </si>
  <si>
    <t>Whether Spectrum is the only practical home option or one of several</t>
  </si>
  <si>
    <t>Numerator: serviceable employee homes with terrestrial fiber and/or fixed wireless also available at stated speed thresholds. Denominator: Spectrum-serviceable employee homes. Unit: percent. Overlap shares in filings (~27% AT&amp;T / ~16% Verizon of Charter plant) are footprint mix, not this employee-address metric.</t>
  </si>
  <si>
    <t>Not in repo as an employee-address rate. Plant-level overlap is in Decisions materials; do not substitute plant mix for employee homes.</t>
  </si>
  <si>
    <t>Competitive presence refines design after M6. Plant-level overlap (~27% AT&amp;T / ~16% Verizon of Charter plant) must not stand in for this employee-address metric.</t>
  </si>
  <si>
    <t>M11</t>
  </si>
  <si>
    <t>Broker incremental revenue vs medical commission</t>
  </si>
  <si>
    <t>Whether the broker has a commercial reason to sell it beside core medical</t>
  </si>
  <si>
    <t>Numerator: expected broker compensation per enrolled internet account (fee, override, or admin fee — whatever the contract states). Denominator: broker commission / fee income per covered employee from medical (or full EH&amp;B) for the same employer. Unit: dollars per covered life and ratio. Leave dollars blank until a term sheet exists.</t>
  </si>
  <si>
    <t>Not in repo. Do not invent commission rates. Source: draft broker agreement + broker’s disclosed medical economics for the same book.</t>
  </si>
  <si>
    <t>Waits for a real term sheet — dollars left blank. Do not invent commission rates.</t>
  </si>
  <si>
    <t>M14</t>
  </si>
  <si>
    <t>Contribution per net new account (inputs blank)</t>
  </si>
  <si>
    <t>Whether the channel is worth running after subsidy, broker pay, and job-exit churn</t>
  </si>
  <si>
    <t>Per net new account: residential contribution (revenue − direct cost) − employer/employee subsidy − broker compensation − expected loss from disconnect within N months of employment end. Separate: share of accounts that survive employment exit (numerator: still active 90 days after job end; denominator: accounts whose employee left). Values left blank — inputs not in repo.</t>
  </si>
  <si>
    <t>Not in repo. Mobile is not the Internet engine (Root C / decisions overview); do not credit mobile adds against this line.</t>
  </si>
  <si>
    <t>Values left blank — inputs not in repo. Count net new residential Internet accounts (M13) before any dollar model.</t>
  </si>
  <si>
    <t>M15</t>
  </si>
  <si>
    <t>Work disruption from failed home connectivity</t>
  </si>
  <si>
    <t>Whether the Employee Health &amp; Benefits productivity claim can be evidenced without monitoring the pipe</t>
  </si>
  <si>
    <t>Numerator: employee-reported remote-work days with connectivity failure that blocked work (or ticketed outage hours on remote days). Denominator: remote-work days in the period. Unit: rate or hours. Opt-in survey / IT tickets only — provisioning must not depend on monitoring how employees use the connection (privacy constraint from prior analogy draft).</t>
  </si>
  <si>
    <t>8 · Claim credibility</t>
  </si>
  <si>
    <t>Not in repo. Demonstrated only after a pilot; plausible before that.</t>
  </si>
  <si>
    <t>Outcomes only become decidable after accounts exist. Privacy: proof cannot depend on monitoring how employees use the connection. Run after a provisioning pilot clears M5, M6, M9, and M12 — not as the first research spend.</t>
  </si>
  <si>
    <t>M16</t>
  </si>
  <si>
    <t>Retention or recruiting lift where connectivity is offered</t>
  </si>
  <si>
    <t>Whether employers see a workforce outcome worth paying for</t>
  </si>
  <si>
    <t>Compare offer vs control employers (or pre/post): voluntary quit rate, offer-accept rate, or time-to-fill for hybrid-eligible roles. Unit: percentage-point difference. Separate demonstrated (measured in pilot) from plausible (hypothesis only).</t>
  </si>
  <si>
    <t>Not in repo. Expensive; only decisive after accounts exist.</t>
  </si>
  <si>
    <t>Outcomes only become decidable after accounts exist. Expensive; only decisive after accounts exist. Run after provisioning pilot clears M5, M6, M9, and M12.</t>
  </si>
  <si>
    <t>Figure (as on canvas)</t>
  </si>
  <si>
    <t>Value</t>
  </si>
  <si>
    <t>Source cited on canvas</t>
  </si>
  <si>
    <t>Related metric ID</t>
  </si>
  <si>
    <t>SUSB 2022 US payroll employment share at firms &lt;500</t>
  </si>
  <si>
    <t>45.9%</t>
  </si>
  <si>
    <t>Analysis/small-large-employment/out/summary.json (cited on canvas)</t>
  </si>
  <si>
    <t>Context only (labor market; not M3)</t>
  </si>
  <si>
    <t>SUSB 2022 US payroll employment share at firms 500+</t>
  </si>
  <si>
    <t>54.1%</t>
  </si>
  <si>
    <t>SUSB 2022 state small-firm employment share range</t>
  </si>
  <si>
    <t>Montana 66.3% to Florida 39.6%</t>
  </si>
  <si>
    <t>SUSB 2022 metro median employment share at firms &lt;500</t>
  </si>
  <si>
    <t>49.8% (387 metros)</t>
  </si>
  <si>
    <t>ACS 2024 usually work-from-home (US)</t>
  </si>
  <si>
    <t>13.3%</t>
  </si>
  <si>
    <t>Analysis/work-from-home/out/summary.json (cited on canvas)</t>
  </si>
  <si>
    <t>M4</t>
  </si>
  <si>
    <t>ACS 2024 usually WFH state range</t>
  </si>
  <si>
    <t>D.C. 22.9% to Mississippi 6.2%</t>
  </si>
  <si>
    <t>ATUS 2024 any work at home on days worked (US)</t>
  </si>
  <si>
    <t>32.5%</t>
  </si>
  <si>
    <t>ATUS 2024 management/business vs service (any work at home)</t>
  </si>
  <si>
    <t>48.1% vs 10.5%</t>
  </si>
  <si>
    <t>ABS 2023 share of firms with any WFH employees (&lt;500)</t>
  </si>
  <si>
    <t>35.8%</t>
  </si>
  <si>
    <t>ABS 2023 share of firms with any WFH employees (500+)</t>
  </si>
  <si>
    <t>77.5%</t>
  </si>
  <si>
    <t>M4 metric status</t>
  </si>
  <si>
    <t>Done / cite only — In repo</t>
  </si>
  <si>
    <t>Analysis/work-from-home/out/summary.json and chtr-work-from-home-rates.canvas.tsx — ACS 2024 US 13.3% usually WFH; ATUS 2024 32.5% any work at home on days worked; ABS 2023 firms with WFH employees 35.8% (&lt;500) vs 77.5% (500+).</t>
  </si>
  <si>
    <t>Brokerage Metrics Breakdown — validation of five Employee Health &amp; Benefits broker-channel metrics (M1, M2, M5, M9, M13)</t>
  </si>
  <si>
    <t>Date</t>
  </si>
  <si>
    <t>21 September 2026</t>
  </si>
  <si>
    <t>What this file is</t>
  </si>
  <si>
    <t>A synthesis of five completed metric validations. It records the verdict, the retrieved public figures (with sources), what remains unknown, and any kill implication the validation stated. It is not a TAM, not a launch recommendation, and not a rewrite of the original register.</t>
  </si>
  <si>
    <t>What this file is not</t>
  </si>
  <si>
    <t>Not Decisions/EH&amp;B/Brokerage Metrics.xlsx (that file is the original 16-metric register and is left unchanged). Not a filled M1, M2 lives share, M5 percent, Charter take-up, or M13 channel count.</t>
  </si>
  <si>
    <t>Blanks are intentional</t>
  </si>
  <si>
    <t>Charter take-up, serviceable-home percent of any book, broker-placed lives by state, and M13 channel account counts are blank / not retrieved on purpose. Do not invent them. Do not paste an analogue, a state employment share, or company Internet net adds into those cells.</t>
  </si>
  <si>
    <t>Repo folder Decisions/EH&amp;B means existing homes and businesses on plant already built. This file means Employee Health &amp; Benefits (insurance).</t>
  </si>
  <si>
    <t>Headline verdicts</t>
  </si>
  <si>
    <t>M1 valid — numerator blank. M2 valid — wrong unit (compensation / revenue, not lives). M5 valid — no number. M9 needs split M9a/M9b. M13 valid — tighten to P−E−D.</t>
  </si>
  <si>
    <t>Do not substitute</t>
  </si>
  <si>
    <t>M1: 168.2M/178.2M ESI overlay is not M1; SUSB 45.9% is not M1. M2: PlanOptica 44% and BI 67% are not lives. M5: 94.6% jobs in 42 Charter-present states is an ESTIMATED ceiling, not M5. M9: KFF 76% medical take-up is the wrong analogue; SHRM 2017 5% is an employer offer, not take-up. M13: Q1 2026 residential Internet −117k is company context, not this channel.</t>
  </si>
  <si>
    <t>Notes = this framing. Scorecard = five-row verdict table. M1 / M2 / M5 / M9 / M13 = one sheet per metric (id, name, verdict, definition, retrieved figures with year and source URL, unknowns, kill rule). Analogues = M9 public analogue rates only, labeled as analogues, not Charter take-up.</t>
  </si>
  <si>
    <t>Parent register (unchanged)</t>
  </si>
  <si>
    <t>Decisions/EH&amp;B/Brokerage Metrics.xlsx · Core metrics; canvases/chtr-ehb-broker-channel-core-metrics.canvas.tsx</t>
  </si>
  <si>
    <t>Validation canvases</t>
  </si>
  <si>
    <t>chtr-ehb-m1-broker-covered-lives.canvas.tsx; chtr-ehb-m2-large-broker-concentration.canvas.tsx; chtr-ehb-m5-serviceable-home-share.canvas.tsx; chtr-ehb-m9-payor-takeup.canvas.tsx; chtr-ehb-m13-net-new-residential.canvas.tsx</t>
  </si>
  <si>
    <t>Arithmetic (recomputed in code)</t>
  </si>
  <si>
    <t>Analysis/ehb-broker-metrics/m1/; m2/out/; m5/out/; m9/; m13/</t>
  </si>
  <si>
    <t>Companion PDF</t>
  </si>
  <si>
    <t>Decisions/EH&amp;B/Brokerage Metrics Breakdown.pdf</t>
  </si>
  <si>
    <t>Metric ID</t>
  </si>
  <si>
    <t>Verdict</t>
  </si>
  <si>
    <t>What you can use</t>
  </si>
  <si>
    <t>Specified number</t>
  </si>
  <si>
    <t>Closest retrieved (labeled — not the metric)</t>
  </si>
  <si>
    <t>Source URL / path</t>
  </si>
  <si>
    <t>Valid — numerator blank</t>
  </si>
  <si>
    <t>National ESI scale (KFF / MEPS / EBSA) and Charter 42-state presence. Use as a reach-screen specification, not a filled percent.</t>
  </si>
  <si>
    <t>blank / not retrieved</t>
  </si>
  <si>
    <t>168.2M of 178.2M ESI persons reside in Charter-present states (94.4%) — FLAGGED overlay, not M1. SUSB 45.9% is not M1.</t>
  </si>
  <si>
    <t>https://www.dol.gov/sites/dolgov/files/EBSA/researchers/data/health-and-welfare/health-insurance-coverage-bulletin-2024.pdf</t>
  </si>
  <si>
    <t>Valid — wrong unit</t>
  </si>
  <si>
    <t>PlanOptica 44% top-10 of Form 5500 compensation; Business Insurance 67% top-10 of Top 100 revenue. Directional on how many doors to open. Not a lives share.</t>
  </si>
  <si>
    <t>blank / not retrieved (lives)</t>
  </si>
  <si>
    <t>44.0% PlanOptica top 10 compensation; 67.2% BI top 10 / Top 100 2024 U.S. brokerage revenue. Neither is lives.</t>
  </si>
  <si>
    <t>https://planoptica.com/welfare/broker</t>
  </si>
  <si>
    <t>Valid — no number</t>
  </si>
  <si>
    <t>The hard footprint gate. Specification and kill rule only. Public plant/employment figures are the wrong grain.</t>
  </si>
  <si>
    <t>none — no roster × address match</t>
  </si>
  <si>
    <t>94.6% of SUSB 2022 jobs sit in 42 Charter-present jurisdictions — ESTIMATED ceiling, not M5. Plant share Hawaii 92.3% to Rhode Island 0.02%.</t>
  </si>
  <si>
    <t>https://broadbandmap.fcc.gov/data-download</t>
  </si>
  <si>
    <t>Needs split M9a / M9b</t>
  </si>
  <si>
    <t>Keep both tests. Analogues bound a plausible range. Do not headline a blended enrolled/eligible rate. Pilot is the source.</t>
  </si>
  <si>
    <t>blank / not retrieved (Charter take-up)</t>
  </si>
  <si>
    <t>SHRM 2017 5% of employers offered subsidized home Internet (offer, not take-up). KFF 2025 76% medical take-up is the wrong analogue.</t>
  </si>
  <si>
    <t>https://www.shrm.org/content/dam/en/shrm/topics-tools/news/organizational-employee-development/Benefits-Prevalence-Report-All-Industries-All-FTEs.pdf</t>
  </si>
  <si>
    <t>Valid — tighten to P−E−D</t>
  </si>
  <si>
    <t>Account count: path-tagged provisions minus existing/payer-only minus same-window job-exit disconnects. Requires billing tags. Not enrollments.</t>
  </si>
  <si>
    <t>blank / not retrieved (channel accounts)</t>
  </si>
  <si>
    <t>Company residential Internet net adds Q1 2026 = −117,000 (Ex99.1). Context that Charter already reports this unit. Not this channel.</t>
  </si>
  <si>
    <t>PrimarySources/readable/CHTR-Q1-2026-Earnings-Release-Ex99.1.md</t>
  </si>
  <si>
    <t>Block</t>
  </si>
  <si>
    <t>Item</t>
  </si>
  <si>
    <t>Identity</t>
  </si>
  <si>
    <t>DEFINITION</t>
  </si>
  <si>
    <t>chtr-ehb-broker-channel-core-metrics.canvas.tsx</t>
  </si>
  <si>
    <t>Parent register: Decisions/EH&amp;B/Brokerage Metrics.xlsx Core metrics M1</t>
  </si>
  <si>
    <t>V1</t>
  </si>
  <si>
    <t>Verdict on M1 as specified</t>
  </si>
  <si>
    <t>valid-with-caveats — numerator blank</t>
  </si>
  <si>
    <t>ESTIMATED</t>
  </si>
  <si>
    <t>chtr-ehb-m1-broker-covered-lives.canvas.tsx</t>
  </si>
  <si>
    <t>Must match Analysis/ehb-broker-metrics/m1/summary.json</t>
  </si>
  <si>
    <t>S1</t>
  </si>
  <si>
    <t>Numerator</t>
  </si>
  <si>
    <t>Employees whose employer has a worksite in a Charter-present state (FCC BDC D25, provider_id 130235)</t>
  </si>
  <si>
    <t>Also report the stricter employee-home-state cut when an address file exists. Presence is not home serviceability (that is M5).</t>
  </si>
  <si>
    <t>S2</t>
  </si>
  <si>
    <t>Denominator</t>
  </si>
  <si>
    <t>All employees on that named broker’s US medical book</t>
  </si>
  <si>
    <t>Decisions/EH&amp;B/Brokerage Metrics.xlsx</t>
  </si>
  <si>
    <t>US ESI is not the denominator. Industry-level M1 needs a named book.</t>
  </si>
  <si>
    <t>S3</t>
  </si>
  <si>
    <t>Unit</t>
  </si>
  <si>
    <t>Covered employees enrolled in broker-placed medical; dependents reported separately as lives</t>
  </si>
  <si>
    <t>Do not mix employees and dependents.</t>
  </si>
  <si>
    <t>A3</t>
  </si>
  <si>
    <t>Charter-present states</t>
  </si>
  <si>
    <t>42</t>
  </si>
  <si>
    <t>2025-12-31</t>
  </si>
  <si>
    <t>DERIVED from RETRIEVED</t>
  </si>
  <si>
    <t>Any reported residential availability. Absent: AK, IA, ND, OK, SD, AR, DE, UT + DC.</t>
  </si>
  <si>
    <t>A4</t>
  </si>
  <si>
    <t>Charter-lead states</t>
  </si>
  <si>
    <t>19</t>
  </si>
  <si>
    <t>Strictly larger res_st_pct than Comcast. Lead is availability share, not serviceable homes.</t>
  </si>
  <si>
    <t>Retrieved — not M1</t>
  </si>
  <si>
    <t>C5</t>
  </si>
  <si>
    <t>Private-sector workers enrolled at own employer</t>
  </si>
  <si>
    <t>65.6 million workers</t>
  </si>
  <si>
    <t>https://meps.ahrq.gov/data_files/publications/rf54/rf54.pdf</t>
  </si>
  <si>
    <t>AHRQ MEPS-IC Research Findings 54. Own-employer enrollment, not broker-placed, not by state.</t>
  </si>
  <si>
    <t>C4</t>
  </si>
  <si>
    <t>Workers covered through a current employer</t>
  </si>
  <si>
    <t>82.8 million workers</t>
  </si>
  <si>
    <t>CY2023</t>
  </si>
  <si>
    <t>EBSA CPS bulletin. Employees, still all ESI.</t>
  </si>
  <si>
    <t>C3</t>
  </si>
  <si>
    <t>ESI from own job, under 65</t>
  </si>
  <si>
    <t>85.7 million people</t>
  </si>
  <si>
    <t>Mar 2025</t>
  </si>
  <si>
    <t>https://www.kff.org/health-costs/health-policy-101-employer-sponsored-health-insurance/</t>
  </si>
  <si>
    <t>KFF / CPS ASEC. People, not a broker book.</t>
  </si>
  <si>
    <t>B1</t>
  </si>
  <si>
    <t>Persons with any ESI</t>
  </si>
  <si>
    <t>178.2 million persons</t>
  </si>
  <si>
    <t>EBSA Table 1A. Includes dependents, retiree, COBRA.</t>
  </si>
  <si>
    <t>B2</t>
  </si>
  <si>
    <t>Sum of Table 1A state ESI cells</t>
  </si>
  <si>
    <t>178.4 million persons</t>
  </si>
  <si>
    <t>DERIVED</t>
  </si>
  <si>
    <t>Bulletin rounding vs printed USA 178.2.</t>
  </si>
  <si>
    <t>B3</t>
  </si>
  <si>
    <t>ESI persons residing in Charter-present states</t>
  </si>
  <si>
    <t>168.2 million persons</t>
  </si>
  <si>
    <t>CY2023 × D25</t>
  </si>
  <si>
    <t>DERIVED — FLAGGED</t>
  </si>
  <si>
    <t>NOT M1. Residence, not worksite. All ESI, not broker-placed.</t>
  </si>
  <si>
    <t>B4</t>
  </si>
  <si>
    <t>ESI persons residing in Charter-absent jurisdictions</t>
  </si>
  <si>
    <t>10.2 million persons</t>
  </si>
  <si>
    <t>NOT M1. Same caveats as B3.</t>
  </si>
  <si>
    <t>B5</t>
  </si>
  <si>
    <t>ESI persons residing in Charter-lead states</t>
  </si>
  <si>
    <t>80.7 million persons</t>
  </si>
  <si>
    <t>NOT M1. 19 lead states.</t>
  </si>
  <si>
    <t>B6</t>
  </si>
  <si>
    <t>B3 / B1 present share of US ESI persons</t>
  </si>
  <si>
    <t>94.4 percent</t>
  </si>
  <si>
    <t>Analysis/ehb-broker-metrics/m1/summary.json</t>
  </si>
  <si>
    <t>NOT M1. Uses printed USA 178.2 as denominator.</t>
  </si>
  <si>
    <t>C1</t>
  </si>
  <si>
    <t>Nonelderly with ESI (ACS hierarchy)</t>
  </si>
  <si>
    <t>154 million people under 65</t>
  </si>
  <si>
    <t>2025</t>
  </si>
  <si>
    <t>https://www.kff.org/health-costs/2025-employer-health-benefits-survey/</t>
  </si>
  <si>
    <t>KFF EHBS (ACS). No broker vs direct split in 2024 or 2025 EHBS. KFF-funded; fielded by Davis Research.</t>
  </si>
  <si>
    <t>C6</t>
  </si>
  <si>
    <t>AHIP employer-provided coverage</t>
  </si>
  <si>
    <t>&gt;180 million Americans</t>
  </si>
  <si>
    <t>2023/24</t>
  </si>
  <si>
    <t>RETRIEVED — AHIP-funded</t>
  </si>
  <si>
    <t>https://www.ahip.org/news/press-releases/new-ahip-report-highlights-indispensability-of-employer-provided-coverage-state-by-state</t>
  </si>
  <si>
    <t>Rounded advocacy total including families.</t>
  </si>
  <si>
    <t>D1</t>
  </si>
  <si>
    <t>Form 5500-filing group health participants</t>
  </si>
  <si>
    <t>~88 million participants</t>
  </si>
  <si>
    <t>https://www.dol.gov/agencies/ebsa/researchers/statistics/retirement-bulletins</t>
  </si>
  <si>
    <t>Filing subset; most small fully insured plans exempt; not broker of record.</t>
  </si>
  <si>
    <t>E1</t>
  </si>
  <si>
    <t>Aon Health Solutions revenue</t>
  </si>
  <si>
    <t>$3.335 billion</t>
  </si>
  <si>
    <t>FY2024</t>
  </si>
  <si>
    <t>https://www.sec.gov/Archives/edgar/data/315293/000162828025006093/aon-20241231.htm</t>
  </si>
  <si>
    <t>Global. Not US covered lives. Not state-split.</t>
  </si>
  <si>
    <t>E2–E4</t>
  </si>
  <si>
    <t>Marsh / WTW / Gallagher covered lives in 10-K</t>
  </si>
  <si>
    <t>blank</t>
  </si>
  <si>
    <t>NOT DISCLOSED</t>
  </si>
  <si>
    <t>https://www.sec.gov/Archives/edgar/data/62709/000006270925000015/mmc-20241231.htm</t>
  </si>
  <si>
    <t>Health businesses described; lives not filed.</t>
  </si>
  <si>
    <t>Specified M1</t>
  </si>
  <si>
    <t>F1</t>
  </si>
  <si>
    <t>Broker-placed lives in Charter-present states</t>
  </si>
  <si>
    <t>NOT RETRIEVED</t>
  </si>
  <si>
    <t>This is M1. Leave blank. Do not allocate national lives by population.</t>
  </si>
  <si>
    <t>F2</t>
  </si>
  <si>
    <t>Share of a named broker book in Charter-present states</t>
  </si>
  <si>
    <t>Denominator is that broker book, not US ESI.</t>
  </si>
  <si>
    <t>Excluded</t>
  </si>
  <si>
    <t>X1</t>
  </si>
  <si>
    <t>SUSB small-firm employment share</t>
  </si>
  <si>
    <t>45.9 percent of US payroll employment at firms &lt;500</t>
  </si>
  <si>
    <t>RETRIEVED elsewhere — DO NOT USE AS M1</t>
  </si>
  <si>
    <t>Analysis/small-large-employment</t>
  </si>
  <si>
    <t>Labor market, not broker-placed covered lives.</t>
  </si>
  <si>
    <t>Unknown</t>
  </si>
  <si>
    <t>U1</t>
  </si>
  <si>
    <t>Broker vs direct (or consultant) split of medical lives</t>
  </si>
  <si>
    <t>not retrieved</t>
  </si>
  <si>
    <t>Every national ESI figure includes carrier-direct and self-administered books.</t>
  </si>
  <si>
    <t>U2</t>
  </si>
  <si>
    <t>Those lives by state of worksite or home</t>
  </si>
  <si>
    <t>Cannot overlap the book with Charter-present / lead / absent. Do not allocate national lives by population.</t>
  </si>
  <si>
    <t>U3</t>
  </si>
  <si>
    <t>Which broker’s book is in scope</t>
  </si>
  <si>
    <t>M1’s denominator is that book, not the US.</t>
  </si>
  <si>
    <t>U4</t>
  </si>
  <si>
    <t>Employee vs dependent</t>
  </si>
  <si>
    <t>AHIP / ACS / Table 1A are people; the offering is an employee home account.</t>
  </si>
  <si>
    <t>Kill rule</t>
  </si>
  <si>
    <t>If a named book has no employers Charter can put a residential Internet account in front of, the channel cannot win Spectrum residential from EH&amp;B. A national book will almost never fail the weak “any worksite in a present state” screen (Charter files in 42 of 50 states). The specified number staying blank is not a hidden yes.</t>
  </si>
  <si>
    <t>Written by the validation, not invented here.</t>
  </si>
  <si>
    <t>Parent register: Decisions/EH&amp;B/Brokerage Metrics.xlsx Core metrics M2</t>
  </si>
  <si>
    <t>Verdict on M2 as specified</t>
  </si>
  <si>
    <t>valid-with-caveats — wrong unit</t>
  </si>
  <si>
    <t>chtr-ehb-m2-large-broker-concentration.canvas.tsx</t>
  </si>
  <si>
    <t>Must match Analysis/ehb-broker-metrics/m2/out/summary.json. Specified unit is lives; public rankings are revenue or compensation.</t>
  </si>
  <si>
    <t>Covered lives at the top N broker firms (register example: top 5 / top 10)</t>
  </si>
  <si>
    <t>N is illustrated, not locked.</t>
  </si>
  <si>
    <t>Total broker-placed covered lives in the same geography as M1 (Spectrum-state book)</t>
  </si>
  <si>
    <t>Public tables are U.S. No Spectrum-state conversion invented.</t>
  </si>
  <si>
    <t>Percent of lives</t>
  </si>
  <si>
    <t>Public proxies are percent of compensation or of Top 100 revenue.</t>
  </si>
  <si>
    <t>S4</t>
  </si>
  <si>
    <t>Gate</t>
  </si>
  <si>
    <t>Changes how many doors to open. Not a product go-live.</t>
  </si>
  <si>
    <t>Retrieved — not lives</t>
  </si>
  <si>
    <t>PlanOptica top 10 share of EH&amp;B Form 5500 compensation</t>
  </si>
  <si>
    <t>44.0 percent</t>
  </si>
  <si>
    <t>Headline EH&amp;B proxy. Compensation, not lives. MMA 7.1 + Gallagher Benefit 5.9 + Lockton 5.8 + Mercer Health 5.0 + USI 4.3 + WTW US 4.3 + Hub Midwest 4.1 + Aon Consulting 2.8 + Alliant 2.5 + Brown &amp; Brown 2.2.</t>
  </si>
  <si>
    <t>PlanOptica top 5 compensation share</t>
  </si>
  <si>
    <t>28.1 percent</t>
  </si>
  <si>
    <t>MMA + Gallagher Benefit + Lockton + Mercer Health + USI.</t>
  </si>
  <si>
    <t>PlanOptica remainder after top 10</t>
  </si>
  <si>
    <t>56.0 percent</t>
  </si>
  <si>
    <t>100 − B2. Table lists 43,129 broker names. Long tail.</t>
  </si>
  <si>
    <t>MMA + Mercer published shares (Marsh parent)</t>
  </si>
  <si>
    <t>12.1 percent</t>
  </si>
  <si>
    <t>Filing names left uncombined on the ranking. Still compensation.</t>
  </si>
  <si>
    <t>Named list Marsh+Gallagher+Lockton+WTW+Aon+NFP</t>
  </si>
  <si>
    <t>32.5 percent</t>
  </si>
  <si>
    <t>Uses B4 plus Gallagher 5.9, Lockton 5.8, WTW US 4.3, Aon Consulting 2.8, NFP 1.6.</t>
  </si>
  <si>
    <t>A5</t>
  </si>
  <si>
    <t>BI top 10 / Top 100 U.S. brokerage revenue</t>
  </si>
  <si>
    <t>67.2 percent (headline 67%)</t>
  </si>
  <si>
    <t>https://communityprod.blob.core.windows.net/public/top_100_2025_bi.pdf</t>
  </si>
  <si>
    <t>A2/A3 = 53.611B / 79.802B = 67.18%. Revenue, not lives. P&amp;C + benefits. Of Top 100, not the market.</t>
  </si>
  <si>
    <t>BI top 5 / Top 100 U.S. brokerage revenue</t>
  </si>
  <si>
    <t>46.7 percent</t>
  </si>
  <si>
    <t>Marsh, Aon, Gallagher, WTW, Alliant.</t>
  </si>
  <si>
    <t>BI Top 100 2024 U.S. brokerage revenue</t>
  </si>
  <si>
    <t>$79.8 billion</t>
  </si>
  <si>
    <t>Business Insurance / Crain; brokers self-report. Excludes firms with &gt;49% personal-lines gross revenue.</t>
  </si>
  <si>
    <t>A2</t>
  </si>
  <si>
    <t>BI Top 10 2024 U.S. brokerage revenue</t>
  </si>
  <si>
    <t>$53.6 billion</t>
  </si>
  <si>
    <t>Adds Brown &amp; Brown, Hub, Lockton, AssuredPartners, USI.</t>
  </si>
  <si>
    <t>A6</t>
  </si>
  <si>
    <t>Marsh+Aon+Gallagher+WTW+Lockton / Top 100</t>
  </si>
  <si>
    <t>44.1 percent</t>
  </si>
  <si>
    <t>NFP inside Aon pro forma.</t>
  </si>
  <si>
    <t>A7</t>
  </si>
  <si>
    <t>MarshBerry citing BI: top 10 of Top 100</t>
  </si>
  <si>
    <t>70 percent</t>
  </si>
  <si>
    <t>https://www.marshberry.com/resource/the-next-era-of-insurance-brokerage-the-top-100-defined-by-growth-consolidation-and-ai/</t>
  </si>
  <si>
    <t>Top 100 $83.3B, top 10 $58.5B. Different year — do not mix with 67%.</t>
  </si>
  <si>
    <t>Retrieved — caveat</t>
  </si>
  <si>
    <t>U.S. small-group broker fees PMPM</t>
  </si>
  <si>
    <t>$29.79</t>
  </si>
  <si>
    <t>https://www.kff.org/health-costs/state-indicator/health-insurance-broker-compensation/</t>
  </si>
  <si>
    <t>KFF (nonprofit, not Kaiser Permanente) analysis of Mark Farrah Associates Health Coverage Portal. Why compensation understates jumbo lives.</t>
  </si>
  <si>
    <t>D2</t>
  </si>
  <si>
    <t>U.S. large-group broker fees PMPM</t>
  </si>
  <si>
    <t>$10.00</t>
  </si>
  <si>
    <t>Large-group PMPM is about one-third of small-group.</t>
  </si>
  <si>
    <t>Marsh McLennan 2024 GAAP revenue</t>
  </si>
  <si>
    <t>$24.458 billion</t>
  </si>
  <si>
    <t>https://www.corporate.marsh.com/web-assets/files-for-download/investors/2025/pdf-2024-marsh-mclennan-investors-annual-report.pdf</t>
  </si>
  <si>
    <t>Global. No US EH&amp;B covered-lives figure.</t>
  </si>
  <si>
    <t>Aon Health Solutions 2024 revenue</t>
  </si>
  <si>
    <t>https://aon.mediaroom.com/2025-01-31-Aon-Reports-Fourth-Quarter-and-Full-Year-2024-Results</t>
  </si>
  <si>
    <t>Global. Includes NFP. Not US lives.</t>
  </si>
  <si>
    <t>Specified M2</t>
  </si>
  <si>
    <t>Share of broker-placed EH&amp;B covered lives at largest N brokers</t>
  </si>
  <si>
    <t>This is specified M2. 10-Ks and rankings do not publish it. Leave blank.</t>
  </si>
  <si>
    <t>X2</t>
  </si>
  <si>
    <t>Brokers below BI Top 100 and personal-lines-majority firms</t>
  </si>
  <si>
    <t>67% is of the Top 100, not of U.S. brokerage.</t>
  </si>
  <si>
    <t>X3</t>
  </si>
  <si>
    <t>Spectrum-state cut of any concentration figure</t>
  </si>
  <si>
    <t>M2 geography is M1’s book. Public tables are U.S. No conversion invented.</t>
  </si>
  <si>
    <t>X4</t>
  </si>
  <si>
    <t>Welfare plans / fees outside Form 5500 Schedule A as used here</t>
  </si>
  <si>
    <t>https://planoptica.com/freeerisa</t>
  </si>
  <si>
    <t>Small welfare plans and jumbo consulting paid off Schedule A are missing.</t>
  </si>
  <si>
    <t>—</t>
  </si>
  <si>
    <t>Sister-entity undercount</t>
  </si>
  <si>
    <t>not restated</t>
  </si>
  <si>
    <t>NOT RESTATED</t>
  </si>
  <si>
    <t>Hub is Midwest only; WTW is US LLC only. Parent share ≥ filing-name share.</t>
  </si>
  <si>
    <t>The closest EH&amp;B proxy says a handful of national partnerships does not cover the book (56% of observed compensation sits in a 43,119-name tail). That changes how many doors to open. It is not a product go-live. Lives share remains unknown, so this gate is directional, not closed.</t>
  </si>
  <si>
    <t>Parent register: Decisions/EH&amp;B/Brokerage Metrics.xlsx Core metrics M5</t>
  </si>
  <si>
    <t>Verdict on the metric</t>
  </si>
  <si>
    <t>valid — footprint hard gate</t>
  </si>
  <si>
    <t>chtr-ehb-m5-serviceable-home-share.canvas.tsx</t>
  </si>
  <si>
    <t>Must match Analysis/ehb-broker-metrics/m5/out/summary.json</t>
  </si>
  <si>
    <t>V2</t>
  </si>
  <si>
    <t>Verdict on a number</t>
  </si>
  <si>
    <t>none — cannot claim</t>
  </si>
  <si>
    <t>No roster × BSL/addressability match.</t>
  </si>
  <si>
    <t>A1</t>
  </si>
  <si>
    <t>Numerator / denominator</t>
  </si>
  <si>
    <t>Enrolled (or broker-covered) employees whose residential address passes a Spectrum residential serviceability check ÷ enrolled/covered employees who supply a home address</t>
  </si>
  <si>
    <t>Hard fail for out-of-footprint homes. Write one denominator before the pilot.</t>
  </si>
  <si>
    <t>What it gates</t>
  </si>
  <si>
    <t>If M5 is low and there is no multi-ISP fallback, the offering cannot be sold as a national included benefit.</t>
  </si>
  <si>
    <t>Specified M5</t>
  </si>
  <si>
    <t>M5 number for any broker book</t>
  </si>
  <si>
    <t>none</t>
  </si>
  <si>
    <t>BLOCKING</t>
  </si>
  <si>
    <t>No roster, no address match. This is M5. Leave blank.</t>
  </si>
  <si>
    <t>Retrieved — not M5</t>
  </si>
  <si>
    <t>Charter-present jurisdictions (50 states + DC)</t>
  </si>
  <si>
    <t>FCC BDC D25 revision 15 Sep 2026. Presence = any residential fixed-broadband filing. Includes Rhode Island at 106 estimated residential units.</t>
  </si>
  <si>
    <t>Charter-absent jurisdictions</t>
  </si>
  <si>
    <t>9</t>
  </si>
  <si>
    <t>AK, AR, DC, DE, IA, ND, OK, SD, UT.</t>
  </si>
  <si>
    <t>US SUSB 2022 payroll employment</t>
  </si>
  <si>
    <t>135,748,407</t>
  </si>
  <si>
    <t>U.S. Census Bureau SUSB 2022. Workplace establishment employment, not homes.</t>
  </si>
  <si>
    <t>C2</t>
  </si>
  <si>
    <t>SUSB employment in Charter-present jurisdictions</t>
  </si>
  <si>
    <t>128,435,628</t>
  </si>
  <si>
    <t>2022 × D25</t>
  </si>
  <si>
    <t>Analysis/ehb-broker-metrics/m5/out/summary.json</t>
  </si>
  <si>
    <t>Workplace, not home.</t>
  </si>
  <si>
    <t>SUSB employment in Charter-absent jurisdictions</t>
  </si>
  <si>
    <t>7,312,779</t>
  </si>
  <si>
    <t>5.4% of US SUSB employment.</t>
  </si>
  <si>
    <t>C2 ÷ C1 (crude ceiling)</t>
  </si>
  <si>
    <t>94.6 percent</t>
  </si>
  <si>
    <t>ESTIMATED — not M5</t>
  </si>
  <si>
    <t>Four biases, all high: workplace not home; any presence not plant; book ≠ nation; vintage join.</t>
  </si>
  <si>
    <t>D3</t>
  </si>
  <si>
    <t>Charter units ÷ fabric in the 42</t>
  </si>
  <si>
    <t>33.6 percent</t>
  </si>
  <si>
    <t>DERIVED — plant, not M5</t>
  </si>
  <si>
    <t>50,939,445 ÷ 151,719,024. Homes Charter can serve among BSLs in states where it files, not employee homes.</t>
  </si>
  <si>
    <t>D-HI</t>
  </si>
  <si>
    <t>Hawaii Charter share of residential fabric</t>
  </si>
  <si>
    <t>92.3 percent</t>
  </si>
  <si>
    <t>Highest present-state location share. Random housing units are not enrolled employees.</t>
  </si>
  <si>
    <t>D-RI</t>
  </si>
  <si>
    <t>Rhode Island Charter share of residential fabric</t>
  </si>
  <si>
    <t>0.02 percent</t>
  </si>
  <si>
    <t>Lowest present-state location share (0.0002). Presence is not plant.</t>
  </si>
  <si>
    <t>D-med</t>
  </si>
  <si>
    <t>Unweighted median location share among the 42</t>
  </si>
  <si>
    <t>20.3 percent</t>
  </si>
  <si>
    <t>Plant statistic, still not M5.</t>
  </si>
  <si>
    <t>Refused</t>
  </si>
  <si>
    <t>Employment-weighted state location share</t>
  </si>
  <si>
    <t>refused</t>
  </si>
  <si>
    <t>REFUSED</t>
  </si>
  <si>
    <t>Analysis/ehb-broker-metrics/m5/out/assumption_register.csv</t>
  </si>
  <si>
    <t>Two wrong substitutions: workplace for home, and a typical BSL for this employee. Not quoted as a rate.</t>
  </si>
  <si>
    <t>Employee home address × Spectrum residential serviceability on a named book</t>
  </si>
  <si>
    <t>The blocking input. Consent, geocode, BSL match, ops serviceability (drop-ready / MDU / hold), then rate.</t>
  </si>
  <si>
    <t>Denominator rule written before the pilot</t>
  </si>
  <si>
    <t>MUST WRITE</t>
  </si>
  <si>
    <t>Eligible-with-address for a go/no-go on the book; enrolled-with-address for fulfillment. Indeterminate is a third bucket.</t>
  </si>
  <si>
    <t>If a consented address match on the candidate book shows that Spectrum cannot fulfill the benefit as written for the homes the contract covers, and the design has no multi-ISP fallback for the complement, do not scale a national “included Spectrum Internet” benefit. The public 94.6% ceiling cannot clear or kill this. Only the roster match can.</t>
  </si>
  <si>
    <t>Parent register already named two rates under one ID.</t>
  </si>
  <si>
    <t>needs split — valid gate, two metrics</t>
  </si>
  <si>
    <t>chtr-ehb-m9-payor-takeup.canvas.tsx</t>
  </si>
  <si>
    <t>Must match Analysis/ehb-broker-metrics/m9/summary.json. No Charter take-up invented.</t>
  </si>
  <si>
    <t>Split</t>
  </si>
  <si>
    <t>M9a</t>
  </si>
  <si>
    <t>Payor mix</t>
  </si>
  <si>
    <t>Share of pilot employers (and of covered lives) on employer-paid vs employee-paid voluntary vs hybrid</t>
  </si>
  <si>
    <t>Analysis/ehb-broker-metrics/m9/recommended_split.csv</t>
  </si>
  <si>
    <t>Employer unit. Freeze at contracting, before open enrollment.</t>
  </si>
  <si>
    <t>M9b</t>
  </si>
  <si>
    <t>Enrollment take-up by payor</t>
  </si>
  <si>
    <t>Enrolled internet accounts ÷ eligible employees offered the benefit, reported separately inside each M9a cell</t>
  </si>
  <si>
    <t>Employee unit. Time-box: OE close + 90 days. Never headline a blend.</t>
  </si>
  <si>
    <t>M9_blended</t>
  </si>
  <si>
    <t>Do not report a blended enrolled/eligible headline</t>
  </si>
  <si>
    <t>forbidden</t>
  </si>
  <si>
    <t>100% of a tiny paid cell plus 4% of a large voluntary cell can look mid-teens.</t>
  </si>
  <si>
    <t>Specified M9</t>
  </si>
  <si>
    <t>Charter internet-as-benefit take-up</t>
  </si>
  <si>
    <t>No SKU, price sheet, or enrollment file in this repo. Pilot is the source.</t>
  </si>
  <si>
    <t>Analogue — not Charter</t>
  </si>
  <si>
    <t>Employers offering free / discounted / subsidized home Internet</t>
  </si>
  <si>
    <t>5 percent of employers</t>
  </si>
  <si>
    <t>2017</t>
  </si>
  <si>
    <t>SHRM customized benefits-prevalence, n≈2,717. Closest internet-as-benefit OFFER analogue. Not take-up. Dated.</t>
  </si>
  <si>
    <t>Analogue — wrong unit</t>
  </si>
  <si>
    <t>KFF medical take-up among eligible workers</t>
  </si>
  <si>
    <t>76 percent of eligible workers</t>
  </si>
  <si>
    <t>WRONG ANALOGUE for home internet. Heavily employer-subsidized core medical. KFF (nonprofit, not Kaiser Permanente); Davis Research; n=1,862 employers 10+.</t>
  </si>
  <si>
    <t>Workers eligible at firms offering health benefits</t>
  </si>
  <si>
    <t>80 percent of workers at offering firms</t>
  </si>
  <si>
    <t>Eligibility, not take-up, not internet.</t>
  </si>
  <si>
    <t>Workers enrolled among firms that offer health benefits</t>
  </si>
  <si>
    <t>61 percent of workers at offering firms</t>
  </si>
  <si>
    <t>Product of eligibility × take-up.</t>
  </si>
  <si>
    <t>Employers offering pet insurance</t>
  </si>
  <si>
    <t>22 percent of employers</t>
  </si>
  <si>
    <t>https://www.shrm.org/content/dam/en/shrm/topics-tools/research/employee-benefits/2025_annual_benefits_survey_executive_summary.pdf</t>
  </si>
  <si>
    <t>SHRM 2025 EBS, n=3,969. Offer, not take-up.</t>
  </si>
  <si>
    <t>Employers offering a transit subsidy</t>
  </si>
  <si>
    <t>12 percent of employers</t>
  </si>
  <si>
    <t>https://www.shrm.org/topics-tools/news/benefits-compensation/irs-boosts-commuter-benefit-limits-2026</t>
  </si>
  <si>
    <t>Offer, not take-up.</t>
  </si>
  <si>
    <t>E2</t>
  </si>
  <si>
    <t>Employers offering a parking subsidy</t>
  </si>
  <si>
    <t>10 percent of employers</t>
  </si>
  <si>
    <t>Employers offering QSLP 401(k)/403(b) match</t>
  </si>
  <si>
    <t>4 percent of employers</t>
  </si>
  <si>
    <t>SECURE 2.0 QSLP. Offer, not take-up.</t>
  </si>
  <si>
    <t>Analogue — not internet</t>
  </si>
  <si>
    <t>Employers offering at-home equipment subsidy</t>
  </si>
  <si>
    <t>55 percent of employers</t>
  </si>
  <si>
    <t>Equipment, not an internet stipend. Do not treat as D1.</t>
  </si>
  <si>
    <t>53 percent of employers</t>
  </si>
  <si>
    <t>2026</t>
  </si>
  <si>
    <t>https://www.shrm.org/content/dam/en/shrm/topics-tools/research/employee-benefits/2026_employee-benefits_executive-summary.pdf</t>
  </si>
  <si>
    <t>Same caveat as D2. Cellphone service 35% of 2026 equipment programs. Internet not broken out.</t>
  </si>
  <si>
    <t>Stealth Agents “SHRM internet-specific stipend”</t>
  </si>
  <si>
    <t>38 percent — NOT USED</t>
  </si>
  <si>
    <t>NOT RETRIEVED FROM PRIMARY</t>
  </si>
  <si>
    <t>https://stealthagents.com/research/remote-work-internet-stipend-statistics-2026</t>
  </si>
  <si>
    <t>Secondary restatement. SHRM primary publishes equipment subsidy, not this 38%.</t>
  </si>
  <si>
    <t>Any Charter internet-as-benefit take-up rate</t>
  </si>
  <si>
    <t>No SKU in repo. Analogues are not a forecast.</t>
  </si>
  <si>
    <t>2026 prevalence of an employer internet stipend</t>
  </si>
  <si>
    <t>2017 5% is dated. 2025/2026 SHRM exec summaries do not publish an internet-specific rate.</t>
  </si>
  <si>
    <t>Payor mix on a real ballot (M9a)</t>
  </si>
  <si>
    <t>MUST PULL</t>
  </si>
  <si>
    <t>Analysis/ehb-broker-metrics/m9/pilot_must_measure.csv</t>
  </si>
  <si>
    <t>Measure at contracting, before OE.</t>
  </si>
  <si>
    <t>If no pilot employer will fund employer-paid and none will put a voluntary SKU on the ballot — stop. If a design is on the ballot and voluntary take-up among eligibles in that cell, after OE plus 90 days, lands in the single digits with no path to change price or payor — do not scale on the hope that “benefits take-up is usually high.” Analogues bound the plausible range. Analogues are not the floor. Write the floor before the first employee sees the offer.</t>
  </si>
  <si>
    <t>Parent register: Decisions/EH&amp;B/Brokerage Metrics.xlsx Core metrics M13</t>
  </si>
  <si>
    <t>Verdict on M13 as specified</t>
  </si>
  <si>
    <t>valid-with-caveats — tighten to P−E−D</t>
  </si>
  <si>
    <t>chtr-ehb-m13-net-new-residential.canvas.tsx</t>
  </si>
  <si>
    <t>Right commercial outcome (Internet print in accounts). Excel mixed enrollments into the unit and omitted same-window job-exit D.</t>
  </si>
  <si>
    <t>F0</t>
  </si>
  <si>
    <t>Tightened formula</t>
  </si>
  <si>
    <t>M13_t = P_t − E_t − D_t</t>
  </si>
  <si>
    <t>Analysis/ehb-broker-metrics/m13/assumption_register.csv</t>
  </si>
  <si>
    <t>Primary KPI is the account count. Window t = Ex99.1 calendar quarter locked before the pull. Do not report M13 as a percent of enrollments.</t>
  </si>
  <si>
    <t>P</t>
  </si>
  <si>
    <t>Path-tagged provisions P_t</t>
  </si>
  <si>
    <t>Gross broker/employer-path billing events on a residential Internet PSU in t. Not enrollments; not mobile; not Spectrum Business.</t>
  </si>
  <si>
    <t>E</t>
  </si>
  <si>
    <t>Existing / payer-only E_t</t>
  </si>
  <si>
    <t>Subset of P already active Spectrum residential Internet at t−1. Retention/transfer — not a net add.</t>
  </si>
  <si>
    <t>D</t>
  </si>
  <si>
    <t>Same-window job-exit disconnects D_t</t>
  </si>
  <si>
    <t>Subset of (P−E) that disconnect in t because employment eligibility ended. Do not subtract self-pay stayers.</t>
  </si>
  <si>
    <t>Specified M13</t>
  </si>
  <si>
    <t>Channel net new residential Internet accounts</t>
  </si>
  <si>
    <t>MUST PULL / NOT RETRIEVED</t>
  </si>
  <si>
    <t>P − E − D. No number exists for this path. Do not invent conversion rates.</t>
  </si>
  <si>
    <t>Context only — not M13</t>
  </si>
  <si>
    <t>Company residential Internet net adds Q1 2026</t>
  </si>
  <si>
    <t>-117000</t>
  </si>
  <si>
    <t>Q1 2026</t>
  </si>
  <si>
    <t>Ex99.1: Residential quarterly net additions (117). NOT channel M13. Do not scale.</t>
  </si>
  <si>
    <t>Company residential Internet customers decreased FY2025</t>
  </si>
  <si>
    <t>-393000</t>
  </si>
  <si>
    <t>FY2025</t>
  </si>
  <si>
    <t>PrimarySources/readable/CHTR-10-K-FY2025.md</t>
  </si>
  <si>
    <t>10-K: decreased by 393,000 in 2025 vs 2024. Context only.</t>
  </si>
  <si>
    <t>Company residential Internet net adds Q2 2026</t>
  </si>
  <si>
    <t>-166000</t>
  </si>
  <si>
    <t>Q2 2026</t>
  </si>
  <si>
    <t>PrimarySources/readable/CHTR-Q2-2026-Earnings-Release-Ex99.1.md</t>
  </si>
  <si>
    <t>Ex99.1: Residential quarterly net additions (166). Context only.</t>
  </si>
  <si>
    <t>Company total Internet net adds Q1 2026</t>
  </si>
  <si>
    <t>-120000</t>
  </si>
  <si>
    <t>Headline −120k = residential −117k + SMB −3k. Do not use as the M13 analog; M13 is residential only.</t>
  </si>
  <si>
    <t>Data needed</t>
  </si>
  <si>
    <t>Channel tag (employer ID + broker/path code)</t>
  </si>
  <si>
    <t>missing</t>
  </si>
  <si>
    <t>Without it M13 cannot be isolated from ordinary adds.</t>
  </si>
  <si>
    <t>Prior-account flag (active Spectrum res. Internet at t−1)</t>
  </si>
  <si>
    <t>Computes E. Customer ID preferred; address match is fallback.</t>
  </si>
  <si>
    <t>Payer type (employer / employee / self-pay)</t>
  </si>
  <si>
    <t>Separates discounting an existing line from a new relationship.</t>
  </si>
  <si>
    <t>D4</t>
  </si>
  <si>
    <t>Eligibility termination date</t>
  </si>
  <si>
    <t>Join to disconnects to compute D. Benefit unenroll ≠ Spectrum disconnect.</t>
  </si>
  <si>
    <t>D5</t>
  </si>
  <si>
    <t>Disconnect date and whether PSU ended</t>
  </si>
  <si>
    <t>D is Spectrum disconnect in t; self-pay stayers stay in the print.</t>
  </si>
  <si>
    <t>D6</t>
  </si>
  <si>
    <t>Measurement window locked to Ex99.1 quarter</t>
  </si>
  <si>
    <t>So M13 is in the same unit as the company print.</t>
  </si>
  <si>
    <t>Channel net-add count</t>
  </si>
  <si>
    <t>Do not invent.</t>
  </si>
  <si>
    <t>Conversion of enrollments into accounts</t>
  </si>
  <si>
    <t>Optional diagnostic (P−E)/enrollments — leave blank until a pilot produces both counts.</t>
  </si>
  <si>
    <t>Share of company print this path would close</t>
  </si>
  <si>
    <t>Do not scale −117k / −393k by an invented take-up.</t>
  </si>
  <si>
    <t>Incrementality (tagged ≠ would-not-have-signed-up)</t>
  </si>
  <si>
    <t>not estimated</t>
  </si>
  <si>
    <t>NOT ESTIMATED</t>
  </si>
  <si>
    <t>A holdout test is a later design, not required to compute the tagged count.</t>
  </si>
  <si>
    <t>Kill the channel as an Internet-print play if a time-boxed pilot with D1–D5 filled shows M13 ≈ 0 because almost all of P is E or D — even if enrollments are large. Do not substitute enrollments, passings, or reach.</t>
  </si>
  <si>
    <t>Label</t>
  </si>
  <si>
    <t>Line ID</t>
  </si>
  <si>
    <t>Family</t>
  </si>
  <si>
    <t>Metric role</t>
  </si>
  <si>
    <t>What it measures</t>
  </si>
  <si>
    <t>Funder</t>
  </si>
  <si>
    <t>Why it is not Charter take-up</t>
  </si>
  <si>
    <t>ANALOGUE — not Charter take-up</t>
  </si>
  <si>
    <t>core_employer_paid</t>
  </si>
  <si>
    <t>employee_takeup</t>
  </si>
  <si>
    <t>Eligible-worker take-up of employer health coverage</t>
  </si>
  <si>
    <t>76</t>
  </si>
  <si>
    <t>percent of eligible workers</t>
  </si>
  <si>
    <t>KFF (nonprofit; not affiliated with Kaiser Permanente)</t>
  </si>
  <si>
    <t>Core heavily employer-subsidized medical is not home internet as a benefit; take-up still is not 100%</t>
  </si>
  <si>
    <t>employee_eligibility</t>
  </si>
  <si>
    <t>Share of workers eligible at firms offering health benefits</t>
  </si>
  <si>
    <t>80</t>
  </si>
  <si>
    <t>percent of workers at offering firms</t>
  </si>
  <si>
    <t>Same as A1 — medical eligibility is not internet-benefit eligibility</t>
  </si>
  <si>
    <t>employee_enrollment</t>
  </si>
  <si>
    <t>61</t>
  </si>
  <si>
    <t>Same as A1</t>
  </si>
  <si>
    <t>payor_split</t>
  </si>
  <si>
    <t>Worker share of single-coverage premium</t>
  </si>
  <si>
    <t>16</t>
  </si>
  <si>
    <t>percent of premium</t>
  </si>
  <si>
    <t>Payor mix for medical premiums is not internet-benefit payor mix</t>
  </si>
  <si>
    <t>Worker share of family-coverage premium</t>
  </si>
  <si>
    <t>26</t>
  </si>
  <si>
    <t>Same as A4</t>
  </si>
  <si>
    <t>voluntary_lifestyle</t>
  </si>
  <si>
    <t>employer_offer</t>
  </si>
  <si>
    <t>22</t>
  </si>
  <si>
    <t>percent of employers</t>
  </si>
  <si>
    <t>SHRM (membership association; survey of its professional members)</t>
  </si>
  <si>
    <t>Offer is not enrollment; pet insurance is not home internet</t>
  </si>
  <si>
    <t>Employers offering legal assistance/services</t>
  </si>
  <si>
    <t>SHRM</t>
  </si>
  <si>
    <t>2017 legal-plan offer is not Charter internet take-up</t>
  </si>
  <si>
    <t>Employers offering identity theft protection</t>
  </si>
  <si>
    <t>2017 ID-theft offer is not Charter internet take-up</t>
  </si>
  <si>
    <t>employee_interest_not_takeup</t>
  </si>
  <si>
    <t>Gen Z employees very/extremely interested in employer offering identity theft protection</t>
  </si>
  <si>
    <t>37</t>
  </si>
  <si>
    <t>percent of employees in generation</t>
  </si>
  <si>
    <t>LIMRA and Ernst &amp; Young LLP (industry association + professional-services firm)</t>
  </si>
  <si>
    <t>https://www.limra.com/globalassets/limra-loma/events-learning-and-networking/conferences/2025/workplace-benefits-conference/presentations/gs---harnessing-growth-in-workforce-benefits---2025-refresh.pdf</t>
  </si>
  <si>
    <t>Interest is not election; identity protection is not internet</t>
  </si>
  <si>
    <t>Gen Z employees very/extremely interested in employer offering a legal services plan</t>
  </si>
  <si>
    <t>24</t>
  </si>
  <si>
    <t>LIMRA and Ernst &amp; Young LLP</t>
  </si>
  <si>
    <t>Interest is not election</t>
  </si>
  <si>
    <t>Gen Z employees very/extremely interested in employer offering pet insurance</t>
  </si>
  <si>
    <t>23</t>
  </si>
  <si>
    <t>B7</t>
  </si>
  <si>
    <t>voluntary_platform</t>
  </si>
  <si>
    <t>Large employers on Benefitfocus platform offering supplemental/voluntary benefits</t>
  </si>
  <si>
    <t>44</t>
  </si>
  <si>
    <t>percent of employers in platform</t>
  </si>
  <si>
    <t>Benefitfocus (Voya Financial) — vendor that sells the enrollment platform</t>
  </si>
  <si>
    <t>https://www.benefitfocus.com/sites/default/files/2025-06/2025%20State%20of%20Employee%20Benefits%20Report.pdf</t>
  </si>
  <si>
    <t>Platform mix of large-employer clients is not Charter take-up</t>
  </si>
  <si>
    <t>B8</t>
  </si>
  <si>
    <t>directional_only</t>
  </si>
  <si>
    <t>Participation rank among Benefitfocus voluntary products</t>
  </si>
  <si>
    <t>highest in ACC then CI then HI vs legal ID pet</t>
  </si>
  <si>
    <t>rank (no integer rate retrieved)</t>
  </si>
  <si>
    <t>Benefitfocus (Voya Financial)</t>
  </si>
  <si>
    <t>Do not invent missing chart integers; rank is not a Charter rate</t>
  </si>
  <si>
    <t>B9</t>
  </si>
  <si>
    <t>voluntary_vendor_survey</t>
  </si>
  <si>
    <t>Employers offering supplemental insurance (Aflac employer survey)</t>
  </si>
  <si>
    <t>39</t>
  </si>
  <si>
    <t>Aflac (carrier that sells supplemental insurance); fielded by Kantar</t>
  </si>
  <si>
    <t>https://www.aflac.com/docs/awr/pdf/2023-trends-and-topics/2023-aflac-awr-the-state-of-workplace-benefits-and-enrollment.pdf</t>
  </si>
  <si>
    <t>Vendor-funded; supplemental dental/life/vision mix is not internet</t>
  </si>
  <si>
    <t>B10</t>
  </si>
  <si>
    <t>employee_access</t>
  </si>
  <si>
    <t>Employees reporting access to supplemental benefits at work</t>
  </si>
  <si>
    <t>60</t>
  </si>
  <si>
    <t>percent of employees</t>
  </si>
  <si>
    <t>Aflac; fielded by Kantar</t>
  </si>
  <si>
    <t>Access and dental/life/vision elections are not internet take-up</t>
  </si>
  <si>
    <t>B11</t>
  </si>
  <si>
    <t>Employers offering identity-fraud protection (Aflac)</t>
  </si>
  <si>
    <t>25</t>
  </si>
  <si>
    <t>Offer/interest gap is not Charter take-up</t>
  </si>
  <si>
    <t>B12</t>
  </si>
  <si>
    <t>Employees interested in identity-fraud protection (Aflac)</t>
  </si>
  <si>
    <t>38</t>
  </si>
  <si>
    <t>student_loan</t>
  </si>
  <si>
    <t>Employers offering qualified student-loan payment 401(k)/403(b) match</t>
  </si>
  <si>
    <t>4</t>
  </si>
  <si>
    <t>QSLP match offer is not internet take-up</t>
  </si>
  <si>
    <t>Organizations offering student-loan repayment assistance</t>
  </si>
  <si>
    <t>14</t>
  </si>
  <si>
    <t>percent of organizations</t>
  </si>
  <si>
    <t>International Foundation of Employee Benefit Plans (nonprofit professional association)</t>
  </si>
  <si>
    <t>https://www.ifebp.org/resources---news/news-and-regulatory-updates/press-room/press-releases/2024/12/18/student-loan-repayment-benefits-on-the-rise</t>
  </si>
  <si>
    <t>Offer among IFEBP respondents is not Charter take-up</t>
  </si>
  <si>
    <t>Organizations offering student-loan repayment (SHRM 2024 wave)</t>
  </si>
  <si>
    <t>https://www.shrm.org/mena/topics-tools/news/benefits-compensation/student-loan-benefits-on-the-rise</t>
  </si>
  <si>
    <t>Offer is not take-up</t>
  </si>
  <si>
    <t>Employers offering company-provided student-loan repayment</t>
  </si>
  <si>
    <t>2017 student-loan offer is not 2026 internet take-up</t>
  </si>
  <si>
    <t>internet_stipend</t>
  </si>
  <si>
    <t>Employers offering free discounted or subsidized home Internet service</t>
  </si>
  <si>
    <t>5</t>
  </si>
  <si>
    <t>2017 offer prevalence is not Charter 2026 take-up; no Spectrum SKU</t>
  </si>
  <si>
    <t>employer_offer_broader_than_internet</t>
  </si>
  <si>
    <t>Employers offering subsidy or reimbursement of remote-work / at-home equipment</t>
  </si>
  <si>
    <t>55</t>
  </si>
  <si>
    <t>Equipment stipend ≠ home-internet benefit</t>
  </si>
  <si>
    <t>53</t>
  </si>
  <si>
    <t>Same as D2; 2026 equipment rate is not internet take-up</t>
  </si>
  <si>
    <t>commuter</t>
  </si>
  <si>
    <t>12</t>
  </si>
  <si>
    <t>Transit subsidy offer is not internet take-up</t>
  </si>
  <si>
    <t>Employers offering a parking subsidy (onsite or offsite)</t>
  </si>
  <si>
    <t>10</t>
  </si>
  <si>
    <t>Parking subsidy is not internet</t>
  </si>
  <si>
    <t>E3</t>
  </si>
  <si>
    <t>employee_takeup_among_offered</t>
  </si>
  <si>
    <t>BART weekday riders who participate given employer offers a pretax transit program</t>
  </si>
  <si>
    <t>79</t>
  </si>
  <si>
    <t>percent of riders whose employer offers</t>
  </si>
  <si>
    <t>2010</t>
  </si>
  <si>
    <t>BART (public transit agency)</t>
  </si>
  <si>
    <t>https://www.bart.gov/sites/default/files/docs/prextaxsurvey.pdf</t>
  </si>
  <si>
    <t>Transit-rider sample; pretax commute spend is not home internet; year is 2010</t>
  </si>
  <si>
    <t>E4</t>
  </si>
  <si>
    <t>employee_takeup_all_employees</t>
  </si>
  <si>
    <t>Bay Area employees at covered employers who used at least one commuter benefit in prior 12 months</t>
  </si>
  <si>
    <t>28</t>
  </si>
  <si>
    <t>percent of employees at covered employers</t>
  </si>
  <si>
    <t>2015</t>
  </si>
  <si>
    <t>Bay Area Air Quality Management District / MTC (public regulators of the commuter-benefits mandate)</t>
  </si>
  <si>
    <t>https://www.baaqmd.gov/~/media/files/planning-and-research/commuter-benefits-program/reports/true-north-employee-survey-report_commuter-benefits-program_6_19_15-pdf.pdf</t>
  </si>
  <si>
    <t>Mandate-driven Bay Area commute program is not a national internet-as-benefit rate</t>
  </si>
  <si>
    <t>EXCLUDED — not retrieved from named primary</t>
  </si>
  <si>
    <t>excluded_secondary</t>
  </si>
  <si>
    <t>do_not_use</t>
  </si>
  <si>
    <t>Stealth Agents claim of SHRM internet-specific stipend</t>
  </si>
  <si>
    <t>percent (NOT retrieved from SHRM primary)</t>
  </si>
  <si>
    <t>Stealth Agents (secondary aggregator)</t>
  </si>
  <si>
    <t>Secondary restatement not verified against SHRM primary</t>
  </si>
  <si>
    <t>ABSENCE — no Charter SKU in repo</t>
  </si>
  <si>
    <t>charter_sku</t>
  </si>
  <si>
    <t>not_in_repo</t>
  </si>
  <si>
    <t>Charter internet-as-benefit SKU</t>
  </si>
  <si>
    <t>none documented</t>
  </si>
  <si>
    <t>n/a</t>
  </si>
  <si>
    <t>RETRIEVED as absence</t>
  </si>
  <si>
    <t>Cannot invent a SKU or a take-up rate for a SKU that is not in the repo</t>
  </si>
  <si>
    <t>Charter vs Comcast by state — who reports more residential locations served</t>
  </si>
  <si>
    <t>chtr-vs-cmcsa-state-lead.canvas.tsx (read-only source; do not treat as subscriber share)</t>
  </si>
  <si>
    <t>Metric definition</t>
  </si>
  <si>
    <t>FCC BDC residential location availability: share of residential units at Broadband Serviceable Locations where the holding company reports residential fixed broadband (res_st_pct). Estimated units = res_st_pct × state residential fabric units. THIS IS AVAILABILITY / LOCATIONS SERVED. It is NOT subscriber share, NOT Form 477 subscriptions, and NOT a 10-K state mix.</t>
  </si>
  <si>
    <t>Vintage</t>
  </si>
  <si>
    <t>As of 31 December 2025 (D25)</t>
  </si>
  <si>
    <t>File revision</t>
  </si>
  <si>
    <t>15 Sep 2026</t>
  </si>
  <si>
    <t>Federal Communications Commission</t>
  </si>
  <si>
    <t>Broadband Data Collection / National Broadband Map</t>
  </si>
  <si>
    <t>Provider-list file</t>
  </si>
  <si>
    <t>bdc_us_provider_list_D25_15sep2026.csv</t>
  </si>
  <si>
    <t>Provider-by-geography file</t>
  </si>
  <si>
    <t>bdc_us_provider_summary_by_geography_D25_15sep2026.csv (res_st_pct, geography_type = State, data_type = Fixed Broadband)</t>
  </si>
  <si>
    <t>Fabric-units file</t>
  </si>
  <si>
    <t>bdc_us_fixed_broadband_summary_by_geography_D25_15sep2026.csv (total_units, State / Total / Any Technology / residential)</t>
  </si>
  <si>
    <t>National provider file</t>
  </si>
  <si>
    <t>bdc_us_fixed_broadband_provider_summary_D25_15sep2026.csv</t>
  </si>
  <si>
    <t>Charter identity</t>
  </si>
  <si>
    <t>Charter Communications (Spectrum) · FRN 0025646373 · provider ID 130235</t>
  </si>
  <si>
    <t>Comcast identity</t>
  </si>
  <si>
    <t>Comcast Corporation (Xfinity) · FRN 0003768165 · provider ID 130317</t>
  </si>
  <si>
    <t>Affiliates</t>
  </si>
  <si>
    <t>Affiliates not rolled in. Sonic Spectrum and Red Spectrum are unrelated.</t>
  </si>
  <si>
    <t>States Charter leads</t>
  </si>
  <si>
    <t>States Comcast leads</t>
  </si>
  <si>
    <t>Neither present</t>
  </si>
  <si>
    <t>Ties</t>
  </si>
  <si>
    <t>Neither states</t>
  </si>
  <si>
    <t>Alaska, Iowa, North Dakota, Oklahoma, South Dakota</t>
  </si>
  <si>
    <t>Charter footprint on this vintage</t>
  </si>
  <si>
    <t>42 states + DC with a positive residential res_st_pct (missing row or 0.0000 = absent)</t>
  </si>
  <si>
    <t>Comcast footprint on this vintage</t>
  </si>
  <si>
    <t>41 states + DC with a positive residential res_st_pct (missing row or 0.0000 = absent)</t>
  </si>
  <si>
    <t>Leader rule</t>
  </si>
  <si>
    <t>Beating = strictly larger res_st_pct. Missing provider row or 0.0000 treated as absent.</t>
  </si>
  <si>
    <t>Top Charter unit leads</t>
  </si>
  <si>
    <t>NY +5.54M, OH +4.41M, NC +4.36M, TX +3.76M, WI +2.31M (estimated residential units; Charter minus Comcast)</t>
  </si>
  <si>
    <t>Top Comcast unit leads</t>
  </si>
  <si>
    <t>PA −4.36M, IL −4.27M, MD −2.46M, MA −2.45M, WA −2.35M (estimated residential units; Charter minus Comcast)</t>
  </si>
  <si>
    <t>What this is not</t>
  </si>
  <si>
    <t>Not subscriber share. Company 10-Ks do not publish state subscriber counts; national mix is not allocated to states. A location the provider can serve is not a customer.</t>
  </si>
  <si>
    <t>State leads = all 51 (50 states + DC), sorted by Charter-minus-Comcast unit margin (Charter leads at top). Charter lead states = the 19. Comcast lead states = the 27. Neither = AK, IA, ND, OK, SD.</t>
  </si>
  <si>
    <t>Analysis/cable-share-small-firm/out/chtr_vs_cmcsa_state_leads.csv · Script: Analysis/cable-share-small-firm/build_state_leads.py (read-only)</t>
  </si>
  <si>
    <t>State</t>
  </si>
  <si>
    <t>Abbr</t>
  </si>
  <si>
    <t>FIPS</t>
  </si>
  <si>
    <t>Charter estimated units</t>
  </si>
  <si>
    <t>Charter share of fabric (%)</t>
  </si>
  <si>
    <t>Comcast estimated units</t>
  </si>
  <si>
    <t>Comcast share of fabric (%)</t>
  </si>
  <si>
    <t>Margin (Charter − Comcast units)</t>
  </si>
  <si>
    <t>Leader</t>
  </si>
  <si>
    <t>State residential fabric units</t>
  </si>
  <si>
    <t>Charter present</t>
  </si>
  <si>
    <t>Comcast present</t>
  </si>
  <si>
    <t>36</t>
  </si>
  <si>
    <t>48</t>
  </si>
  <si>
    <t>06</t>
  </si>
  <si>
    <t>29</t>
  </si>
  <si>
    <t>21</t>
  </si>
  <si>
    <t>45</t>
  </si>
  <si>
    <t>01</t>
  </si>
  <si>
    <t>15</t>
  </si>
  <si>
    <t>30</t>
  </si>
  <si>
    <t>31</t>
  </si>
  <si>
    <t>32</t>
  </si>
  <si>
    <t>20</t>
  </si>
  <si>
    <t>56</t>
  </si>
  <si>
    <t>02</t>
  </si>
  <si>
    <t>40</t>
  </si>
  <si>
    <t>46</t>
  </si>
  <si>
    <t>04</t>
  </si>
  <si>
    <t>50</t>
  </si>
  <si>
    <t>54</t>
  </si>
  <si>
    <t>05</t>
  </si>
  <si>
    <t>11</t>
  </si>
  <si>
    <t>33</t>
  </si>
  <si>
    <t>35</t>
  </si>
  <si>
    <t>27</t>
  </si>
  <si>
    <t>41</t>
  </si>
  <si>
    <t>09</t>
  </si>
  <si>
    <t>47</t>
  </si>
  <si>
    <t>49</t>
  </si>
  <si>
    <t>18</t>
  </si>
  <si>
    <t>51</t>
  </si>
  <si>
    <t>13</t>
  </si>
  <si>
    <t>08</t>
  </si>
  <si>
    <t>34</t>
  </si>
  <si>
    <t>17</t>
  </si>
  <si>
    <t>State + region density maps — EH&amp;B diagnostic (not a recommendation)</t>
  </si>
  <si>
    <t>What this is</t>
  </si>
  <si>
    <t>State-level density of three already-retrieved EH&amp;B inputs, rolled to Census division and region. No TAM. No launch rec. No metro operator share.</t>
  </si>
  <si>
    <t>Not subscriber share. Not Form 477. Not ATUS or ABS WFH. Not a new Census vintage. Not a recommendation.</t>
  </si>
  <si>
    <t>A. Charter vs Comcast</t>
  </si>
  <si>
    <t>FCC BDC D25 residential location availability (res_st_pct). Leader = strictly larger res_st_pct. Missing provider row = absent. Estimated units = res_st_pct × fabric units. Origin: RETRIEVED.</t>
  </si>
  <si>
    <t>B. Work-from-home</t>
  </si>
  <si>
    <t>ACS 2024 B08301 usually worked from home, workers 16+. State WFH = ACS only. Division/region rates are worker-weighted (sum WFH / sum workers). Origin: RETRIEVED.</t>
  </si>
  <si>
    <t>C. Large-firm density</t>
  </si>
  <si>
    <t>SUSB 2022 share of mid-March payroll employment at firms with 500+ employees (enterprise). Division/region shares are employment-weighted. Origin: RETRIEVED.</t>
  </si>
  <si>
    <t>D. Combined table</t>
  </si>
  <si>
    <t>One row per state: three metrics + division + Charter leader flag. Optional HYPOTHESIS score labeled as such.</t>
  </si>
  <si>
    <t>HYPOTHESIS rule (not a recommendation)</t>
  </si>
  <si>
    <t>EH&amp;B-plausible = Charter-lead AND above-median ACS usual-WFH AND above-median SUSB 500+ employment share. Medians are unweighted across 51 states+DC. Show the rule; do not call it a recommendation.</t>
  </si>
  <si>
    <t>Median ACS usual-WFH (51)</t>
  </si>
  <si>
    <t>Median SUSB 500+ share (51)</t>
  </si>
  <si>
    <t>States hitting EH&amp;B-plausible</t>
  </si>
  <si>
    <t>EH&amp;B-plausible states</t>
  </si>
  <si>
    <t>NC (North Carolina), TX (Texas), CA (California)</t>
  </si>
  <si>
    <t>Census geography</t>
  </si>
  <si>
    <t>U.S. Census Bureau Geographic Division and Census Region definitions (9 divisions, 4 regions). District of Columbia is in South Atlantic / South. Same map as Decisions/CHURN/build_plays_strategies_by_region.py. https://www.census.gov/programs-surveys/popest/guidance-geographies/terms-and-definitions.html</t>
  </si>
  <si>
    <t>Vintages differ</t>
  </si>
  <si>
    <t>FCC BDC as-of 2025-12-31 (D25); ACS 2024 1-year; SUSB reference year 2022. Do not treat as the same year.</t>
  </si>
  <si>
    <t>Unwilling to claim</t>
  </si>
  <si>
    <t>Metro-level Charter vs Comcast share (not in the retrieved state files). Subscriber share. That the hypothesis flags a launch market.</t>
  </si>
  <si>
    <t>Prior EH&amp;B files</t>
  </si>
  <si>
    <t>Does not change headline numbers in Comcast vs Charter.xlsx, Work from Home Rates.xlsx, or Small Large Employment Shares.xlsx. This workbook adds the merge + division rollups.</t>
  </si>
  <si>
    <t>Finding A</t>
  </si>
  <si>
    <t>Finding B</t>
  </si>
  <si>
    <t>ACS usual-WFH ranges from 22.9% in District of Columbia to 6.2% in Mississippi; worker-weighted, Mountain is highest among the 9 divisions at 15.4% vs East South Central at 9.9% (US 13.3%; 51-state+DC worker-weighted 13.3%).</t>
  </si>
  <si>
    <t>Finding C</t>
  </si>
  <si>
    <t>Florida has the highest 500+ firm employment share at 60.4%; Montana is lowest at 33.7%; employment-weighted, South Atlantic is the most large-firm-dense division at 57.0% vs Pacific at 51.8% (US / 51-state+DC 54.1%).</t>
  </si>
  <si>
    <t>Citations</t>
  </si>
  <si>
    <t>FCC BDC</t>
  </si>
  <si>
    <t>ACS B08301</t>
  </si>
  <si>
    <t>U.S. Census Bureau, American Community Survey (ACS) 1-Year Estimates Detailed Tables, 2024, table B08301 Means of Transportation to Work. Variable: B08301_021E Worked from home / B08301_001E Total; universe = Workers 16 years and over; usually worked from home as means of transportation to work (journey-to-work). Pulled via Census Reporter API wrapping ACS 2024 1-year release (release id acs2024_1yr). Do not mix with ATUS (any work at home on days worked) or ABS (share of firms with any WFH employees). URL: https://data.census.gov/table/ACSDT1Y2024.B08301 · Census Reporter: https://api.censusreporter.org/1.0/data/show/latest?table_ids=B08301&amp;geo_ids=040%7C01000US,01000US</t>
  </si>
  <si>
    <t>SUSB 2022</t>
  </si>
  <si>
    <t>U.S. Census Bureau, Statistics of U.S. Businesses (SUSB), 2022 Annual Datasets by Establishment Industry — us_state_naics_detailedsizes_2022.txt (all-industry NAICS=--, enterprise employment size); reference year 2022; datasets page April 2025; file last-modified 2025-04-10. Mid-March payroll employment at employer establishments, classified by enterprise (firm) employment size; primary split firms &lt;500 vs 500+ employees (SBA cutoff). File: https://www2.census.gov/programs-surveys/susb/tables/2022/us_state_naics_detailedsizes_2022.txt · Landing page: https://www.census.gov/data/datasets/2022/econ/susb/2022-susb.html</t>
  </si>
  <si>
    <t>Builder</t>
  </si>
  <si>
    <t>Decisions/EH&amp;B/build_state_region_density_maps.py — recomputes rollups from the three CSVs.</t>
  </si>
  <si>
    <t>fips</t>
  </si>
  <si>
    <t>charter_lead_flag</t>
  </si>
  <si>
    <t>margin_pp_chtr_minus_cmcsa</t>
  </si>
  <si>
    <t>acs_wfh_rate_pct</t>
  </si>
  <si>
    <t>acs_workers_16_plus</t>
  </si>
  <si>
    <t>acs_worked_from_home</t>
  </si>
  <si>
    <t>susb_share_ge500_pct</t>
  </si>
  <si>
    <t>susb_employment_ge500</t>
  </si>
  <si>
    <t>susb_employment_total</t>
  </si>
  <si>
    <t>wfh_above_median</t>
  </si>
  <si>
    <t>ge500_above_median</t>
  </si>
  <si>
    <t>ehb_plausible_HYPOTHESIS</t>
  </si>
  <si>
    <t>HYPOTHESIS (green): Charter-lead AND ACS WFH &gt; median AND SUSB 500+ share &gt; median. Not a recommendation. Blue = Charter-lead only. Yellow = neither operator present in FCC state summary.</t>
  </si>
  <si>
    <t>Census division rollup (9) and region rollup (4) — weighted rates</t>
  </si>
  <si>
    <t>WFH rate = sum(ACS worked-from-home) / sum(ACS workers 16+). 500+ share = sum(SUSB 500+ employment) / sum(SUSB employment). Unit margin = sum(Charter est. units − Comcast est. units). RETRIEVED inputs; DERIVED rollups.</t>
  </si>
  <si>
    <t>level</t>
  </si>
  <si>
    <t>name</t>
  </si>
  <si>
    <t>n_states</t>
  </si>
  <si>
    <t>n_charter_lead</t>
  </si>
  <si>
    <t>n_comcast_lead</t>
  </si>
  <si>
    <t>n_neither</t>
  </si>
  <si>
    <t>n_ehb_plausible_HYPOTHESIS</t>
  </si>
  <si>
    <t>acs_wfh_rate_pct_weighted</t>
  </si>
  <si>
    <t>susb_share_ge500_pct_weighted</t>
  </si>
  <si>
    <t>states</t>
  </si>
  <si>
    <t>division</t>
  </si>
  <si>
    <t>CT, MA, ME, NH, RI, VT</t>
  </si>
  <si>
    <t>NJ, NY, PA</t>
  </si>
  <si>
    <t>IL, IN, MI, OH, WI</t>
  </si>
  <si>
    <t>IA, KS, MN, MO, ND, NE, SD</t>
  </si>
  <si>
    <t>DC, DE, FL, GA, MD, NC, SC, VA, WV</t>
  </si>
  <si>
    <t>AL, KY, MS, TN</t>
  </si>
  <si>
    <t>AR, LA, OK, TX</t>
  </si>
  <si>
    <t>AZ, CO, ID, MT, NM, NV, UT, WY</t>
  </si>
  <si>
    <t>AK, CA, HI, OR, WA</t>
  </si>
  <si>
    <t>region</t>
  </si>
  <si>
    <t>CT, MA, ME, NH, NJ, NY, PA, RI, VT</t>
  </si>
  <si>
    <t>IA, IL, IN, KS, MI, MN, MO, ND, NE, OH, SD, WI</t>
  </si>
  <si>
    <t>AL, AR, DC, DE, FL, GA, KY, LA, MD, MS, NC, OK, SC, TN, TX, VA, WV</t>
  </si>
  <si>
    <t>AK, AZ, CA, CO, HI, ID, MT, NM, NV, OR, UT, WA, WY</t>
  </si>
  <si>
    <t>Geography map (documented)</t>
  </si>
  <si>
    <t>above_us_13_3</t>
  </si>
  <si>
    <t>above_median</t>
  </si>
  <si>
    <t>US ACS usual-WFH = 13.320218% on 165,360,450 workers 16+ (22,026,372 usually WFH). 51-state+DC sum = 165,360,450 workers / 22,026,371 WFH (13.320217%). Nation row includes geographies beyond the 51; use the nation row for US, worker-weight the 51 for division/region.</t>
  </si>
  <si>
    <t>Unweighted median of 51 state rates = 12.320286%. Used only for the HYPOTHESIS flag. Division averages are worker-weighted, not an unweighted mean of state rates.</t>
  </si>
  <si>
    <t>State WFH on this sheet is ACS B08301 only. ATUS and ABS are different metrics and are not mapped here.</t>
  </si>
  <si>
    <t>susb_share_lt500_pct</t>
  </si>
  <si>
    <t>above_us_54_1</t>
  </si>
  <si>
    <t>51-state+DC SUSB employment total = 135,748,407; 500+ = 73,497,851; share = 54.142699%. Matches the published US all-industry figure in the source analysis when the US row is used separately (US row includes the same 51).</t>
  </si>
  <si>
    <t>Unweighted median of 51 state 500+ shares = 52.501994%. Used only for the HYPOTHESIS flag. Division averages are employment-weighted.</t>
  </si>
  <si>
    <t>Charter Units</t>
  </si>
  <si>
    <t>Comcast Units</t>
  </si>
  <si>
    <t>Total Residential Units</t>
  </si>
  <si>
    <t>WFH Workers</t>
  </si>
  <si>
    <t>Large Firm Employment Workers</t>
  </si>
  <si>
    <t>All Firm Employment Workers</t>
  </si>
  <si>
    <t>Percentage WFH</t>
  </si>
  <si>
    <t>Percentage Large</t>
  </si>
  <si>
    <t>FCC BDC D25 / ACS 2024 B08301 / SUSB 2022 — availability not subscribers; WFH is usual commute; large is enterprise 500+. Live INDEX/MATCH to Dens-A-CvC (charter_est_units, comcast_est_units, total_residential_units), Dens-B-WFH (acs_worked_from_home, acs_wfh_rate_pct), Dens-C-Large (susb_employment_ge500, susb_employment_total, susb_share_ge500_pct). Match key = state (row-4 header 'state'). Blank = missing on source tab. Formulas refreshed 2026-09-22 (INDEX/MATCH; XLOOKUP was #NAME? on this Excel).</t>
  </si>
  <si>
    <t>Percentage Charter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</si>
</sst>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0000000000"/>
    <numFmt numFmtId="166" formatCode="#,##0.0"/>
    <numFmt numFmtId="167" formatCode="0.0%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rgb="FF1F4E79"/>
      <name val="Georgia"/>
      <family val="1"/>
    </font>
    <font>
      <b/>
      <sz val="10"/>
      <color rgb="FF1A1A1A"/>
      <name val="Georgia"/>
      <family val="1"/>
    </font>
    <font>
      <sz val="10"/>
      <color rgb="FF1A1A1A"/>
      <name val="Georgia"/>
      <family val="1"/>
    </font>
    <font>
      <b/>
      <sz val="10"/>
      <color rgb="FFFFFFFF"/>
      <name val="Georgia"/>
      <family val="1"/>
    </font>
    <font>
      <i/>
      <sz val="9"/>
      <color rgb="FF595959"/>
      <name val="Georgia"/>
      <family val="1"/>
    </font>
    <font>
      <b/>
      <sz val="16"/>
      <color rgb="FF1A1A1A"/>
      <name val="Calibri"/>
      <family val="2"/>
    </font>
    <font>
      <i/>
      <sz val="10"/>
      <color rgb="FF555555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Georgia"/>
      <family val="1"/>
    </font>
    <font>
      <sz val="11"/>
      <color theme="1"/>
      <name val="Georgia"/>
      <family val="1"/>
    </font>
    <font>
      <sz val="11"/>
      <name val="Georgia"/>
      <family val="1"/>
    </font>
    <font>
      <i/>
      <sz val="9"/>
      <color rgb="FF555555"/>
      <name val="Georgia"/>
      <family val="1"/>
    </font>
  </fonts>
  <fills count="1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4D6"/>
      </patternFill>
    </fill>
    <fill>
      <patternFill patternType="solid">
        <fgColor rgb="FFF3F3F3"/>
      </patternFill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4A4A4A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  <border>
      <left style="thin">
        <color rgb="FFD0D0D0"/>
      </left>
      <right/>
      <top style="thin">
        <color rgb="FFD0D0D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9" fillId="10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2" fontId="4" fillId="6" borderId="1" xfId="0" applyNumberFormat="1" applyFont="1" applyFill="1" applyBorder="1" applyAlignment="1">
      <alignment vertical="center" wrapText="1"/>
    </xf>
    <xf numFmtId="3" fontId="4" fillId="6" borderId="1" xfId="0" applyNumberFormat="1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2" fontId="4" fillId="7" borderId="1" xfId="0" applyNumberFormat="1" applyFont="1" applyFill="1" applyBorder="1" applyAlignment="1">
      <alignment vertical="center" wrapText="1"/>
    </xf>
    <xf numFmtId="3" fontId="4" fillId="7" borderId="1" xfId="0" applyNumberFormat="1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2" fontId="4" fillId="8" borderId="1" xfId="0" applyNumberFormat="1" applyFont="1" applyFill="1" applyBorder="1" applyAlignment="1">
      <alignment vertical="center" wrapText="1"/>
    </xf>
    <xf numFmtId="3" fontId="4" fillId="8" borderId="1" xfId="0" applyNumberFormat="1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2" fontId="4" fillId="9" borderId="1" xfId="0" applyNumberFormat="1" applyFont="1" applyFill="1" applyBorder="1" applyAlignment="1">
      <alignment vertical="center" wrapText="1"/>
    </xf>
    <xf numFmtId="3" fontId="4" fillId="9" borderId="1" xfId="0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3" fontId="4" fillId="0" borderId="1" xfId="0" applyNumberFormat="1" applyFont="1" applyBorder="1" applyAlignment="1">
      <alignment vertical="center" wrapText="1"/>
    </xf>
    <xf numFmtId="2" fontId="4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6" fillId="0" borderId="0" xfId="0" applyFont="1"/>
    <xf numFmtId="0" fontId="0" fillId="0" borderId="0" xfId="0"/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2" fillId="0" borderId="0" xfId="0" applyFont="1"/>
    <xf numFmtId="3" fontId="13" fillId="0" borderId="5" xfId="0" applyNumberFormat="1" applyFont="1" applyBorder="1" applyAlignment="1">
      <alignment horizontal="right" vertical="center"/>
    </xf>
    <xf numFmtId="167" fontId="13" fillId="0" borderId="5" xfId="0" applyNumberFormat="1" applyFont="1" applyBorder="1" applyAlignment="1">
      <alignment horizontal="right" vertical="center"/>
    </xf>
    <xf numFmtId="0" fontId="14" fillId="0" borderId="0" xfId="0" applyFont="1" applyAlignment="1">
      <alignment vertical="center" wrapText="1"/>
    </xf>
    <xf numFmtId="0" fontId="13" fillId="0" borderId="3" xfId="0" applyFont="1" applyBorder="1" applyAlignment="1">
      <alignment horizontal="left" vertical="center"/>
    </xf>
    <xf numFmtId="167" fontId="13" fillId="0" borderId="6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horizontal="left" vertical="center"/>
    </xf>
    <xf numFmtId="3" fontId="13" fillId="0" borderId="10" xfId="0" applyNumberFormat="1" applyFont="1" applyBorder="1" applyAlignment="1">
      <alignment horizontal="right" vertical="center"/>
    </xf>
    <xf numFmtId="167" fontId="13" fillId="0" borderId="10" xfId="0" applyNumberFormat="1" applyFont="1" applyBorder="1" applyAlignment="1">
      <alignment horizontal="right" vertical="center"/>
    </xf>
    <xf numFmtId="167" fontId="13" fillId="0" borderId="11" xfId="0" applyNumberFormat="1" applyFont="1" applyBorder="1" applyAlignment="1">
      <alignment horizontal="right" vertical="center"/>
    </xf>
    <xf numFmtId="0" fontId="11" fillId="11" borderId="7" xfId="0" applyFont="1" applyFill="1" applyBorder="1" applyAlignment="1">
      <alignment wrapText="1"/>
    </xf>
    <xf numFmtId="0" fontId="11" fillId="11" borderId="8" xfId="0" applyFont="1" applyFill="1" applyBorder="1" applyAlignment="1">
      <alignment wrapText="1"/>
    </xf>
    <xf numFmtId="0" fontId="11" fillId="11" borderId="9" xfId="0" applyFont="1" applyFill="1" applyBorder="1" applyAlignment="1">
      <alignment wrapText="1"/>
    </xf>
    <xf numFmtId="10" fontId="13" fillId="0" borderId="5" xfId="0" applyNumberFormat="1" applyFont="1" applyBorder="1" applyAlignment="1">
      <alignment horizontal="right" vertical="center"/>
    </xf>
    <xf numFmtId="10" fontId="13" fillId="0" borderId="10" xfId="0" applyNumberFormat="1" applyFont="1" applyBorder="1" applyAlignment="1">
      <alignment horizontal="right" vertical="center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167" formatCode="0.0%"/>
      <alignment horizontal="right" vertical="center" textRotation="0" wrapText="0" indent="0" justifyLastLine="0" shrinkToFit="0" readingOrder="0"/>
      <border diagonalUp="0" diagonalDown="0"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fill>
        <patternFill patternType="solid">
          <fgColor indexed="64"/>
          <bgColor theme="4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rgb="FFD0D0D0"/>
        </left>
        <right style="thin">
          <color rgb="FFD0D0D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167" formatCode="0.0%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/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numFmt numFmtId="3" formatCode="#,##0"/>
      <alignment horizontal="right" vertical="center" textRotation="0" wrapText="0" indent="0" justifyLastLine="0" shrinkToFit="0" readingOrder="0"/>
      <border diagonalUp="0" diagonalDown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eorgia"/>
        <family val="1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border outline="0">
        <top style="thin">
          <color rgb="FFD0D0D0"/>
        </top>
      </border>
    </dxf>
    <dxf>
      <border outline="0">
        <bottom style="thin">
          <color rgb="FFD0D0D0"/>
        </bottom>
      </border>
    </dxf>
    <dxf>
      <border outline="0"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  <cx:nf>_xlchart.v5.6</cx:nf>
      </cx:strDim>
      <cx:numDim type="colorVal">
        <cx:f>_xlchart.v5.9</cx:f>
      </cx:numDim>
    </cx:data>
  </cx:chartData>
  <cx:chart>
    <cx:title pos="t" align="ctr" overlay="0">
      <cx:tx>
        <cx:txData>
          <cx:v>Percentage WFH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Percentage WFH</a:t>
          </a:r>
        </a:p>
      </cx:txPr>
    </cx:title>
    <cx:plotArea>
      <cx:plotAreaRegion>
        <cx:series layoutId="regionMap" uniqueId="{ACFAB797-2E40-46F4-A0BA-3AB78A6B1B2A}">
          <cx:tx>
            <cx:txData>
              <cx:f>_xlchart.v5.8</cx:f>
              <cx:v>Percentage WFH</cx:v>
            </cx:txData>
          </cx:tx>
          <cx:dataLabels pos="ctr">
            <cx:visibility seriesName="0" categoryName="0" value="1"/>
          </cx:dataLabels>
          <cx:dataId val="0"/>
          <cx:layoutPr>
            <cx:geography cultureLanguage="en-US" cultureRegion="US" attribution="Powered by Bing">
              <cx:geoCache provider="{E9337A44-BEBE-4D9F-B70C-5C5E7DAFC167}">
                <cx:binary>7H1pb9tI0+1fCfL50sPuZrPJB8+8wJBaLDu2M3aWSb4Qiu1wbW7N/dffQ0uOJY4SezC+uBDu9QQT
xFKLRZ6uqlNLl/572/3nNrlfl286maTqP7fd72+Dqsr/89tv6ja4l2t1IsPbMlPZ9+rkNpO/Zd+/
h7f3v92V6zZM/d+oTozfboN1Wd13b//nv/g0/z57l92uqzBL/6zvy/76XtVJpX7x2sGX3qzvZJjO
QlWV4W1Ffn/7R7L+tpbrt2/u0yqs+g99fv/72703vX3z2/Sj/nbZNwkkq+o7rGX0RJimQSkVb98k
Wepvf69Z5oll6IxRndqbn8eLXq4lFr5Akgc51nd35b1SuJOHv3cW7omN3797++Y2q9NqfFo+Htzv
bz+mYXV/9+amWlf36u2bUGXu5g1uNsr+8ebhZn/bf97/89/JL3D7k9/sQDJ9Vs+9dAgRFb8iIKZx
QgzDEDrVN4/d2MeFcHpChW2ZxOB/Q+QZSX4KyMO6KR7nR4mHu07C71mZhq+ICRMnlBumaRNbf/gh
E0yIfWISQQUxyCFdeZlMh9HZXTtByP3jKBH6HKrbLFVh+rh9/70VM4wTk9k2Z+ZWaex9gCz7RDBq
c26zDYDs8dobY/YikQ7js7N0As/n1VHC80cZDln6mtpjnFCbUWoRY6McE09DCDmBC+K2yc1H7dq4
t62neV6gw9D8uJMJMH98PUpgLu/bN1+yMn7cuq+gNvTEZjY1Ri//8AO12OUAgp+YeIXD12yQMx+v
vUHmJRIdhuZp5QSbyy9Hic3sPlm36/L+8fn8e2yYfaLrljAp45tnPzFpwMYwLdNgxNq8PmEDL5Ho
MDZPKyfYzOZHgc2vSeQucd575z8lzvYJ1xkXBhMHdccGfsRicEtb3QGP27VqE277c7EOgzRZvncn
R0Kcy3idqjV4/e697225fwqJcQJdsHRGtipj7Zszm54YzCacc2sD2URl/niBRIfReFq5Jz+Cmuuj
UJk9qRFmulmSleu77BWxsU4ADee6sXU1Uwqt8xNuiFFhHi+68TEvEeUwKE8r924Pd3d1lKC8v09T
1SfN+lVjG0OH0iC02aqErk+AEeLEYpZlC7Gl1lCqXTv2UqkOY7S/eoLT++OMb9wsTe9vq/C2rh4f
1b+nAwY54YITzhjf2K4pTMjjMAscm06M2gulOQzP3uIJOu6Ho9Six2Tam+z7G1iIWn571UwBzJwO
M0bYJG0DNdKJSW2TbenahA78U7EO43X4UybAzdyjBO5iHab3r6hQ/IQhpWPwR349iUpN+4QSBD66
OMzfnhXnMELbZRNILo6DWe9JDZqwytr1KyJCT/CwTVBq4zCjZmDcum4Sffv6JBp9TprDgGxW7d0Z
buw4Pc8CrC28e0VIqHXCkTWDHmxj0EkQaoFRW4IZ1DqcV3uBQIdR+bFwAsziOIsEy/us9F/Vz9AT
04C7N2xykA5Y7ARFBCYMfcvrJqz6BQIdBubHwgkwy+PUmFNkbcLw9WzYQyEAaRudwTjtptIQdZ5w
KsboZ2O9yONFN2HO84IcxuNx3QSO09VR+vjV3Tp4xaATZQHQLV3Qx7LMJCFACOoGqAkIS5+w5mcF
OYzGdtkEjNXsOMFIkjDNwldM0CDWJMACQf6WU03diY3ap2Uybj3lPHdjzdULJPoJMD9WTrE5Tofy
ea0CdB5U2WsW0cSJQQhSmpbYePsJIyZUP+Ecbkc3Nk5nYsJeJtNhfHbXThD6fJyeZZXehetXLaPZ
J6g/24b1mL2ES9/1MGjYQPgP6B6LOVOT9rxAh7H5cScTYFaXR2nWzmFR6tu4f/S//z43g/YAuHZq
mXzbKjNxMxYHMkIIRrYseYLMSyQ6DM3Tygk251+OE5vXrghYiE8MQcfs5cMPTNauztgWCALKNCjk
/DB5uw7n/Fl5foLLdt0UlZujROVdVofqlY2ZfmJb8CLmj8hyAgxBVppYaBp46oLaBeZFIh3GZmfp
BJ53x+lpLtZln6zTu1c0aMhiwqJBKfZREeaJ0AmaOR5rmpOo8iWSHAblaeUEk4vj5M43WV0Fb9x1
mYFDr18RGYb8Mh4/Jdu4f0oCxmoOgn701GwM2iRH9nK5DuM0XT9B68Y9SgN3HaCf9M1Kva4WoWRj
UgtdZ9uMvz2hBQIlHWJZ+tj69PAz0aaXSnUYqf3VE5yuV0eJ08VaqfVtUKv7qlKvp1QGPUHzJvo4
7KcS5y5LAFCmjmYPZiEi2vVCL5bnMEST5ROMLo7TG326L2WWVo8P6t+zayRxdMEp/pvYOoEcqElN
27TQ+jn+TGj1CyQ5jMuPhRNEPn04Tq0Jb4PQX79mpgCNNsIQNuqcmyc/sWwIeATTbcSih73QxQsk
OgzN08oJNhdHatFCpbK6DF9PXRhCGlMgR7BN0uh0n8ONTVAIRQWhW2wmWnPxAol+hs3jvUyxOc5+
m4sQfRwqq16Rvhkmis42QRfatixDJuDg8IeNWhq6pR93xKY88CJZfgbLj9uY4nKcCZxxh45/8vw1
1Qb9MxSFmx+ZZ3sfGZwgQHs6Rfvatn9tQqxfKNTPINq5oylIN8fpdMABXjX9aaCBBs1PxEZN8+Fn
wgaIDoQMTqg5tt7ssbTnRfkJLI8Lp5AcJw+4vP9Wrp85IfbPDg+OTWk49MSE2Bzc+JuvsU+Q5BEU
PewbzCZK8xKJDkPztHKCzeX8KNXl8r5Zv2bjBk4PMJRq0N10OKQhxIQ944hoEICOP3BEuzrzvDw/
w2VzH1NUPh0pKu2b07XMUWt7zaMdBjsxLRyqsR/VYmLKxsQAVIoiHN2ozYQMjIdnXiTWzzDaWz6F
6vRooTq7L9V9/7iRXyHyRLmaAQTOtsm2CZUW6B4AYcDp700UZE8cz4jT8zL9HKTHtVOEzo4Soas4
QXPHq55dR0uNxQy0DG7UZNq6bqMup4+daWJb0Aan2zVyL5HoMDpPKyfYXB3noelxp17cd+HtKzbf
MOMEaWoEmsaWHEysHNHNEwJ4bGSr93F5mTSHkdldO8Hm8uIo9eYyK//PlBKgPQy9Tz8owqTdQ6AZ
xwJDMM0tflPy9mK5foLUZP0ULfeI0Zqt49fNG6A1xzAZNGWb6pxEp/BPOA06HrJ+dEUTjXp41s9L
9SukHldPcZodJU5XQfiKtg6NbQY6PBGcHqbb6JPGKwyd0k+HRfc80TPSHMZlcw8TPK6Ok79dlff+
qzazoVAK24VmQnNLzvbzOZtmNkSnOHS4ryvPS/ITNLZ3MMXj+ij1Y1PofdT5zV59BUYNTsDGyTWP
jGzic0Y7RpmOFKk54dIvlecwNvurJwjdHKcF+4DjoBisdH//uH3/PTyMY+YTetj0bVJgms9BiyEz
GB1H3WwY94S4vUikwwjtLJ3A8+E4s9Qf7rtXPdtO4OCZZaCz48ej361RY9wAwxgPNLo99SDuephn
xfkZLA93MYXkr6O0aR+rdfCKyoInjqYB5Gm24eckO/Aw1kaghY2aE+b8nByHodismiDx8cNRIvG5
zzDXzn89MNDCATdvItO8rQ5MwdCRC+AYrAasNnzg8dqb+toLBDqMyo+FE2A+fzlKYD6FOKf2qvMF
xuZoQi0bRenNg7f2iZiwTsbhAxzHdDavI02wa7heItFhaJ5WTrD59MdRYvP5XlVvnm7qtTgZGgYw
/xGnPtDY+fAz4WSWjtl2CF1sfet5JgC9WKzDKE2WT6D6/H+pcPDzgZE/hmnO1tV6/jCFc2dm5K9f
fXgCGA06Wbrd7wf52wbl1d3vb4k9Dnz8Mdxz/Iw9Rfkx7Wy65H6tqt/famOBFGcPORoQcBJhLA29
fdNiS40v4RwcprOhyQ1tITgwZ8J6pmPKAPNBUXYdV1kWTsmNr0AGdKw8vETgAMEU8XEWJu4Q68fo
0/dZ0iOa+/Ewtv9+k9byfRamlfr9LaVIYeSb9413x3VMh4FctmUhnw7xxgOU+e36Gm4Cbyf/SxZC
qS4223ckzJOuMB2rrTCt1UElJdPPs7yxqHSjQlRDvYypTKT+ucJJMzKP01yqD1Qa1VA6OHym03lS
RmXeRq5o0iK3bkIzzZVZuXWUhqR287Yz0oXB2lS6aWr3p5HWtlrgppxS2azKOpGqUc5Q1WmVX6RJ
H6Wzpgkt5dhWnr7jXtSdZZps9FUUmv1Fb3jeh4gV+VmqmX9pKmuWbdYI39U7e2bzKH8XSRUuZdTV
xOE8ph8CMxxSNwzqVnNs2ca+Y5WNPW9ZUbSzpBz8zDETs7se4oav9Zx6sYOH2lyEeuCVcxpUbe2U
TR0Ojs18PVmmXZMsu6ZMrBm3s3BlSr8Ql7ZdNZGrej1cFpqW4TPzvlpWZdzUjpZoiRtIIz7NvbJd
REMpBkdoKT44NSKvc2XjNVeUe+mXqu3JdWsGabPMqqiaBUo1vuPnPe1c5feDo2JZziJeNH9VpdF/
8oZMmG7pF3m36jKrix2v5LhRw9Nr+peXRMW7lpNkqahZzg0SN3PTzwviKFK+a7OM5DO0nrVz3WRB
7oRxy1emp8QnO+q7d7RqbbUMI6OoFoEq9cRpsNVnGqt7/c/CjOe00lK5ZFXiuWbGu8Fpoko4oYoi
zeWNbISDkWplNtNrgzu52cjTIvOCWec3tbWgbdvO2yrKXOnTxl/0tNLxoP085y5RSftdeKG+Hjjx
FzHH0MJF7IXlXE+Nfi2Rl6MLu5R8WWddfkPSMjiPzSr5K9Mj0/H0hrRurvnVadIEvj6jpbiSsi9n
NQ28eRlkonDzICHYNKQjzdz3k2LRN343D0RpX3W8yJeFV9ZuXRj+WWB7nXAyJuMbM2E8d3hQJ3d6
pGWryovoqpJCzjBowfsKbSgbJ42I/c2TDQmdXlVNvPSrgn7wkrBetaUUC5o0InDs1FM3ltHc6i3X
Zk1vDTPPKnvpQAPCVSZyJt3e7xrb9U2LvJNmYpzFAbe+IAlDl40KTM/haiBkxhvqO4pKjc2UV3zg
RlJeFpY+fEsq6c3qwu8/1WEuT73Bgwpqmm5HTq4NbN7kmrrqsy69LHgUtU6VRVHo0Cb0XK5ia0YC
L/to+kXltJqdrlI79D9XRSI7x6q85Do2cuqqIc6XTSWXVWZhHwrPqB1uxPqfPChqt686Zi+y1KAt
LItHvPM8tyKn5lV+VUrPXihTT+5TEverwsY84i4oIqfpettJveo20kNjxvq2dbkVGqdRYttuZtB1
1/afeVJyN419u5vZDRVlPCsYB46tkxdBXpvvW6V5Pi4bc7PuS2d3tvGeQb3N8r4M/WA7TvrHP//n
Qybx52HY8dMvx2nUT/9C/+RmjPUv34VD/iMtVtM3jV7xx2c9jVUeXdGPGcsT37YZfP0Tx/fLF1/m
FTHSFY7k515xd3zuk2PcrHp0jPB+BKE1h3ejmA03nnp5dIwUCSu0fqNHX7cw/tdAwmPrGBFx6EQg
w4hGS+g2GvmfHCNFZQUfiGPlG7dJ/olnJLjGnmPEYFQ0ayKViZ5ajNoYWcCuY6wGluVFXXeXacvs
edN6sIsZi0TsxqJt/jQ13p9FXZPGc12Pqy9VZjQfY0N1haPstPi88/S222zXTxOwwak0hm5THGc0
dEygMEdpd9y0kfZ5bAd1c0mLlFz68ZB6Ti0yM3C7pspsp2mN+ouAIodOKa2qcIuohIPzBiUMF2PG
0ju7qvQrfEZQz2iSkI8D1yyy7E3u3ZNeI93i1xJTZA7/JrEpTMvGUQyhg15MJA5FAGz76pJ10MeZ
2Q3Jx8ZAG+aiEn3GnabvSDQLhWc5gzB72MhYZ0vZlD2ZlU1W3QWdUsQNtZzPFCa+N04lA71xRMlj
f+5nUfA+ru0zqexAzZD/tz+poDiPk5Z381Bp5kVYBo1c/vqu/g4DJk8iZKLIPxDY1/Gmd2AQvea3
Wp6oy7Ty7E+ZD3bvGDHF1sjTunvfdqV9k3skQSbnh/IcgH/ca7skTRAhCCa+2MjSjv8bxdq5LNc7
38iVn16m1kAuSRzUl6kq3dDyAjD5X10J6vO3K9kYgi4wEAB1lbFGvHulHF51KOAYL61cN9ZFm5XJ
0qusnjpxHsz1ok4Gl+m9lbkR4618btOMm2L/RrFRcOjAGIdEwTpMLo8O6jDwUxleiiLmaxnVfB1j
+k6y5INUc7MEnep1QL9sk6KlThFn4r5KbLVq7d5415ms1F3WRlnsRiKVH1mZUzYLrL6/z7Umn+na
IIULsmaUp5hqPdQbd7CZdH8AJ/J3oDA7FmYD5Q+Kfm9jZNs7QOlmzVPOPe2C1J5ch2WlfIdocZUa
Duv71D9rgzD+5lt2/q4bimBhZkYXupQ04nslhiFz+8AXrpFFzX1YMnHX8DwQaEz5FcQG/xvIYzqZ
ibFEgxHD4P/7UpqlFeplULELMLrcs61ZZQfDsnvw0VVT127ZFfqfjex57QRBINySpCCOZb5MRlcf
J4W8zhMO/y+S1v/cRjJbgeFUTg7C9NEcKYNXpJ5bP/CIsGLgFF6k0st2JBrFSDl8n4B9aA9MhDaB
POVgbdc08t/7fco6J6lFcVmBxVQPfMYcqQ0JewrbYNTD4OitFb1LRhoEfmucBSM1Gh5YUqsHhsQI
OpAn7YFHtSOlIiO5GqLuNldFdVPrGphXKyux8FRRrwyP0g9FQNp46QkNfG0IYu8bppqDxYVpoX2t
R2qX54qu4izNV6Swk7uwyU3o/UgHwwdm2IwksRzpYj8SR4Kc/1XRym5utGWxIA8MM0Es6LtN61uF
24wkVCoGOprbV4GngaESklWncDW0ddORwlqVSP7qpB6c09LObzirQHXtSKNgTHJYW2ZWzpXeRcOi
iS1/oXWdvqYjaVYP/Hl44NLpA6/uRorNRrLdP/DucqTgScXkaQqq7dgPDB3cHGw9emDuwmuFIx74
vDFSe/bA8kvwfd8YmX87BgHhQzwQPcQG7CFO6Jjo3pnxMCTen3VbVFI6fZj0aXkXeAGlwxfVap2Q
YL4lTHl2S3sZVax06qquc/2yiisZd2d2WAzLxq4rbyXLMMydiCbZjS40top6xkZKbiee0xe63QEu
aVmz1PPgD6skbou5Gbe+7pZJRbyroNBNkZ3GvWiDWd8ldvXOVBXDjmq9jKjWreELF6YWRN5VA9Ux
fbewcgsbjsVKLtIkLG0nKeC8vHnXhKareTiBw53eQxDiZsqT0g3suvUWbSISOVceWMGCp74cXGvg
sJgpjY3alUGpIXRSva/eq1CTcp75ofVdqxsR6jM9o9UyNKzauuRgrN5ZykQleOSmnSqG/lQhNCuD
ee4HQs491QwFAh+Vhos+MWV/qislc5fTPgld0fE+WZZhEWouYKWftVwOZMaYGSNAiaWuXSWRrik8
8jT9HElpyxUr7SqZx0FlXg91xdgCYQ0l50EbKJE6IkD4u/TKJk9v4IzZWeQPNF7UOSSYZ1XiD3OL
dIPtWlGftxfS6rG1NahKOfMIqc9Kxnky8z3m1zORNoAzFAr8JB0iNtwnMbPNmQUBJGi+DIoVAeM/
9UMRmy6N44LNwiz0ZkPtxdzR2jK330deGxkuC4tocGQeDdq57iXGguSezyGuLfI56YMhWwUhaf15
bBsBQgK8zyF2aKfYPj4r3K4NtcGpulD7WqZ91mtOCD2il2RIwyF0rMbQ2Ic+aWl9aeZ2n81Su6gu
eJ3CJflKxFhgS1SIFl4YkPTLQJI0OCt6mXQL1fIhPCeVX30wIsrXvPOk51gEm3dRp51gc2UOyCXI
mkRylrAiVq7VevOQhMWXpG3BLCI/am4UN9tveRmw00a0vje3Yq5TJ7U8fA5PsqhbpGVDLocuZ8af
quLkA6k0vKM1NWW5FelFN2+ojMLTsqO0XaXCV/Qq1IT9KdWLcXNGUaGWIlGBet/1RmW5ejEmR4I2
hWCZgtE9hwezP2GmA3a3hJUsZzii1iHsVbZH30dlHcfX1EptY9UZUVtfVF01ks+g797zWDO7edZK
XDrLhqFxOiqrYanHYrz5UfQW9gly5ZJcGjzFXdQFx6MK4iweXDtuoDp54sfhn2kpoPJlDVbg4zXY
VFqlwVVBjL5MHZYHOuBuy66+kFqQKyfU66JbdDrmhs37pqCj0YAyubgjGJDOJiNPrlL5yaPMPrOa
MLQcK+Ax9kXvm+s2ZRCjK6P+mlWdrs590NwIObE0jm4seIulSnVyWdh+8cXQqVk4gRGE9CyzfLs+
94LMb2Z9KYoWBLdny5zisbq6KPrbOIn5+65WenZa6H0Tf26RO1Kn0tPk936wRxsSFkkwQxxgsXlI
+0AtclPanzXdkwvZ5n7hCANmri/b4DrMKnVuyzjiM05L6sPsof3CaQJqfyojrfHnCU2hJoPmMXtl
pBkp7iUMcn+GwTbQjXa02POIa3iiXTM0cziZtjgnZU1N17OTqoGnZY0O6l1EX0u7sT9oPWj62WBX
JbmrVNorRxIimlXYUnxUJ0kwuEbrm/4qByytq8W2uRiypqkuul4kN1GjCscS6tSQXcNPh9YEOLFO
1LDMkzjLLlKzM95plW5k86BIZXPu920euBZXMvgAJqLudDuFGYHpVI0TB6pFmrBtrAJeoC9uEr8g
4V8kG5jVOAMYWP8xr5hm48MUcnmB0GL/TPPy9hvSQlrjJkKZ8SpEMv7PDvmCYVnWhQrn4TBm+0Ja
Rex9FycDv5RmniROkTe6eWGQwOjcHuxGzdsgB2qtlYa+Uw5CwnYolcxJx7py1iTUKpeDVWD3x0bn
i1nv9bpyPaRHi88t78mHKEAaBOoQ2p+w16V6n9rIhixqmtvRwpKB2Tpd/YVadWsRJ44b8ZHTFGnL
lvuVcWF4idVcF56ySzh37Oh5HjKgicAB6buQVXH2TpR5wN7TTk/MlddlNu6r6zT/Ii61vJ1J5cFm
IC9UVxdJ4kH+0o79hQqsOJi1na6v+sKA3vemKUIkFQOBtk+w0m1Gf8udN6np3VzGbmrj/8lMCgId
ipz7DwL/twLDbtl6TNlvFzxmUcbyAtqtx4EG+I4qtGU/ZVGQYNFNfI8Yx+hW1PrGjqvdLAoZQ8qd
usJYctB1pnMiHspS/J+kT6xp+I8ZmWxMnICVgOeiH2w/xsiKLAyy3uov7HTQhhiuLe/7hTRb+5OU
BlvFXQfr3vh+fq64oe5I34fLLjS7932RlqclQs9zmmfd+6iu7bkMSXcd9D1/L3OidOZkSRd6Vuyw
Vq+b4VRK0/Daa030XVq4td1gXMfHwOtsmZ/WkkaO6bdNETh64mlXtjQaeZahWKFsxF4ks76zXPRh
fdqi571rVr6oSeitPNFp0RmC5KK5yRs85BstzQSd50ZAjbkfteVwjmdpsCsrRu5ex2UDZOh10/El
hYX2jaGvrkuJcKRuk/ASPDFYFoIOzG1T0/uQShp8GKqMneKmslky1Nq3NpDhBysySiSmZRD92WX8
surKYjXw0F8EmVevMZsU2qmkFyFPX4auqUfMtbOmT4Rrd4OgKdhZE3LhO0PcdnTetnpTnFMxyJS4
UWp1l4EfN9qqa7O2n8Wx5vc3Wk/qASTUjyN/4Rk5DqAtadgF9bLx9KwqTonueyRMHBk3Rdxdm4ke
lhd5p7IUKMhNCef/W4Sdrw+83f3Svcfi+6jgdNThX9iD/W/ne8quPqzbmgXTPEF9kKHYgFocgnwd
6rdJrqKJbOwMQLMZzkHh29XGBOrWKuAAFAMxwHdBbAfabyuOBHOJGEWbrU1w7NDGF679E8vAxuzC
U45nvCLBl+whu4MkGppF6Zid2MmRJCQqU3BIfm8Rr4Ju09zIURbT8yYcPnFe5/Ha0EquFmnRq96Y
VbTjQedqmad/89PSSDU3o10szuyA9/UstrW0OG1tmagL5CRyrXeyuOP5Nx5XUZfNNNNMoCA+sjXk
XnRZX18nQSeStWXx3LtlkhXmpW+GRc5AYpA5TFxs/1JeBUSv2nTmJ7yMkfptuZTviOgLiOxLSfpz
KlkafddUk2HNDqQHEkn7eUb0lCPXi8yMaYzfEYHHNc0zEhnWgRlY916bpVFxWkkjMU4To1GlOB2U
X4WtO6BgG35PdC+k3jN5OILK8x5GaGhD7wHScDgogsnf9vj6DkaIyixUZMzwLiIxi0MXRoozROw2
1YpoUXatX1YzpJB8I3A0Qxvy9H1rsF5RlxiD2bKzCpVLFTtZVrCSXGJYT4HXfv2MRg+ys49A2hlD
lhItLkhijdtyX8YuCDUalEy7M7Wy0enMH4QvikViGRXTnbSsTPMrYiWvWv36uhNsxusaNqbboQGN
Il09vW5e95nINGbd+YjzlOk0OhLCfwXIIaXIKERhHV6lHr7ntELuLEOb2jM5xjGFuH/byM1iXitF
YwLa3MTEsfq8CTW9C9idJhJRMJe3usnXUCStWmVDKJLLUCMZuWBx0dc3sdL1IXBw1DLBQ/n1g9hP
dqKnnlOMJUXpZjyijzkxEwAqM9SjPk69W88eUl4usyKXXj/XPOTk+2VvlR1Q+fUl/37zODpr4ugZ
+h/GgVyTokIgAlSye728M8wWWr7oiTmAJvOyrZUxRz7cML+WNZ46qjAmmgi/ZgivSpRvwkzP22c2
AplYMjwAfOsEtASKioHHCH/3d6BvDxG380r7hoOsQmqnXRWMCiG7LEANs0aCYjDcUCKCzp0OaX1I
xdFMUN/I3Ix6N9VImd7YMpBlOit4VtJr2YSp+vbrZ7af7TUEhsvqmO2PQ/oCNhxDgPelRF7KKvVi
6L51ZVViE+h1rONh6V3LuIbwljXaTU6RZIHSVG02/hXmfv1PHxbOPuNrBpiOtjNk92Ha9sWwCqqq
XpnZtzThGmx4BOs1tCgD6VXPz5nHYfeVX+PLomTEU1jUMpcl4aeWhhA2dooA1na0/EjqtJBwSJpz
o4vzTD5jVsh0j2GGG7rmKM6YUiBsmhP/1KFBJQdpZd+UR01NzqNK5Un9vhiqME/dtugLCKcJ2eC1
rC9k1s+seOi1mzbPvRVCsCTyXTkMen+OVBYKRU6KDh8PfTBc15JrhPH+IF1kHDqYRKpFPUnPdAT9
+NQ49NqieEZNJ5VMWCpkCWwMbNIJDqfjiwUmFgM7My2atMm/Cp7xiLu5jtO1heN5tW2XLhmQUw0c
r99Yz6Q28Bo4N8xJTjwLL3VtxcxiUbfseYU2plYcgyNARtDHRCgOjvxtW8QdUqxIleRfkeIKy2LO
UD0wLigJWH/OVN3jcdhekwyfZND1vXDqoGyLwIXBb81rvxg87RQMOxo+lVqtzEsrNEeC0IHhJ/Yy
rvkIT6aYjS3UN4I313kZxcOnIUGGOEY8kIxOK8TTB0BZagf4JUMfwPDJkl0H7BiPevylBt2vrFnO
FVMLU9QjdnHnhyAYxcPlbcvXejQ3ZF2Ej8hAHiB5iIABsFY5l/G6UybaohZ2U5LmxmDZUL0ry9gr
nSSRJZqsNN+T3alvwLl+Sa3UMz41ekOwyYTlg2c0RZqBovzaNkxNOJ6+wDldZJEMYeLA9WRrMA81
KWLnydeBSFX6yM3pAomzNouyZMXqooWh+PUVp9YIw/iRCyMPZX347ukVUS1QQStZ+4UN9bgZ29oY
zR9VIobzNpuCm189JIWxCZF1Rf3sQsCwYJ/+WoyxgW7PjaL8ZVIBx4WD5NQAS943RwNr6kKzTflJ
GqmsGHpeaq7dZ0VQwBoFsUrJvPREFr5vlOXD4uQBz1B2tiraZMhciTZBQRpR3nniWeZNx9AF1juq
JWZzXVmaHroFH7rsHJtID5xINzwkqwzPJKOyBzr2YdYEYBcrL4qrUfMbdA5ejd8XnvcOi0vWNctf
3/HUrlnojdDHrnj68HVviAn27zg2vSBtCyU+NnWKWHXOy5KCxDbDuG8NkCzjFDnNDtu2i230xDl+
9cBsNTMftzSro5Z6N15njluaFuEgy9MQ9dXRRBaD0smiSJocLXcD72NondfKkVOT3pLQTkEKqNGv
b4nu92hgxjAaJOE2YdWAII5oTEx1wVI5ZFFKP1pVgE7ARZX7owAVOtNG1X3QY5yp6SGbF/xvyt61
OU5cCxf+RaoCxPUr0N2+x7Fj7yRfVHGSjZAACYGQxK8/D3H2++7Jrpo5p2omXba7GxDS0lrPZeGP
JY5YeYQUo2dsNITHSONjsCX4lQIAL78NlSjSq95BCjnXc3Aqf2Czx7t6To9LDN2YL2dJCkPPGvJB
ujQB+wUu9x8u7Y8sE5dW4WlWCbhkqLRT5Ht/vVurl3ExWBVeaLcdkWo1M6bWPuy9+r5GpUymOqxq
3l9R7x/740hUjBvi83HowmkfczAP54oS616QpRoMhysExeyj245oMvWkwhRL3aCP6GYRNq/6RDuE
tRUZCQ7YryzCT6ixYgzF2KUYinUtOFmbbLACS4JXicBP7+NzhMLjge3/X2H7+J7U/rfq5Y81WiJd
QHZVJFmJsjP6n1Q3dnuah3wmn7axgFTv/J7eJrz0m2xQWUIq8E9h4Y/t6Dhkiv4gCWAr/I+s6a/D
HgmFFFL74tNiY8yQNaAlJoSc+4rxSYVOVXZijii/QCoKqspAWMgmpCwIehglcA/D+ljkS8nEma0p
QFlUIcn2ZGAqwg4wEiz81U/YqH7ftm52E4bSD+WEtYJVdNyOTvrjRhDRx3ipgqi2p0iNCmeSSYm9
CRLHo079+9EGQIeL+6/SAhd/bAIIElACIwv6s7JBOriAg/bhE+chB9OyWkl1w1zExEOe7KkJp5mb
XJd1BaGx4LUxcz/fRIOFxqcGXjWTW9ONJL1nIy9oAwzPd9+jfoiuHLNp3spiUsOPVAy7eRpVPppv
DpSZ+5ACXfN7W4qpynQzI39c7Nm5rNwezAwYDyLaMRrjOxDycdVOk6kAZPnVGlYrD1hd1NDJGoDx
nZcbFsO2GxeG2pNMpOIMGZlNIdlcQ3qog2Pr7EVXjscM+Rvr1uuVF8jMmmIf3L6jrMVU1NdeBmbr
edEiP29V0dE2G4nfP7lcJf2rTYeOtTRdk7gJqE9VAMQIOqyt+gQsT5cN3RWan67trCK337JqiqJL
7GKenDvwcjw6aanG9CVkWyfJS6Ui7z8dCoz1nizrRJ6wYxT2R2by3LzsxdZNqtaQ6fLlIzC+ATqF
HugGKJW0HFVdSUUT3hRmX+byLR5FOf3gQE8332KqhPkneHSggFBuuCUWVyub5qxsUQdkQ35hI5H5
QxWDE5GXLdeQD/CfvJzoilH2EOmY9B5iuA1Teo/NovlHmkdrHp2mKdW6uLYVyM/hbsq8nLuT2LrV
bdAas67vgSSOzmZPbErofJ2LlHflGXMlp7LW2x5hWx+WsndV3ZE0n6FyZmYX4dp1C+H9xfUjdptG
Vi5FgN10b7PPitg8g97HQdzMGkeRtsQPViPrquo10NLnHwbI6PCyvv+S9P2Av8EnnuJwu1rS+W2H
eCDZbkRudJdcxZ6QomiCyKQtLh6y3XGAdnU79sUoIz0up6MZNpVvnoU8qhqR8SrrPoCRcroAE02E
G86FpCTR19KGqtw+5JBH9VU9V9WBSRRmzbh8LTrGyH6bpsOCkSJhRsi+R9SeeXZLKAO7CRX+3MfD
I1S4omQnJxAIupPq0aDANAhZxymFjQwQ20cdD/3cRloKA+3DGpFs+px0yYTjjYdE9sVCZDI3BnUw
RhbUUY8dpIlzfnwJzh8pSz3P1ZHTp3zB1UMKHU80PwvujhGjwyrxoha+kudpLI6Qn25rVwJmdqvC
BNgn5BuXFfprvE+/XypfIdXCFwtIGQvsJQvD0QYeo8ic4v64PfGBn2f/igd/jPOUVgJYErHE4FaQ
SZY8/TnPKGjmM3QfyLQaUF4BQu0e1KwluIOpne3rKibbTxgvApL/wu2exv6+hDwTp9LjTuv9OcfM
whEo/jS/MeKPCZYbctz5DIrH+W2oxmNotg0y0B5bbDk7nMM2LThs8/t6jKF0fgPgxvG7zGuVP8ss
ZRUFv1kBAKp1wWOMxe/ZA8ElFAJtIchxcWwNvwbDYtaY5neOW2V7dvxEl0zeU8Do5Pn3UJP3t/9n
kN/fB6QgkfdFokecQDwRvr3JPte9ufQTDbjoOdk9jtUltOujZxTgHfSg2fuNUvu2Yqqh8ramu57i
KrCshn5wCzloEKswStAGDHgLiMYYZwWYg21VLaNwJL0dgH38cii6aH6r3kdQaawgxLX3a+JJjxqt
0WrKXXwVbHlU59H7rX2fHjmTA8YnT3t84pQVw3HxPg8c87SLzXEY0OY5fhnUHBX8ZSd9ale4Ojg9
hvd9Iu02QLFxwkUe3xL3ZsHn8FAdqMLrZeXHqb8PKNndjh/UQFVanEiUgay/3mHE8vrSHYhWdHK9
VVjTFVgSIB8L/B9v/VYk81ucdxOmz5IhY8XFmw3J7ocFWPbxhcl2vKQbxHsYEYiz8JZxz47zn2ze
cfdih27o+vPUlfhePtO4o1dyCUW83tL3udKLpVqLy+8hr8RmcDq+pxJfgh1A4eBC9xL7/BbPex69
IHMT5dbqmaxT30RLx3DwTHCFkmkdNLDNAYABIBvcJm6vC9UdyxkizQPokcHmojxLJIs+3NBqGby6
WlMVQa80VOkwbjVbOtT5cRVbvJ+v84IXJI3Z8DDOFv+G0QFEyyIXAyqageUPD5tcGUABZwSOHvNO
ba/5xDyqAAbpAmaGqxDKxdnTOUGEKQ0fbHkaRmyx48mTiUGtmVXYqvyXKPcC8aYblJLy6jecLNaB
G3G2fEC9+z2kS0rplRYcw3Ghv9bMrMoBA7YwJ9n+Snmp3PoyU8ddfrW+X7qvugVDRLXfJa5Idm7J
TvkexYhysMscwxd7fcwa4FXHFH/HT8tFOoxAbJPjete+T/BiMMHx/rkHFAp90LADV8ajAuRU1YAs
Qj7eUx0bvCMP8VHDbpldMK/eQZY9hkGBQfAzG5Zcd2yG1Kze36E3hrIcqOEMmwTwUhZLlL5wp0Bh
CBEbgInsdpT5sZ7W1PUA4TtZrgiVNGcBe94SEGmgDaD5MXi2pwdUkNhSAosXw9Th43iABa7yi0N6
xsiNY4sx/UNFxQFSKovt7r6QjObrxxQwVoC4jQkSIEp1OhuWFtAF+kXUBUCg/Gva0RglOTbDCjd/
J+mOq8qn8dg2xowd080kJsbkex9JsSog0bSPerrduB16nuKj3K0jzwbJNFCFXc9V/hXxFvOLOL1j
BEQaHdfANAxd8xnl5YFSDT3yVWTW1aic/gpBOZ/jt9QP+fCQ57MO7JwmalnJv10fC89O2NHokNXL
APybNOUQF+YViKST66eom0XXNSwLlPsnVyC3mX9UWw9l0JeFlYAmLkbabawakuyLfN1Tm6Sqttgd
PIp9EMXIKYsiq2xsMctHUSXNhl+SAqp0B2bKt7+v5P1ezpCbYXjQDzIcl/Ur3AzDdsS/CvoivCD7
PxZvv4zHO6Zf6D2cRMfvQOoTvCN04Xgjo0AnxhMq94Pb6AemsZQ7ZIvsYV9DrE8CC/VYlSC88Zff
UxY5JSIRBMDHn97x8COcEiiEfIC8uI4TE5WPlhedU7WDmhE3OuysSq4d9Lv4UEf2Aw5cwBPhJUVa
tl7Pe4T5nUJCOzwAtzzOXPZgGr/+PlBmKmxpM6YKeX6v2KZe7IWsxaRt+hHqzOP65DvQOKNXDGYD
GeYDhFxMbtK0HbsR/rCaz7klz7bPNN6/OrB4202fdEcaB+ENjlFsw3Fa9teCI0piH6lZBj0dUpnk
oBnbyfljThYMasUefq1lGscTFwNWIwS0B0EAHPgIehJuKnxvusRE3PKEDkX5D8DXHwU9sBzEB8zg
BMEtj/8HVoawEsmp1MkzVyrHWRdd57EanEKYnUl6rKBhA/DC6w2iRpz7P1R3f63tjsPjscvQL7w/
WPZP+N1Yr4hbCkBV76FRAAPGWaAOwEr6+0P9AaBjNUFRF+FYgKzwb36U9f9FHrpSzjAmxNN/5kgk
vVINlOZp+gHd7Y+7X+X8uKm2F7jDUOOnuGW/g+Pfn8tfIYQsQu8u/Hf0UwMdjnme/PVc2EYTwLei
e0aDY4SxHi5ChOhlgdnitCukzv80zv97QPi5ARwcxheAi9UfuKLkJophkmVPs5+wUXQSO/51ESSm
2u+V/fcXGP9pmUAvv4OKOyzECTQofwKZfhBpN61D/vQ7Yji+H6B9yGnIsrNPl3I7C812AzE2DaId
7XTEc2oQGsiyp9iP/uGM/jrTMeYopY7HSNGiymB4/pMWC1VEHASP89Pwvqgc8jqscW8lQ1zvobPE
LeApJORJW1FsDkgtCD9ORGg6W6iCZlT252ykKotqj9ASGoT6GW/H+mDxQx8o6snGvfNZ+j3M/v1F
/HkbcePSQwsFxgQdRWDq+Ou8wb47r4kn2wNf5BGZ9l+JkF6yyX4MpLQpHnD5fw91ZSBA0EUbEq1D
goXHc+V/gLOFRzaCp3LZh9/bnu8OB2SkEFkVxD540MT/2/EA+R8PwcHCQKPO9Fffp/9eo9RBlg0d
tnh435aQJB93o5AD1sW0zMeG8fcHPICz/x9bAj4L7SQm6iFKAW2Ln/86oC7svjd7Jq+KiRiZNcU4
FvRrbrBg/mkJ/u+hcOtK0F7oqoQi889QN7JkDBba06v3VGSDyQCxxifziJe/v6o/uDV8OxQaeDhk
cjxisMrxyO6/XtYUrRy+dF19j6Dx/s+ySnJ5pIqGwtB8tblyg902GlOTwE5hBjAd9YBUdGlWCh34
i4CEjTz/w3m9S0T+a8CBYWIIfj2WEs+jLuGY/OuZRRH4oqLny8XsScSXU5L5QyVh0Wvfqn8v+wSi
HeaFDphvVY9sRxVbr1CTxuMtsghIg7pGSQ1E6i5JgYlEjyODj09dBeQsmXpgvpexDw1LQIV9WeZ5
RHlmRJJO82kcLIwnTaSifBnb0mSAAO+ojxXNH6t3nlHmKJLoBwhO49nfy47D6tEi+cr7GFiNgITk
CgVQ0UMZT4TGFPmdOBUEH+O1fE93UDmU2MTyX+H1vQSSv0YTMroEWwpK1iM9cVtCkGgrtFUYHqbE
YriR+uW2eKDLcCSZ5D3n0iBtcd8iXcYQ/8tlHeO9htEOSuM218UgbP0fKGbGdg454XuC9SuzA+Pn
ML77XB7JRTFvQLxQ88gcgsFS4ZBwtRwZTAQWpe+awY94OsEFPMMghheKdLyiD3lYq1RfizwiB0ix
bAb4b3ivDysXFjq3XNoRcDCQoQLsRy34WirWEKs6F431TKFqSh6rudIw83czgg6M4KHadvUJPMjB
tCE3hVb9AZpxkBufesgV067FPIfM4czNHMeiGWMkw/8OKImX8ibLvUu+xpkPa/kAOI/pj1NVCZmc
xLQQ9ALQCGh+bdDXAhz/aVIB9xaS4WQ3oY4IEJOtQcoYZ2UT0sDcnayWddlr0OSuR5VflQZ8bc+j
5ZJGw+re8miUgbcsRSEw1SN8fObzBESIWLgn8oMK/B0jZ/D0XX5XjthPxHniQw4R+e/8D4D8kb+G
Cc0q+O/qePiVpU7FIFFKmgpKHejHTZSPMSJspwqcBswmcE5IAok7NhdVPuupIsN57DO4SnjXuecs
9JloQ+8YzDobveojusOh5LcrICzqqTB5AmdBxh+Kfh0iYNmb+cQwqa/SLlNLjdXH39AlY/jcRb1q
4UFgqJEHul5QhAPqSqbsFtbLr0piOU5O53e564/eDJzj7kbEnEXh05NQvf2wi2GNTqgW1lMZIjpg
xubjd67tcxKn+takpLsdt2U9ZQugcQhkuqtN2arllSs/FprP0Bvo/ke/zKwduO7qkE5Tm7Fqvin3
ZDwHNoGdnjQaCSA/DlOTiqk4O3zldYk68c14ZS/QY7AfcyWHi/TxsNehEtmZi0g9ayif93oAdLTU
hKruxfm9/DaQCV4zasdPrkz6UwSD2g2cz7yvFSH0LgV8eDawFPxcRME+AtTsoaNaafUjBgWFOivW
8dOWCN6fdZjIKV7G9WnZUgAhCAXtEry9oYsJss5GVzasqBgvP/dbUoVrKCPs9yVJRXxSVq8ov/qR
h3qjWfmzXDM4/Agj5masIJNo03gVH/1GJeq3Ud1myxrPDSu5+haJBe5N+LRvlzw+ZijLDm6329yN
R5p9HxVyuwYqT256SXnSloh+P2Ln6FTvexlzlPOafHF6dj/RIMQ3SR/v35ZFqARKBw1Z474vmLl8
0EMNJZexrd4dHHG57eaujmLdP4QYfraAUg9OQjrQGzw8etA3cG2ac6JtcpsdvRmAQL9mLnyPLGMP
aYzlsy12bQF5Qj/cefj82iwoekqLdXrQPDVfgvbIFSPQ7h28YRLaDNkUfYdOF8TS9BsYc1XTZJgu
CgBGnUTj+tHHk/y48LDCFr+u3cvMw/zZeD3CnOutb1hstKgFzg9McAksEAvPH+YQX7rHKln40Ez7
Jr6JUe81yKfxFc9Gn2sNvfVH2HTLa52YsrEmYjdpP6XfljL3dwI8xAY6BMYggFFrzSyBqaez3V1e
EtXXQyyrb4Yg2WpL5I2izsQyP+Yul2cE+jxvqn4vrtZY8Ufoh6A5cdy8JHCrXTbr44vQW/7NUPbi
UL+/7PO4l5dZp6EW89j9DBiQC18La09IT8PzaqoMpqR0BpMsu7WO+LZd5xW6YczIj+O6K5bqpZrW
6o3CovVJGKbeYLLZf1pM8HYrVAL7hqAwROVJO3u4U5H3kjpz03ZHzCK/7pGaLnSIGRRjgLkfeIhS
7GUeESkSfQmcKpP5VQHCqNHLJC4ys+YFmjOK89+SmziaYObL6fIFeOH8WE3cXMVhqJ7HEfr1bhHz
yRcIuSjP4bue0mi9MTZ1jxOMMp9MWabfqdwQHJI5bA9pGLF4gLV9iOlqb70pHDw/nirgSeV0YfmY
tijbofwEHFNd78SwO8a4+bgnJX8pAel8mfdy/YQNv7vCYivuYc5Zoa3K+/NQsewOzHtMm3Wshrbc
4QTGfDfTee+IepSgBh47j64MDRQr0dk4MX/Rq03hNMv2/c5Uqb2FgEoCtRjVp47u1YiYDf8tLWR5
FYOLbDa9px/KraNgDAz5QRiMOdFdyNK9r5oweuTgbWEBtZd3MqNbsZ4iZeSw1kOl2R2s/90j0J/h
gaRheh1W8w2fQc+VtY9flxEZjLCFePCVgCw003F/UymdfLWEWdcM3EX3kCDZlz7ZtvnCk4GmTcXj
4jZlypTnKhon9DPgpW7BL6doogMeHq5IWNZrsa/VVo+UTQ+KQIdwG8hcYKzzyK3mbq42EFCxNzFs
dOk8fqA+JR8L9GnRTe7h5j/xSpsn0fXbeAIVHfjt2EvVt8RMGZSajMXkUmzLsj+FcjKWX47UI2qr
2asBXvpNK9fJGwmswAxNXCBzabLRsu0eKI5YGmrj7pMrdhUaBXvRHWSELG5djBTxdgVAsL5mPapS
gzhi9JrlSJy6CXKnq23Ni5sMnqRJfNppYMlWB1jPK3uTINhF12UKpuIyH+bhlm9LZp8rAocClEHd
UJnawCc7yIaklX/u4e7K64Snw0cVYrJfHApgcdjtkujOVcJPTWLAL9wXA8JpC+He3iogbjciWeGh
iAt5s5LgF/FhCCSvdorhnyI/tsCP4HmAekwn2fhhXVNRrrBBiXyAC9MuCuuhBO3a2DgkIzor2YHf
SQ7WuB4nwM/NvvoZ5sQxgJAqrJBXU59m6tS5zN3LHvBtK3zvr2iXxmWLvie8AFQnTHwtO6NBk9qs
CHXiwMrna7I+kKzyRTMKli6wAEoKiBBY4musifmxoe1Vi54HIbkoxWK47OEBtEmDFI4T1UAzAImc
gzs2fwokVQUSM1vCm90gkq54g4pIj6cVIAjNZX6Cow0tjmCk89VJjmhRAfNxAj9Kdh+TLbcvIJlH
diXmMv3WbdvXfefdS8f1167SmYAx243PDpqTEyuZuUTYPCIEidyAliv22yEkw4OhvT1v3FSNnvWu
6wLyUV2PYzY+m2nIW2PyUFu0/EF8RWuh72vH9nOhDgNe59k9mM8yamK/uLndsdmkj9XC6XMBYZNp
+w0YFOYDJkwNnZ77ESstP+p5WsrTUhTdHZwr6tnOy9qdLBpRsWug2V1Rk9FX16MScwt/3XCWM8ue
JzgTT9XK1a1kGblPpE/hTQKZqroFpHqFsqhNErZ9m2xhL7tPkqHGwzXhZo6qbV5OOs7VA3SNDpJK
41hdLS7yzSw70aT5sum6imH9bBSEmvYalsDOnwLA9+edmf4HAx8/XwR4P7RFMRHMpEGaB+zy2Pz7
XA5tL5Bf4BTYE3ad/myLKm/spPmr6Lv46+FoOkNMVF1UVI3nQhfikYjINNuY888RmmTACg6gF4Xb
uUiY+KJcsqo6o0p9oREzNzahzKOZmBdl0wO0vWE6wUV3EZD33m8NinD6QaAsudlc3H+XnBZfJevi
zzKm7m4Do9xmelbXFFD2K0iBRB4xzeuaimi+zxmjyFsRHI9JmH5P5VGkh2k8dm2fLG9qK0l/GvIe
BC1AbpVfT9nUq2YxvV/Bge0KIGbhRNzQAXGkzkkvsvtBL8kbWlesskaXrXiqxYB2NI3E9zaA5TAn
eNDZ9ZjbpGhRwm+DQa4FT+io1fovjaqNN1JTGn3FxutMXZHSbVdklXm7akGu+jlLXg49wzneN2nr
PhD9Icu8eLNbqbE9oPI8K8ug0lIso3egFM2tDhC7HI3NEnPnF6vfZALnebMA/kSbiW3w39c1YK1g
UaJOsxro6o8NbNpWgyncTpPY6A3A8w5Srt7vSOYhZ/2ZQtrKzmPB19s0oH6rCdKRtR3YTLITmUdo
kaN9y17XZRi+FHrzjVzo0g4RmaMH64r4GaxfWUGthByuzlfHh4tDUnWD6De5k585F0jlKqSeUJcQ
9UC5i0lj2aEQDGOU6ZPRG5wPUMpgEjUph20tldu523JQPCM6sUgkafCloozdGphz+wQ5NZ3Y/nla
7CQ/JCp2S4uqgkmEtCpXu25MbLshXOBjF1P6IbcUXYJkPPf02wA5K5majZResDOIPOmje8lVrqoG
1bZPdW3RDmKxTYENNwstB69WDmh1gF0+tNMW2ChvQwnLd9QsFgWYfhw2oFa09pCfV/ZsrJ77z10n
U9W1DksF9A5cQnQy9eZnla/nDrnadG25hV17mRe/ZScOXdY4nbIZHOAzrLTghC4aAq51ak1ISSTg
Y9QS9yElkHFZtD6z4CZghje4/J8jqYoI47iIKbSV5j77nJks4c/vIDLRBxGCPjcHZJvEzOtbtHY5
JAXQMRz8DNbhXvzo0OvP5xfovXestzleqv6L1Y4TjnYBAOAIKlsmXI4tAuF4fbUcgEJ5tyKh9A+R
qKKQNrZb7CwvO1g33C1seUKJN1raaRvbbFhtmG6pxeXBPayg/lgaiHHgkn+GZVz3+SmHgBbdISJr
56Cgj0LvF3wnTbv5/KvhWwL5oGol1FH3CURmSN11hYgZqh5JVJle+rUYQ9BAhzcgvD36RKItpIPZ
cvJpP5y0gxIIzmUzqfJuR+pXnhgZcgZ2bmOVtnWczlV6KsJO0wv4yPFVl3Z4IVD9rHWiYIqrU4u1
c4IKZvwRTRJZFlT53MiTytFIqt0M9DPoJ5LMIEX33IZf6n80I+m2R4C42xXw6f5ORYw2MsntvYBt
FWZrOkJEtlUgqDWBub3yrriekcIVNZ10SGs/OTldzBpBXelL7SaYhjb5Q+8Rekwyk8L6nWMfte1K
9/CE3iDOI0EgwwkZKCpEJnSWXUyermPLxtK/oW+OD7qOOzfHT6XsZdY6PFb1u0HXUFMvYkNpANvt
hmrEiJifkE6Y5cqitcH2oyP+QFyQUSdTs0veneEf2xg5oxFFCdFQMqM7BoPxXp1SmNSv4kUVX4Zt
SAFYFizpVANAsc9QoRZheRjLPEJDsSiz62dIMiDnqI2G+q+B1mRGC0QbJ9A7Adx66FB5j3U6Iw+/
9yACfe2oLE5o8THckG5RkNjbDKYPaP70CElJEuzSllNWgSojK7/AT4EbU/iO1BSav6tZD7NoLACz
tx1CCswNVn20BC0VLN/1OY81rMS42S3atpTVSUDz8ZNAVAXwUOjujiAML19RXDr+sRCjObIumvRX
yGDyG5MWWf+GEEnDhW6peFKOsnvIN7sfnYkx8qXbPWR0zAIZ2ffe17qP3EvpM/vozMBxCbDXgbUu
RoVoejS78TKrnmLAh0VbCeWuY4AWfeug2fmXoyn8jZlc0it0ARWQTZrseWadOq/JFH3OzRLXVQF9
JDfDDufAsocavqzwAK9n0reJXTaYzQY0W62rfqvgX0ajLIT5aYdMtWMObRpdNRySDVTDjZ6KkJzB
XIH/jSgMj2230Q2hl8CH0derLiB7pN0Ct3SHxg731Gp716FFVdlGWaeLMwQa+pPzxQo19DrhKqFS
KL6mhqNjDhzNKRo8HRnvgq76U42cGq3dcskqyGTk3PMWG7qAIgxwyeM+AgGo91zr/CQ3CP9aGo39
aZ89PtNlkPlBzjLqdqP6327h0ylhi2/cmoUvBaLFduvXyegWrXnKpyUzq8XhsmxGQdADBRoTdU8H
ltyWfJAF5EsMTTVNzKpbQnjyhkY58sYTvTxCQygaaNOSb3Dr2An8R1GFps8WYZrCpX1orQtiqQeD
dpcny/tyQPw1dLgVcRKy85q77JWgaZN/AHIlKcAANYZ6QEOTL2g10wU0qInNg4LyJToVaPeAoqBK
4LaYWZQdDVUE/yQzb1yDfRNZHfLzllMzl8e45R8cdYChaaLYQzmM9PMM9UdXb3b4QpdRfTYrmqLx
fgL2CKUnBFzoOpJWg/nSERd1yK08aQgyj3tjYTtagLt8nTpLro3Aom5NL4sPq13VzZrN8KCYQt4B
FyiuCIvKVyDGfYFp0OVvGrb1k0+j5WkzAW2w8ATnpBFb6Y5sLRoh6ZkA8RTLUl4tlE95u1do1FOP
feUv6PC7DU9w8fatAbjVGkz1tJlpZk9IX+JbdN7h0Cy6+DNnwX+u2BrXerERLJ2ZPI3lwP4NuXPU
plm6vpRI9y9xyuI39FeRn9GbN6AnkMfAwYrwGV6g8t5DfHDR24pVV9pvEE6vj9pGAd13VhXFWAf7
Y9WhAwhmQzpesB+ge4wtF9qiX8ItUDRy5+bE/EsA7GhLj0IFzQymvfY8Vq+kHNJnwSlM/SlQ/Wut
pxgUHRSgktLvwQL9NyepgQeZN2xQctxacPNwV31GRatG/WTSRaXZh1XwGVF+KctDM2Vm+LIhXvBB
jDO4BhCh6kMaIPEJF5fAQ5K0VEV+5deR5aPYryEwD+sL673LvmdTquSVUOW4pg1LTbSSttwydB1D
8JJQ2YBrg25DVHGfRy0EgfGOtLGMQt8YmZvIX9vggWLWeeKzc5pOrvyaT9OKoDJrOfgBcSzjUdYi
z4N+oiUh7zoIbVJovyCTRhoPtVeARxuLBvJ6tPgNG9fqZzSTUCwtiFYICE+LdkFyMKl9J6Fi0mgn
AHIDcxCNVi4d+klF88eNlitKmP/D3nkt141k2/aL0AEgYR/P9vRGFGVeEBQlAUh4j8yvPyNFVbVE
dUu373ntiIqKqBLFjQ2TWLnWnGPmYg36/rEBhzTLHQPiiH0fVqZ8lddSNsPU7IYFcqezt1sxDd2n
qdCzozb8ljZX2wWoHm9ADdm3m08J9k0JmMpS5pt4QWrH5TEDFRd27yYr1a6/MSQJ/gyNfhisF9Y4
sGG+kGpIymC7QtAO58Pvx3M/T8iZGqIAsRkdGicvA1hj+P9x+kqrLBpt3AtfqqY1Aw1oDUYOIfy6
Z1A+hJk3IUmb7dXCgJFLRnR/OICfx9vmABAKYN4lZJMpIUOhnw8g9xXeKPhan4uXA6helCdVEZfc
cVbDXOxlUvpfvssf+PFsI2Iu/99agF/4LiY68ZdY2W8ciJe/+Z3oENrkATC052lBVvIXzcEyNAef
1/xfzFsDevgL8uL/A7EviHhIEN/A87inGNsahjwU3QA1FmJeETJ4c23xnxAdfpm3EyvFBon3OXIb
ODSvbiYPwFfa0dQ5FbWfbYUGSO0G6eMPJ+WPXiDfQ+gdixjbIHI5JtOviQRjM1sosiN9mgo2PGs4
UA6FMzLtwhv3v/+on/VLLx9FrhyLvREy+a81Q02VrAgFhT4B+xsR29HFJAEl2dBBqihc8vFUOb11
XLXvgaZXzR8+/pfTGaER49HEuI1wyXlt13VLHfnwsLqTrJcHtwrfRdRov/+G3BQ/izHMR/hQbGOb
64bm+efHv+8tNdmJ0518Z3lYffE4xA6GddehJNTdl99/GCvKrx/nuehdvQA4s4cQ5OePE2nnBWs8
DCcPrfV5WlROu21iq6KjnFTn5ey9Bd7TsTlIuxHlo2gks84yJlegKnoo90OT5JvQTZEGZDIqzqYl
jKvt3MwxpLayhNs/DLGsGVE4LaLsDGEu2swzV1bikyuXY8oQ9Gvt0UjamD3YI6/VlpoonqpdYdXi
OoPpsRNZIVBHqPVRyaS/zCEGpVRdYZ/t2FRWDwGb1ne5CnHbVL24ozz3b/yxLu4D34JV7vXVZkrH
9Hqaa4Y+VZzsmmjC8G/7SIJBlp4VUXo14WU/iKr66oXlfZN7z4GO7hg0V9sFI895a68f09nDnlHJ
YG9BIaHnL/WuaHV3LDqfF3YN532Qy5c+i9EXyOymVYG1y2M4oJ5bTXuYPsH1ujK3jK0gOXdT8Rha
TnLOxHTc4v6EvDjPX0RgxQ/40PKdcqS8RredPoyBV27RD29pWqIIaOgzrbyATxq56V6CnLiqB387
ZcnGTiK1XPipDQp06XEtbNNFpfHZGMlpPeRNGD90IfuFLPKdrRvl4WVrS2lf1BjKnUO90td969Wh
9S4r5v4GHh2/J1pX96Ehl+Ci7CEx2cKH39f3Y8VV9bOLpOr6q6a0/T1t2QIEHrMdJCfytmuYOsgF
u+6sJvcwYzZ7pByKdgD/gMbA45s+TLndGca/ci4tICEPedbpPU1EZ/PvB1atrvvbqh8uk1iJl6GV
N4nihFLNuXJWEZyqmnvh2+QKjCZFbiU+ZEXvq02RTyljerGevCGP7zBkyKMl2v7q2xhrKtXOxdh+
9XqU1QToazZYOwCPrn7OoPSveRbinOAWYOaBZmlT4SoJ2RA66Uc5FdkZf+3dOqfnNBG63doud60q
3koH8LA1S+voVfV8MUK32+RMUNg2pMudlSzO0UWcfXJglzBIHr0zvx26C0Vng9Y1SoUb4L+Ryx2N
ymrDmMW+E0mnnmgA2tuSh+ZyTqV1MaaBexQrjZOgxH60kxXg0yLpwl1nd3xaWtBGpnlqCYPsSQ5J
myn2XFHyIYIoyTg9jY94opaLVbLvDRvGZEFsZcdhtoHhFZW1cT32MF7CJLnyCzxJQbmcazdzLld4
HIdEBlC4mwbJSpEjwA+zJ5GId7Gj1T4dR/s+X5V9cmfxMWQQSemevika29s4iG83ItfnuCGm7ZwU
/UZ71ohleSY/gBn9NtASI17X3skuKXd1pz/naTREm8wu1CZK0vkMXO+0dyz7blXTYVyblDwT+npN
3C5HXfBrU9SOb3vHCiuWp8XCxNE3AP0a8TTMpUEEsOsd1kPXpuLB99uYlknRk64QzsPtZLXiiXU7
Osurhdmww5x8ZZizB9/OFfK9Vl8nZTG6G5G06m3jROUlC5I+c1Y22rTtPvQNRET4NTT9oqTZMvtF
HWFnlylj2owXwIYgFfpDaUrvqayc+nqoorNydt8WUNY3buLU2zTqz70+gpsMOXKXFFZ0lSbFF6hq
cqsZa4TI45/Qk7Wf5CTmm9ZjBLrxS549loTgJldyvYQuVJ4FldufBBarXbPo5f039UCWG+AhERRK
bcuAB2hj1av8Ctq4fOcsnf2QhNq7E1rSriwxIiKqZQuOWFqAKs3GfVBzfzlrsH7GMmHdFF1dcprr
bdGH8tHP/PpEU7Ept11fTlvHW72t9Fg9yqgrj5MOvctS5EsHNFTPN9UQWSd82MG268Ln0BGM8eeY
687wR55FMgofygFhQO3nzE9dT23DWeUnoL4uncQ4w33RNBfNOvknf/T9G0RsxSmz0vRj5O+rNFfH
UiEEGeZsfeuwcu3QWkUHTlL5IKLU2fqIOtB6jIX7xutooi5V9W5UhfdxnYPsOugD/W5gjIIYdMnR
yPb99eS046GAj34YVShPXsH8ogy4yXh5fq2LAZQjBvdDkCbDGe/H5WzG+70x89wwuEDix/SNFIBh
eqkr/lvk/6HId2wq6N/U+P9TPn16qpDo/pPW9vJXvhf3EUFQyOYd7+8S/+8CP4r+4aHtpk6nTnP4
N9X19wJf+BAbYTXCdkRnj/KNuut7gS8IdIXeFSNpCpjw0UT5vxT4/BYjMndc28UV/8tuUTqt6w3C
s06s5B7UQakow2NvePjhnPw/lPjmYyjyGfGwJ47Y0/xcJmoH3RbKGOuEKt15KOih7Zg1RDfVAmrn
D8Ld1xUwnwVyBpIXnB0UwiaV68cdONcCK94skpNymvjGDvr5CnUvSiptr7dtUOV/0j9TuL+qgtlw
GZgaDzO7frArr6rgtRj8zuE9dMpVn6BZ6ZrxEnUX1SupVo1P5w42Jnkowj3YEz1Z5i2wro4BA9n6
2PnpRJSSqQ2ntaa7JfP+FDcrJa2Ke/tTjboaHcgQk1fES3XRPdFXgXK3WPPqczqG1V1ZQMQprX58
64xBfQ6Hpj3A6oJLqcb82kuhLu1EWmdHmOrVWZ4OuP3HobpzMXt9QS2pH7PC6x/DNr2yJ5Xvl7AE
o40S56RdUVx5HqXCNpNiuqO8qb5qoZsbLRb51rVzuampLA5+l9V0Wqt5OzX1crKbBHyO7txjNNvI
3OFt7J2M0TBU+uEidMbmmnkA/jd6a092mVon1jhm/b21nDpwl1QGa5wE9Hbc5nmI4PMFulrRjels
2tjdQkO6j7yDPbj9h7yw4qXYrVkfgh4O1YIl8EPsu74aLrO6lYewDhl8LAn3+dbOwIXRHa/qT1Mf
th8kVup3Mi7c+5j2UbZd7CH+LCPYABs8hPDRK1c1BTLifD30c0TJgmsj+1RkZeRvka2VN3bJXHiL
1BYQL/yBC8X47zFSGvILaVaoB4yKT2p0dx7z6xvcfPfZmtvbZJXqPsMqtx8cu/8AB2M+NKs9HqKZ
BJrNCkThc2+4olmdPatetrsUH9JFGkeIWx3tZ6CkOTlZnZRXXVnpd/DMrDsBP+vS1njeNrzXCqQP
s23tilwm9sZqMHcFuX+WQMdAvV4Pe6Hy4tKW6fQ5HYLxU+EoWe51qoN6b415fM4pGLDuB8/dWG4X
5uXXdWkz2wxJxxLrQhvbu0iscQVcnL6NB5qzXdKWR6uNaAciuKArvdRUiJ69hSUQbMJ2vJBW7zGS
HVO8H3Ykn7CZJPxw+FEkE5EeTaCQrQXdfbKU7mUAutxfl8XZRFHocWvz9Kw0nYHg8YqWzvxlrULr
4LNXuYKcoj9Rr6ktV9b/1CJyvKFLj7dEj+N9h89/i2j4Hh9hvp98/d6aenHtamovV+nh2iKmY7/E
wfKGDDuKPCeeD6ry7uqleheKpHFPOUKP2duMiG/Ucx3kKIqTeaJnGUwowMuNilqAtJop3a5IqwJf
qjupYqvKLtCX0VKq9ayMbeCC2wwNlL1JLLqUj8Ww4D3GxTAN7Eu11XS7Sc2DfPBwCKdjucH9GM3L
Q6jGbB87Q5ii7mSwSVgBHpKNTwbCJh6juj4uM8L696vlwWLAmOQig4iWwd7lpaWiwyBBj3tsYEeM
ucWi0/u58A21oc3n9DroUIdtGnTky22KjCISmzbohuwiTqwZ5SWeXP+D2yKuw7xSJ1bG/hDy3aPE
+ekfOoTR4edwRUGApheswHmhIM31b4oKIwBd/XgoPlh+W7yJ54oNkF2zDDdV6J9meywfw0RZxgrp
JmqzTIE4x9HQ2JtFz+Tn+VYWH/1RIJFwk+7SWVf/5FaWHTJ5U4xwKh07Dy5MdrkZOvO/wyRI3ig1
Lc+BWyMvqJ26PSCoEmeGLZxtJjKXcCSU3lk72PU5nfZ4P1YTCYJVlzC2RRHSXHSeh/SLPpRzcIIB
hm+fIwJo43FbD3ZETasyhipJEn9EhldtOxI03ugBnsrGr62Jyda8VHer8Nov9E6iSw4Eym+B6xSx
SFzpHcbyMtv3cIjOkNDGN6WfB09lxRwNPMMM1WgIqztrKUwqFab1egusiT/zrbH6irSxfBT2uN6W
hQygq+iqeZNWGWLlgTLCYfEogonntvxvFfhSt/2hCqQ9FtFL/Pet3qumHp/qn8rA73/nb5o3yG6X
lhytOdsmQ4Sy5AXba4FPJEc0ptAMbDM7cN2/60APBDjuIxvbhrGYAtj9uw70vH8AfMRxSt3mUwuS
pPZXKNz3gux3aaGeMDXKD6YicIh0lAX/CHb/NHy9n8umFsukmyQquwlbeBHbElsNakxwHlu/Cwp1
CptC1IcJeS8Bgrlor1K3tLYlsXqfcVjrBtdr5bZbVI7depYhrUYfhSn1WfduvK/qPPI2XtWqS2Bc
ffku11532YDe+yxFusb48ouVFzugS55ni0X+mFtB8zYcx9A9G1DBzueryPvlqm95NSH+WoFkuSUd
GRUUV9j9vS25TOMG1cwlJUxLO5CYl60ja430WvUf58kl6NPNyjNvXm0FEiZyvlBfT4y0EGgeYuQD
LgAo0+f2giy/Kmf2VhNhRSern/qzualku2ENWO/mzjq6cnJ3jRu/W+oVxbFFDiMZl+QsbpTS8t3q
Dy3aWdGykq+XGeO5/mSk7UQ5LgVs5N3UlJIRfih6f9w4NYE1blP2w5bteKEdmiEeZ9nWk3Obo8gw
9cNwy5hNBhcLLNBnzoi6wH9KO/OBIbs+g3wwWN5F2INJMpqQTestAVyMPmJUtndXd7lqpFfmXnkK
SwVvrT7QnyTAku4kWjpxor7JGtpqQ9HOU3ihKUX7WG+dAbrjSgZCMckMtVrar+585lSoDmnnIb7N
g3GzslOmd5tGsHbaHS0K78MsXOd+wLNxW3YI5j7HddiaFoAzfCVbx11479JyrJw3YUXfMBjzEAcN
+oTwfbugRKQBGEMaSoviPKgn1A+kPyYZL9JJnoGAqQVa5+IO2z5poXnVk0dSLDeDAtxn5znJpOVa
NDty9VL8/o5zHskCWW5q64NGbHgsmuyGTNz1fgwmlBrojFzarD0FbNmN6XkUjSTrkWYriahBVnKy
a/ope6BgvE9Xuz/oWA9PjduWzy4TV3GIcef41LjQeMcoQZGWjrIX2Mti53wQI2wdkZbnssqlc/Lq
6SMqunk0tBv/1uIM+pvGa9OPaY/vJJVedahW3zrOwqt3IR93VQaCyCntrHd1MzpHCG6RvPGcJNxU
XcT7sXBtxhhOShrJ4g4zyFIkbDMKuWtAb9Kl0io97BNSn6PMszda2ubtlz1xjEAm7Mo5gDe5ptCa
it3kBZfI8IAer0XyMaMVfWgqjeBNCm9fdEV9Pjlh+1YO+tqvQ//O3Nk3jHvtXWiLeh90zpWWqJp5
FY3bSLT+IcoRRXIGWvtr4yj7piHj7z3DXH3BZHy5bOaiPA0lcVuKvvxRSsJUk3xI2ESRBAJwazi2
AdF7qUdNHECGu4yK8BHf400tJO9nKwkuGRH7l23eWScph+Wd3zULYEZIa5cAWNwPla/WdTMp3QBx
Lm1xH7ge/b16EF+tMOLdPXI2DoWW49k0ls9Mw+JtnycDzS74IPGmmAPvTSuWNdu64dw8e5FKH8CP
paie6Qp/GqsmP9YMQfgdrXVWRqW7FcjFNt00l2cwnJvzYkWBEdEJ3TP2Xg8CkMwJVhZyz7aeo80E
LeWAQ9PhRp/G/MKJs+lhNCVeyfl5IHnyjtu6uY9cdQndjORdVDcngs7gtUWiC8+RfYGkAvwSfV6D
OruNyyg/zUlTfyZ/KkYSCmho01a2HSA/9tB12M5ZEsj7seqjMyUMTIy7+41jmTmYsyj3FCPMRI+j
30a2dIjW8hFQQ5vKr9GWsLJPtvjYlKkZyUzWbl0cT+5WaNUffARJO+G0+r5Z43zrhf3yjgyXmtmP
bK7cskWONIfrs7XWM+FFYvxKKWptC5++fVPiaV3Z17+nkK9utJPHN/Ma6VtV+83BKdPx1u37lg3H
Yr8JnZ7siYFeGPRAzK77AS/6U9RO/c5bp+ZeIsccIThmgp3rRFoy1MSvaGvtUz3X4Qfhjpr2J7cW
vJKF6OZRzWSypfgy6oaVP2L6sQnZil25nU63PJHi4KWO+zbFgHkRLX523oCiuu0c1NtjZ8+c2ThT
X+gAjG8gvyFg61xS2Aab6n+TYWZjw9cFG8eZ3TP8k2raIu/8UlW5IEoGrJPwETWtspVbS3T9pa6b
5a4MrT0biPiqm12fOZnKs+SMAU9xldlOtwPbIj+Ww+w+yKFsr8I2Um/g+QwUp0EW3+OdGE9zNK5n
zZrkHnJlb9nOWW7f9HNbvKvipntHz7i/racyeWzZrV5Ma7eSDhXpt07vqT2pS/Ko+lkBABq7jR3U
AyMzvi0xvqNrj2d1qdG4pzhfoCTaCjzXUO+s3K8Rj5Lv08FDvWUylQpIt0lzXi+WN9LQX9QF7F0E
xHnvuPuo8QTncVzee2vIfmbOgiOqlTnb0qHX507uBM8uvx8ZfVLnt+mIojyQdvxOaX842Z7mRR/B
PaVLnA75gW1ZcBnmbUufeUaKxayNEUmaYDbYRct6idWtPwytN30nTP63RfqH4hg0BVPmf18b0yIF
r/pzh9T8jb8qYzcm0cJl8A+Zw36pcV8qYxNowXV1CCnw3ZioGUrwHwItAMOCVUAOKfxvo/TvDVLf
ZF3YOPeFwB5Pze39J4Xxq7rYHI4DEgqOAlMCj96OaTf+gDxBIaSqilHIl8zWlDA0WhJh75aFuARM
CqN01aM0yoHDoESJCm+AzfG8JmULwa7xm849tJZRAUNOgWMDMDyxEapGZcHEoLcpsulWeG2gA7RK
mFWs7SxmrMV4HnhjkY4nJzLdCJFtkf+mdmstb7NxQnSPZT0FW+0xC0E1oSfbj45iSLEvbFb6TEiP
ysXM4w71jKs136ohS8Bn/3Ah/0Vf9xWixDNpFlRyCA0cHmjQHK/OToNPFru59r+0wzLHZMikIZJM
ZJKCvmGcIh3Eeu3kdfW1C/pcPYCENWRylzYC34ewkHR9+/tDco3C4Z8bGQ4JOYnjh9BJfOqB+DW3
IZTuCk+1Tz87zJTZG3io0s41ZEHEaJkV5LgIK+gJjiRbDA05muG1LfDh2S2UW+x5hhgcTkz+z+l0
MVfb6yTV006XK5diP446o13aB1AHwY4VJIxoXTj8WEXb3GeRRGYfxn/oaZvN1w/fidrJ3IOIYNgB
xQHPws83IeUtOYZFWX+xFyR6b7DJWM19VSaNvv392ftZIOPxQez/PMgXPuo1Bhfm5P5wtysaELEO
1uSz4GpjM2vLpKBecG2e8FWE0rtZhsbkhShEExCCW6A78z1tKMDDvz+Sn3vq346EjaiwUesI0mRe
oz6Y1CnyP2XweR6iPrj2WyVRLfaVhfz6nGal9v8Uv/Hz4MB8IouJR0QAN2HE7ODVSXbzuiza3Hc/
rw7vEe+LSx86y86SduJeSJvOfO1SBROA7d9/1VfzA/PJEKGR0QQ+40GeqVdnXUJ/LSBZVJ+H0vOr
8ETobP22xL3YwbQDLZq2N2usE7u6bPK+NqzFOYN0L9F8gBauSlYOBq4yqeI7KYMQY0Y21255Wcxp
H6nTtHiQ2E+/P+hfbkmfZgYLrwjpWXDPvDpmy0kt/HqheC4npt+KTXZrYNVzpA0W9D/9LG78wPzj
Rj5vilfjI3CmkDpkMTwj2ZwivZGhCcVLXCvnlvj9R/1yE/gwpciAwf3s2OSAv1rQnJiMUFD59XOt
xp6TC1S0gNDvKAtAbVMFjcCnQYb5n4Dnzq/nk6yEgD4PHDHg4K+XrcRy7LXtfesT0CTHJR0Tn8KE
L4MNPMnXjigxC554TIrwCYAACpMdcmSCg7egi935IYdridYZgLYeyVJyZMwuI3AptCrlsZX5w1mK
Xj+eJvPD/3bhY9pFjDx/Xij8dGn7auqbT1mUg8eBA6BGfTvgSeb6aEWTez7GQwsOG/xtzv0x1MiP
acAHSrFYxoWXqmeuZSW/BgTZ8BvyxDOwzNkhI/vrywIMJ4TVxV9B/rwf0hj1ON7GEBrBZi7Hgatj
ooB4DdfCmbkiGcFpLNHWQDoPShzygKM7tPvj+kErU0JgdtNmW+dKaSxuts4NzdL1Op87tsuw3jEf
9GT1JVhIiaMLMyaDvuWGjv33dV7zxPUw6TlGp5VxjSUJD8x75PKtrPds4Uiy0KMI54e5N0D3QfJ/
IKBi7uOUZFnQcM3cbMXnh/QrywvETewSjTY84ncQfIeSCs+OQmIPSGNYABoAwCGujh/JYdlVwdGf
12y8GzGf8DJT3Wog7QOINbjwMo356L8ojgI+NwFZqWqDa4F3tPvQRTkmp8SbO3pbXh2hPmenUF9k
SLmn8wmTLffSiqGXU5fPOVz8aCbPgSCNhEgqUlrw1bGItBGTQxdHZ93Cpvz+BXw5fotuCQEpyZ1t
J4ZD7Ns1t9+wpmbB/A4JJaLT5K7kYUsy9HYwgOO/fkfXdla/FznIDcJAXcif60Zk2uccTCKHb3Na
24yFWImG70RshjmrXlEsnDmfbR8/sCxjVpzXZT+B/HYyYGXVXlim8aTaxEB9WhV2fD2WLnO7NPHI
W0sA5eSmkWyHq/t69JsQH4ww4s0NZmeXZ2oGisNdk8I85ZqJ1eYXopSkAXMgAriIxLnlrbl67gg8
5Rw2K+Kscuuz3jvJm6iECSZ3OpyicmHPXc8G96lrU7tJIzaDOBNQLfIlZNwGMH+h9NaAoeErcMSh
O7MK7HstvmXS0KHlSHrReXw1RjSdmM9j7Eb8loaNPY/CJEXEf1npGLIaY0EcOSTFt+d/LpM0x+LF
eByCbYBVWj2rqIPht0PaCwZ/ZnzP4dGpikzdlsx2kV8PRmv+Pp88/mMbC2XcDNKLzTnuMNLLr9O6
mEwGHYXmnispAb2THFco59gpA3OLmtJ6fmijmn93CJp4gEOJcu2a0lFTZQBB5TkneFabxcOkAz/J
Tphkgwz+Or+0B3TGlfAH6kacR60j5oeQ8RtnIWuINVEnmrqDrK6MmY1f2PUDgdxbhq6TuatFnhtf
QhFrUofWqMSRs5P2Q5wB8p53TuRBLttCGcoIWw9spokYv1txGAuVejYmYk1gb0oYmL71FSABdxsN
SDq8fVwx04Mf+y1MIvD9GbVZxjyrs7cB4I/8Bqo7jaQNtbq5wnVOJJKD3SEcyGjMB7vMFTbRbmwG
xK7DYC240Adk3fAzBq5N50V54z/Vg2NCk2p8IWnzJmZG5cGKGJp4jRig5gQ97FmIWW72o0glRqG0
nZo4/otuStTRmJ0SIScjQiTP0ivoyi++BVKTxVbxnWEoFJrhUp+tWZZe0h+ly0c4JaIDbp4cfhV3
4rgocjhA55v70iYmh3soIaW7SC8a3Wj+rHPnqSev2od6/Dh0NWdpR6fYAY+z2pYzddd4O+hZHGTd
TVyl2kFbnEHqrxZ+V0xbgZM0cfK5c+0cBPJ8sMd24SfZwnT82dgnZl0q7NloAUZpKkIMFSnLU+ut
AedvzHDUXs+cRZ4Fxx0Hbqi564Vqzrj6JgCG5h13elQOmgMnOYSO59aDWM7xs1zyOppVG/KWxzXT
8uRFXmlesuM4mZCTNfDzxuKl3CvWBxVllnfDNAHWPD7xyvdOLaHTfKWo6RuEh5VrqhWYiYV6rqKO
3cj3fQirvjk54BNFQ5YRs4qO6MFMLsI6I4BDw9OIIpGiUlvqZO/B+eneJC9hJQ0vf4Uidgk54lAu
FmepIZOBB1uS82litXLiSguYPN9u6ypfzJ8pD+eHS7Ig2vZgQ9CLWe4HdJP60bG4K8VehNBdlw1V
b2rzfFppzpPrRYkf4quCZdJeuznL7m6IMfnQG9OOgu9bL2X/xq7W8uGn4IigbmdEas08tc+/pkfA
48m7j2gSAn34d8ERmMxKJsBMVpiYCp9G6ebPIRIlr1WoFCNzjY5r9IcQCS9UpQveHs38+OGnKAlJ
IvJKAHzpqoR0hn+fKBEDjWYikLiakfFLrkQwFlcLI8D28GO2RCqZUPPiC8bwfKD7F22E90vCBMbd
0IBNQheCFaL0U0iD9F/kTMAIdupxM4ZkxmyzRPjW7UvmBI6pXjZHuw1V2+1/jZ7wLG/Qj2PNXb2h
LfbPAIoSXEvfHiP6vHrd2HPYBrv4/yeNQvpiIow9bJtwY7Dto338DzIpmqhARrtzfHD5qCXFKKz0
unf5MvL2e/VNP5Wspfslrej6EmeVmxdqW4mq9d8uym9bb9cmS49xvLHJvC1OL9lghGAvPDDQkU2t
CagSMcSxF+tsXisxCwkPd4fInXctL3Aehwx+B0tD5dumwswtlTjJQapySUvzxdolutBdaoKH/Kyb
efUgyDFxB2Ptp64+qpDZJXRwH1Os3oBNMjuHUDqao1UvEWZTV+XBe78eEOsfobyEBZJpa6TX0E6d
zzLpDwOVfVQw+XePnutTBS82tZsFZHppWcsk/hEWPfrhhInuMLv69h4kRqDFCYw52WOnGtEfa0o1
VTZflLokot8E9qw3C2JVuryjFwSClCaLikdOEB5i8+YkL2HlSPs0C/nsKdRho9/Mnm8C8nC7rvwy
E6jDMjOQbsjxM4s062SB+4EfcaUTc0R10g5O/xT3UCfz40vYmztOffBpgULdHAJXhjXqZjnzWhzb
1tRSdRuakiWLRxPzNpI+MDpfJ2ugDb6DIIU5dsP7kL4BWqKE4cAmtnuf088aboCQzbd2T0DyHG+p
728wz2k4j8jDTcciiBdz9I5ITFRhm3oybo4qhwvztZwsTizLjDRHMBFUwu3z15nQHektm6kVmoo0
rDN+Y4OSBlJT4dSKoR8FkbkVc6b17FmqNfHfl9h5C2CP5jLywnScR7Z/0/gQdcnKNxayJiLkhMmb
YcZ1TXLzkt1quBRJ/GEuQh+iEErytFrO8DQF84MOcUpmaL9a03zq+2nOs7PWrk1RYY/I+MwAUJk9
cQRpJnhf0a9z1m2+ALoYd17hkvOUgqjkdTk3aI39k92mwxzd6jFzm/wySEKb41HaM8+BgCXBV50L
ikxE0p55RPBlmIYXubX8QDLjxniSDv6A93mHhg0WUkIUiXvs3BAU1Q4Ktnm7Qk1LeWni0qdQNZMx
qsBAwDwwkChzPxL8Kamsbc6A/JrosOY/+P/mp6lKsPQuZRTyunQY5PAOy7LQlIYoXFJTzIvWHO3L
41GMSMMeymlpuKj9AEW9gk4q5vQjduaUITwCA3jN6Hy4F8ptrqgJ5MHrPXPvlrUb11fV4qTzSDbw
EDlYzccKZtuuXGBf5tvJmis+q9ZgXR7sb6nGckBUIXfx3LDlS8M475/mHmQ/zoACEiGLi1o84IeL
MxY1NDOX+6xiAM6Zla3Pjs2GpcUFGbyY8pKNJ9d5VL4mInFx2T+hDVakea2u6IqnOXNWTkryUvkM
qT1TawxN1PNt85UsBLX/viOOdB1TGKwMvdl91SkkSbgt7FmgtVigCZ9NSJ6+ta3ZtrciazO2I+Ca
oMCfoqAV00OgS0Eki7UwZrtFgGU23WEAZYCWyOqYTT7uVlPIp23D/ZEMScpVGysaurAvI0vHDHdm
H+EVqLwGkRtFCGuAdjr2vGdd2NbLYPYP3E6Bz8fT2ku0WSpb1uTg1IY+lug9xA5ufQT8DoI7RdyF
en559OqZ6AkQlFYVg0olbofcnd044wbjxgCuyWFaiVDmlgztaKlvbG8lP54Tos2O2ycDkxOJlsI8
4khZ0/YqQMtI8aoWmR7J01unu2ANNUBMwIHlKUJpOvS82CyPqCmxQiUJD0FZNPya2Bt71irZ1aYS
dVFzsM4sL7vGtUgLntJOzg6LFAX/FMCmWVid99j5zS7wZWNRJtocdEOAhEoxKwQKMdcYaXa8HlgF
bnQ2Schdt0tW11zS3JnMoU/1yptwT5p7Mo57hqpewRyQ5gg/qBV3FINfs2CNXEYr26JUzvNvJKVB
MxnIBNFlAncDv1C9rBzxOphCt3JwJBR/6K39i54RenbAxQx0Qt953TKMVmP7jsvl05qMZp85o5vJ
/B3EPSyBm2Hq+b5/+MjXXTXaVNjsfSjJHoA/Cqef21QKzmxEotX4ySf6ghX+5dYoI8v0Kn/fE/v1
o4yQ38WcxMCI0dSrJiWRdRhO6E58Ampm1qcm8MRMUchizdr1+8/61g38cSDg0KYOHWbCIW7vX6dS
cAKH0nAJPq2iQpN1MUFF5k70Ry/jMcz6ysRtaJg9xdNUez66aLQIXVRu2/F/2TuT3biVrFu/ysWd
8yDYk4M7SSazT1mpXp4QciP2PYPd0/8fZfvWsfxDB2deQKEKLktWik3Ejr3X+pbGuZsuxDLZcDny
LmvPj5X55+yjgPSylEi22bInIMQd+NPHH/+PS0X4H1p5V8XdgH5ILH//tynD2AR5F0IeeIGuOPI5
2KCWYyGbK0eoj3/UH8+cTr/bZRTEJIgw0PetY8qoWCN0pHpxI0eX0y6YYJQ8kIy7vCJWEDLr/odf
7v0IBQOAai+p2fxMghbeex2ausX5w6zghTCsZY3qxpguoiQjiQ1Cc5c9K3BJlKOYmPjzdzLNRPOJ
1S439x//7u8vM1NT01y684xJTfWPDM2h6EYgY6H+mZ4E5+YpItPmq4MYnhXw45/0/iprJn50BrGY
qm0mSO+b1ymFISmeifpZQiZPz12VLUfzODF0NvlIW6rGj3/g775jBjRQ9Wk7M+QlTJOi6d0T1CUo
Dp0BXV8DhIUnqNGDZZljUVxCf4OmJqcKEVI4Ra5np2bEzvjxB3gDOfz9DaTU0jVM1kSsEFz+h5Wc
wMEoUyu7+FxHJGoVPrOsOfXpekRuAmRrKVv6JlpKY8swlvX7Z1NcMbul5ZVjjGNfQGC5XJyfudi0
/ife4pJ8R04L84/kSIKLSgdekt6hS17hP4N9v7Bmls0SY2zZlwh9BS/+Smd1ohbpbEnzSB2aEU9Z
n9Kiw4Kbxlq3jxktO8AxoWDzY1o05iwWCvB6TjFow5ftHJExtQ3BKcsWX1UN1CvP/tGgbyntWTXh
aC9FE6zMt4pPU5diOUiAvNC1afFe0B4LE7LHD1pPmidNliKlLfvx5f/jgUMmCy5hAR1o+p+PtuRk
ESlinp5L0rioWUPCNTlwuHO3VAA/W9Yf/8hl/f7thrPUgl5jRgN+BILAu8kQMyc0MK0zPEMmX3qM
Mnat9AxrQEuVK9GKJd7TyFzJIWpUyV6iCZvly6f5+GO8/83BMRiClXMxOfHOvY2//7Z2FlZdDNzL
6DktaX8eUD92+b2WDpAHtbb7h7yX9ysIji2sTXSKLH2RBJva7wu1pYowjqq2/dwviUcPZmIvj0WS
VEtl9fHvpb17pfnXyeIANEGWPPsCqQu//6xwGInsLrCpFm0nnHUgVYuc25A2KifdOBnYHVYMvHP+
x6Zhw3M5mrr7wGHNbJxVRVuXFgxHnmV+X8HOpg5VZ2Mp1OOQE0pkswh8jcoETp1njMrSBnA6q+Ql
7B1raRNjVeCre0XV+eUUch6MXRgixmJZ6fNlveZAgJBvD2MqnrJNUYrQOH98Ed5db64B0TI6sVdM
IEnTeH8NTEIaXMiV473MiWoEIFcyqsCQMJT06T7+Ufq753m5pyxeFoILeDqso++e56Gs6KmqRnDn
GOXbz5ImrdO0r5dSX7LUswT9mL1niHS4CsVYLF3Sn39qerl0CJDicXFNw176mZwFl7xkLYevM+yV
FN3dfGp5VeECxxW6r+0E1Id3Jy0CjscxcTYcS34O/pgWLUMkJUs03p3ZETN/h+x6ueGzmfBTlLdJ
vP2jNdGrdEBJl1zwRYwff8QN2j0Lf7numnhpLP8cofFG8uwiYF0Oz0FAl0NfTWo+0AL5+JI6v9++
Bb2DakCQ1bOgTARxOb8/wjW/Qe+IKvgKdtJ+SkAwg2NjPLqzUqcy6PFHECaN0QVSCXlhXRlBscu1
NHvoyXcEqQeMkaFpqOOrnzBwWVFX3wecX9vrbMRi7EVOjwnJTS4ACsTXHlt2tSL2MsK1bIfWp94M
ymMk4vbMjhTNnNYjTO9Km+iPM3Pk/hAA1ibNFw+SsaZrmD4os4Kur8vw7Xit21wb7ErpxsgU/Wyj
+4OIOtU+M/HsIUKacMgyjSlBUnVEzJbpwAivU7PP6ADM4wS9L4bPWQt1DRDBvtPYn1+qqFRNMIhW
RAsjbFt080VxN9i6fIh1HWSUIxRkzgp9u+dUuu23TKmaW8toW8qiQO6SURL/wJCiwrnFcNnDqhMr
K2nk/YEQQb8b4GOvnChJHiUhWXTNA0TM3dCUdzNYwDXl54LIxNvqCUtcjG4SX0iNaj+rWNDvI2lK
LyJX+5jabeyDg4uPHz8RfzwQlF+LOo1KhXnQH+IxabZuibMy/1YXBec5HfnruMl1mMD/sHq+6RL+
szvx6HGe0jSEGK6rsk+9P1uNWp5q4OUi4ghKHiUdeX23KjkHxBgjM/um0PLgBl21gvmRnM5qrfdV
nG3BU1nrMetQQ6Fhsz41CGIPBQTye7ahlvJBZt1DnrOna12RVyutU42L6JPiNZe6cyroWl56bdIe
3YTjGxwdsBOkGYaf9Nzl9kJIsGhqpIyocMfTb2rc6VtShh3STtls1NAUL7DPdG/mXPWvSoS3K/J2
9SnTlrCg91Kmktabjbe2+Ma7Ml67GmHevpWVXcIrI6z7j2/074vpjx9mI1JcSqwFmfRuowxmoCe0
OYtvlrBz9FmjuMN0prUgr9Nzb+iSs3dY5hfGsxi6Pv7Z70R4/PClDKAM4gHQ2aPflwRwKNoRUfr8
DU0rT1kU69EW0k62G+fxBVonOEEi4ddSC0k5rBvFwoUwYQn++GOYy+r22yNoL2JN+AaainCMwPHf
Vz81DTAu0DD+FkpirGmnNSmUPkzu65YpCWG8Rj7u7LzD6BMrVU5MeJnvSvpW576yAFbg+lUQfYfG
DlQqjbMGb10OZhd0aKqc46mwTxPUzgJi7x090OwTgdHw+y0GY5M3dyNjFwhygWdXrn1D2diXGxCP
r5OVxFe6XcXblE7xLg7L6lNudlm3LoNWfpmySN4LU0svSrEEylijOmx0rcNYoTdxeDdkbpR4US34
BaIRThHxu4wA7KROiOVmT7w1TMU5xdFkLHSLYsl4B/n4D+/3cu3eX1uyqDjuW5xmbW1ZaP5W9YF0
YrwmbPJYQMxfQS9NHqpYnzBy1IW4UofFTvnx7fwz/8rmmIXqFj2SjgTvfawXcPysydk6v6NJNw60
zXDqB3JSjjQqkw2DiI6V3gybb/Dtsoc4HLtTHLviovSuvvmHz/K/PFpUomh6kWRp9h+dI10jvR0/
R/qdMEAMntjpky/oCCZS0oviO1W7/W1u5QJ6V75MPcwg9Ik9VoZ/+Bi/e+R40bgKi8iVF9xxYTos
q8Df7gJanDZvZzv7HmDAl2uLdJRraybP9hQDOtmImXChuinkZrKiwK/cYHyOHMT2u6id1bt/+DD/
yyPhGEv3kocTYdx7Teicy6EvYTR+D21h3daW2t7gyFPWNq3DI1uMvJLYmQ6VUeT7bNTVc1fY7Al2
1o0QhyIHyWtBVnJMAMwr2uzaXDl1nN5+/CnfeGO/P7gcElh8iTC00VC/l3E2Q262TshNCkdGQ3Rc
yuBz2cyYJmo4ROQeaSm9qbwEfdOZdHnXSWSZXK8wXtPhcl2PUXUerZvSsp+IXeqXpj3Dj0Jpo3Nq
xe2u1vXxypJRuA9NO8TlYLsaCcKTqkG5rUQuQYE6pYeF1qy2Cg/0Jkk75QzOoecLBls5vd3GaRwo
RBLyfjbhQN3llSrO+JwBPWcBPcefndUZkUD9kDB9N5LsAZPH5FNFtredNhb7KM90civs3BasIQz6
PIt+7bXuxgXDciSe46ocmQh2FlgzD/JydR4qTEPkjmFwgqUFLXyPrAi0J1gp7RF0WPwESqB7NbAA
0qTrE6zJH98d9Y9tC1ol8nlecTTTHCrfPdB9DjjXrQ35na53Hd6zu5mtRyeRbIZW9Fea1afMlNqZ
2C+nMcvXaCYCaTUHGiQkHcveg+lmIYaxIb3XGvjbRGWkwaZJmoyXIUxsj8gS5een/q/P4m6qvv+/
//vyLQdoFbccUr52f3dN6BaSsb/d4D94k4/f2+7/PMRNGBfxb36Ln9/5izdp/8Wg0GIVg0JIxbCc
DH9akR3okVQxnA15GuivLDjKX8xJKJVMVXmXobigIVta6b+QNPZf7PgWxBqOrMabT+NfWJHpG/62
2dGsp2dLz4HOmko58Uc3MZyQNBVJGO3b3JbHElI42imtao86OIZ1ZqCXWqUSjkarKgQVsBsLwk1w
uanDjtBJBZddIG2yxtzm1nX4GnKj3YfY6aDDLqEhZJO4C9QJfJ+0cvKtxjQy9y2Tx2YjExnMHuKo
AaiCY5I3bRDeve7dKV2bFQUM6qtDgUyhXzVTiCUjd8J7vIRusOqpWDwacE/uQIe5RaYA3qyd7jnH
koqFUmwT9wpyMqarF1KZ1QPDbbZtWH2D32FC7Rf3b31jkqNw4lvUCtnbkjVQKpc4qBI4HGMy7BD/
led5oEAaW108zk3THxNdTHfQwvTN1LTRtea2Vr1C7LYoWEBG+VpuxWtCtLMNol7se9Ew5bdhRIis
RnKVl7T8tS1q9Yid875MS3MVoqE5O8YEjCTrPAIlSuZUJasgwvjuNiVr+jooVViJhi5Y2KzGUDcl
sy06YMz+1q4M3BXWGcPXql5dWQx41nzmdK23gIwB/cP+wywMFVl/JI2s2qlxdLIN0m3o4H4KnZkJ
rDYJI1vbtI89wxyMVZGFs3HqlKYPVi2qAIbcMykDebdz6XTfG+2UJMDaZ9VXevQzRjIxhG3awuR+
mPI0O9quS8RznGjmWvK7+GnQPQQMzw/u0NxPKREJ7iSKz5yRp4MaVdhrEXitzRTgnNqZ64yE8ZvW
KPRiTbRXdnbgOV9lRZRzqTMEWPgrS+tTSA7PdapDVVMiu38OyIa/MJ5MfNQb42maq++dhrVhVSwC
l6COw2Xg3x5GvDMNUV4e06XxlEEHJ+rMCtayUIKLqndPYPQLxjt2uo8sGEPHoYM7cyHxuaxfmjBs
PyNvka8xY8aLhRTmmDDyvU1RM9MhKeQJDUJteV2fc8mGKm/OUhOfh9GQV0qlKb42iO/UCZ/tYUCL
mJtFDVbMkES06+ITNgiVFI9mcp7xR8q7mUhK+OBBht03AMFGJSLznTCkmWwCqywySv9h+ByFcynW
KqD+ym+VGlcial8VGt+k+abdoQIugAFe+nIh5WAUPFU1sAPcQlNw6SvtejDV57l1n0XDFs5Y0W9Q
J1RI4GOAeoYd1c22JwttK0LNejQD5y4Mqu9CkyBE6NWSXUI1uTOzvnc+RRnZIYXrIG2NLG0Xsubc
8C+EK1tvo6u2jo+404Y9oqqc/dgyYPaTljFo59Zt53DrBGMTerKpnnMOLvKmgczGR2o3YAGDa5Lb
F8BRWhEBpvfrtrfGjRTudjL0aJ/iTa4v2qw5+U4Gag6tWk7JMdVFkvpxW4G2G0VpnltTD3xbLyPq
iED16wrXuGVTzamV5TzSQaBW6uZjIWxlF3ZttE0hHsK41BCrBhPGfDENGyIGlvi/LH2iMwpHIamH
I4jOjVHA2qyCSSVmszXo4DeJeYnKPPUrK+1XFpGqntOncPTQdxySVGdEICWReXQAvF7Nw/PQmwNX
AGXiXY2ram92TnMeoZE/DOE6ktlRijRc51kL7I4DluOP1ExkUx8toO9aMFprRELaHvn97Jt81TEz
RXlWM4JAIB4qY7OqccqJtSnxm+xTq3dYqZr6QnC7fueYDtRGq4I6SoU4eIy1p22gBKXtuVmaPs+J
K1dYR+GWwv5asUB8hlSYrKJeRuOK8yfRiWRBr8a5v8rmcHolRaLnbxF6R2aIEg6zqNyOQfvVgOu4
oCbddBVZ4FhLTch9kE9onsoFHJvJz2ws1magEN0Vc03gEx4sElNQqQ6oSjitftUKdhufs1V7wvbn
bvpQvQ05we84P4ljLGwicAon2eLtJcNubnZt5YgV814HtQPoIrS+/Q7ZudiLyVa9wAUEag0GZjOq
7KPVQeVnx4bmUwntJG3VPY6FHfuw7G+QU9IJbEN7u1SWDn23+FWiOCgJ9AC/kVesvYNKNABtjHpf
u2pOLz9M67UY9esGTLBSjhryMF7RM6Gh8VUskBinWaV404z8ytRi9cAQJNgMsj6OOfmKgiCKbyjA
Ri/Mq8FPsqw6QeoBYySNaN/M7hcHIRelefOtdqFqynT4kufY74U6qb6UbDdqE+0dUlqxKWWL7Na5
6tXgpgOLeEXQA6pP2ZsXDvL5plHaq3BKbqRolcsQJddgopxDMJoab2N2Fdr5vBmt1GVrjOksray+
tTbm3OIIR9BNR6GXhNka43RvpNMbaGgwbkh9Ca0D5v9JnqdWhKWvsXM2Ky0edRQYgnCraGWg/xGA
KZ1Z+BFxNPNtjq9eeWLYNWKXoPs0r2OTLpno08ImTyBVs8zw7U5Vp11lxrem3SxN7R5tNMKgzLjq
U5XAvdJUSduEC1CuhNrk36cSPuxK0EYlO0lTonWVNPOjXsnxMSck4GB3iXqUddFu60kZ3twwo+Wp
U9ofhJUOLP1ZwTXoow70qyAMh+75bhEQvsA7QbpLFvGhx0OF20Cz8xtnlvEhF3m7ZlTg46scNpPm
hN9qTSrbthvM6xZ/AArBGrFa08FhzguWVxRhXKB0opcZiTB8IPuXHNskR8ODvZ+iI2fsSyS40a/F
bEpEmlIdVuxutPdBXejHBrtG5HdaU0E8IA3GdZgV9wLBI3vbypkiB3OILePVnGbRYULvFzIQaHu5
F9Ekj1mUKnsFjQyFXyAkY0fdcD+ppmJ1XtnNdbwBJ+AS3gdnmrgNaUHjqsVzayaRuh4TkVycqKlv
EjcZyFXhuMxhzzW3LTa6TUNnazeDqutXGCN6sULdbS/8kal7zIhmWgdQPU554uTmKuPmP816bGys
1tzqXSDJa5o7CUa2IEW1TuOAg57e75BSD/1KiaEU6KOSk7VpJRBfFLtm9Mu8cW/EhngkTTNBu489
2AtprqYb8oWKnselE2ipuu6JxXv2oSdbx9JVvxh2SnQhJq18xR0N6lWWLjk6Lrnr/tDJZFo10iSV
qLNI3QJpk38qGF+qnpVG0u/M6Fwhqt64Q96dBmmbe4t4SnJIYcxdWiw0zLLNItsahdX4JFfrBwdx
cb/OCmP6NpKW+9ml5r7XJss+BgaWJc7lvX1qBaXZmoy40D2TIKZ7GvEYXa63j1NAKocVmsYmUwAq
kEch9g3ctcZr8Sw+L6pAZhBO1exiHJ7sJZp7BpI4fddgFHtdHasvrKfxIR4U1Z/Ajj/1iFgmqLC5
HWwUuFnOuhOzBnwlbzakQ+s3klhyH+EPvIrJTv3UiN2tO0LShi7WH2e7H64mBtY3rY1vg2bI6CUm
SDey0aMXQg7HGihPaWzUuOwwA6lV4+NwgF9QjjFKx672wSxYG62n+4ToazxVbTxfOfVc3WJasE2P
9Tx5BdnS3rmFIBZaBXQIui1xD+UUBofYzsSBaVG9QaFQHwWSTai43QCDsCr3GqkZvoIiAKSxUfl0
P1VqfwAephlIr7SxOrE058VmsCpzmxC+vB8FtXiFwOqubDJ9o4jG71BOf4rDhqlNkvdXCQqpI4tE
v+YF5GWx+4Vdy8qnpw1KcqWuyIOETz4Zak7OUD/VQNpa3nU8ZkcajgFGLlFTQMFJiVLLnKEJRYMf
19J67bty+GblI2F8TJjGc69po74ZSMz50Q387/n/H87/rEE0JD/gLDQpXqCX9u89gx/f84tF6/4F
MQzOl+sS0O24S6LEz4O/a5BBgcva0pAK4Zx3aTD/PPjr1l9o3FHsgShbugU2x/VfB3/9L0FyhekS
NwGrFlfev0EtYO/+/eCPoIH/MDjl3M903XzfLKzRDhuVJkGWZw7R0KbSXzVF12/nIBoPWVibO+iI
CIbLYZioOlr7ZKYG8YWOqg43ZSkFbatKecl4sc4pfnqUyoF+ZyXEZSJssYp12Br2VZT17c2U9PEd
gnnCzZFR73M0HZ/LKnDgKtjJAXeX303EzyCRSXZgFBqYZwnCcVSK1fxVVKnixUFIIHwwgnZG5ZMe
SEkqjoGtA6HW2xUK0eJcUjFRowYE6yR5dFD7lhTfOM9hhSmWvtaU0D7kNaDVVZCNn8rKybZV5rgn
VqU+QW47ahck1C6B86k4q1MszgxAlB71tl5v6LdmW5Tt4ZPqxu6VqqTXQLPlOdDUu1lMqB8s4r6K
msBKiKmV/sq4gKSwfIKqqmIP98hf6K7dSQWantj4fwwTIlmTxXJrZqL6Ngz8EL3RsX7GTbYtZJne
10ZCZ2HMjGRLLyTZuW3XrQdjIA7VnlSmwZp8LJ04IHcqGi5dGc9fUdRPT2T96ZeQpPkdyb3NlaUn
4wWhTewhhYg3sLjlUYxW/SXX5bjG/mhvqj7rt7YKxksNoTcZaZHt+mIgezw15DfF1YkQMHFjAuPR
inBvLIp4SULAKiVTe92awTlPq3yvOACZUjtdk9AEIRVn7raue/M1JKmNND1YS51lDFtLuMFey6P8
GmXgrG1cJUkPSMkCxYdTLo8VNrmHcIrdZ7u2ch/qWUVYqjXcVv1Q37mBEZ9nBsznoRUUDrLR48eg
M9pTIkV2a1DzbAmvwmo01CVn0jGzgU9kun6ZJzs+h6Exb/CLEH4LN5VRbVypiAG62qFLqPcnC+Hv
tdvwrDA4tQIvmY3sqxzH6iqwLBj/o9Q5F0BdzSsrfpaOHT/VVaRiKKjMCxFb826MJmIglV4/aoNZ
7hpZhp/g47d3yay73pi32T5X5L4qgiXCtjCdK62utOcC6d25Do10HyPs2CVJRsxfTqQrc7XI/JRV
w1GL6Mz0Zd3sFNH5dOG7F0SPkIAmSmCaP4H9UuvDd7MeOQRMFUHX2OT2JU20DYoEohzsQnvQjfTr
NOgVtLbQ0J5tp7grex0LYVtNhAMW4lJGlkVVHwXKwVRQrtLRc8RV1KukUAyKVb+QaJ5c25xlyIHS
dfcruU/Rtuj5ppCQi3snFqSK6BiMKdBzmiPcxEHX470lCSPGDZXf0grovjD26ZtVl6p39Ob2oTZY
h5JMMkTEWBEsG6ZhnCXphcZqdmMG2c6ahu5gBXOxJw6M6KqKYlSyWD53pRvvbTMPNoSj1msGL+Mq
gIJ/U7WgZGbCRj09ZYA4RxPht5WZPtlCGe9tBuqXSmPv5YYySGiiFHyhpVbXSjNuhsyqj3WDHNxz
3Y3ZJfk2aAdxRgGdEaV96YOgfyIBghhOS1cviQj1XYH3tgUFQzcfil3zVe+oEeH/rgcx2lvyWUe/
z1Sp+JGtO0+djcdzVYk5i0kGI/+mmKfw09yW6VYZuxki9WTaXtOP1hK7NZRglSZfFjNjjJmWgbN2
3f4+nCdQ4lmKyCBrQtKWFea/K7dqwNtVNW2SIhC+qipPiZai3ApD4ufizAXnamGcdQFcQJ+MH2Ht
in0mCNbDGE8pBsPvS2ZF8zEoI/diEk+5b1tzzFdkb3SXuFPStW3TIyMs8cVK7HGbgMS5Fi0d3sUf
Jq56h4QLJ8hnDFxOZvkYO9wHl13jaoaB+AhPOj7BuvuMiNDasSPOQCLb/qoNDfBuzH1ObWIVXjcp
7imXRnPdJUF9Tui7PShBnJECnVd+STrHRnWJl521qPLNttYfEcpoO6vjt2wCp9zQxdW+k1UizwM6
jBdDr5fNRc7GEyOk+B5TYJ+tgFgBcEjckESDiAjTKRw8sl6ia5VO6YrkYHMFY2y8FZJLX0TmvJ6m
jj7bqDlHZ4lFQ9QB5RBiy8CDpg5ExqDR5c5KrGmhLrdFPHaLJba6z2SwjdUq8bH2ztcp3EG/6jE7
rybKaWI4lcIgK3zcWHXZX6l9qB0IKEk/k6OXrgd4FpiI2W5jXvFjy2BoR2t/LDkjNu5zatFYzotB
PGU0QnesTOBUOm09aZZ5PctE+VoZtjhUnUNGaWi3UBmLbE9DKNjA024v2TQ490i0g40qanEb9TEx
r71NoPZEkvtGxwh01Uz1l4LczK/QMln+UaHMGK5HI9yO+qCuZ2bbK61VjmYhKN4hRsTU9XiRTCJI
ADiImBUtFhcE/QtTKUnCO2lSiKwSSTg9xyG3u9Rhne3KiFd6NVbLqYuWAocKO3DqVxhw6b7PIo0O
1KCcYoLiJ9LTr/u+SHedKZ/NxgRmXi6hm44c5Je0s55BHLyIQL7i33x2yvGmUMlvVOYBlZNe5/uG
HE+/qeM7rQ6rQxXZ9h3ANu0hZbD9FRD9+IhX5tnpC0vhUY8BlaSHCpuJkIeq5pDWbTNrJL7mTKlF
wONq1lLyMWJYAAYxvnTaR82013IYpXNdd/UEXMMKlk6R7uyyfuDGATfW8EP3M7HOpdjKiapnm5P8
d47BNJTPFQsotddinh+DdFNjlM8PjpI2pPcl2poiLz2q4QQtsontZ3My68+IF8LkOkCMdLTp4zV3
dOGiYJtxxAduPLbDzFQn7MzkmxONrXJv4pEzYcb3Acc3JU6JPbZjfV0oYtridyo2vdU+gpYb8COF
2VpM3MkuNB4J1ht29Ihtj/AbecVXjhs3syknaSXEjXGSLi0OTNlMOVKiwB7Ic1Z21CL3xQwqlf6w
fWAHUW4jJQ5PgM5VD5zKdNWD7L5quJsHjmirLoqHF7pK06FxLQX3liK3ajHS15dLuaXPmlzBAG6O
cbxnIor7aVr3ZdBhPIfOAwsMxyT0WcgMxiWfo3ad1Eq4n40QBmUQBIcm1+JDJ8ITISuZJ2y1OkFh
79ZTaNefJVk5HlbdaRvXfUxqa+v6CqntfhNnpT8ERsVIhsCiVYf/0gOf4uykqDR0flq+NWmZvBoS
mAABaxVneMZcuvrNcgoaza2QiAS+SsOuU/M+qMnJ7jyE4XH+39DAnwkg/3CIsyFtfHSI88qsbF6+
lX8/xP34nl+4PKFBi6YQ4fGB1owJ4v8f4tCd/oXY1QDeBZODd5jB7q/prcpJTUMdaP1nsPvrEGf9
hWaQoS+zP7rr/CP/5hD3JjT8j+DDFJghmBCTTIjhgSPWe42MYJWA/zIrRxJ1ayhEKlSzST41vWsU
zSERsNfqVcphMkq2lEXEEZx05meDHwJQYy60MssJHO5hyXZO9XOhaDQ9JiJ0olBAYHbgsLdbmSbd
GDAEic04PgEj6lleZ/5fNKNBPfOzkHRRms/hKpS5HKMTEm7SedPV4NgKlCSF7RTaSZEfUD7p0kv1
YYFxgH/vxbNWNBgiSgsA1HSb1POi9ncMtCL0DUcZuZ/iuKPF5hqIVnIHFb5nSsaCq0xisptW9gTE
Gf9+WTvVD8HGf1sf//TW0F34+K1BQfS1i7/K3xQTdKz5tl+yB/Uv3CIIyIAmWMt7Q/fhZ/fD1lFE
mHDZdeYgKvoGPF2/XhzeNhQJeD7ofPxocfzqfhjiLxofFnw6k44F/ZR/R2B/5yjih2CdchFykiFD
11a8l3Ga9FJdtud+VxahCikqZjfCxsvUt3uCcv7FQXe7qsq58wtgTR7k/3Y1jlN6cNS08kTn3Dm9
kx4gZqTnUWan3jFoXCsWh7lGX2VCoWRJetebpDFSizAoMPRcrKkxdN6I2t1UrkK7Ai+Eh4bqUvEq
rMlgBhtgOKmv1va4ClV+JltN7yXIWz1BVbaGy/bUZy5lU0xoXlViqzOTL5ZSiXWW8+WpShVR9naz
r/rmSXWiypvNXl8l9Db9PLAfsBDckGH1pQdizPdWT1kZv7LxkBFS2rGH1+6iRsjhtYLfx6rGzhdN
/WSpiQsQxi5ghPDrFSHTlzEvSEFW7H0D1jgk5tgP4Jl7BH6RGZdjI0jSV9w648qyuJT4ptu1qPlH
s55LYJBgwq/AZSCbLY/bdh00fBXdXYaglcEJKUDPK3HK7xKDgB3wx9naqi3+NjUugyM7f/nOxCBx
InbJi5u15fg5cQmqTO98s1PnS1hmFxdOuc8QlHuC05KhZc3HH3TNlzUfSGcmy9gkvAfvzkkNbtSa
GuZ1KuoSrVujecx7KbzTCWY84quvQaaoXAf3DjdJ5+tFBtYFkJi3ZElvjM5x4GD0NHsSt70LnCAl
SogeAraueVPNYt4NDldPJ0VwPZj2HrXM3dtDEtcTp3OjbteVzXOgTvol7xmgN8K9G+gfeVrKf9Hi
v/QxHypMUmPP+Zr1Hjf+ugxzhlVup/l9tTxFHV8rXPsqblVS+MpW89F1JKgBrZHLxIMlsxySnWle
8Ty/4mSnZtf46NkQfwHXyL2f+VMSoKvtVaVYD50DGg+IATNXrlKr0krQ7Go+i7oF3t02T2/3Owdv
DCqOx6ob+H0B7LiLbZ1bX7NfSMvJDkINX3nJearZDXAS8HQ6No8KIaZwuupuus8i/gin4Iuu8kF4
8ziCVHCxJJeLMe/dNHPnh5r3xLaH4DCgNDxHHOQh+LVPNoxRSFvcYcaYycrhbXy7GEXFSzEofGmV
5l9ygqD8QNj1Acqf6RsBD22WtsFhogVzQ4Z95aG4I46BFC1PB5SxAS2k+U2KwCJvDC6pAFA/hFF7
dFpl3NKYVE96HcTEksyan9q8lDRYTvHACI9GHk8ZcSSYKYr07Gi8qLpgIXB66l8q+cxHnPCKvCS+
9JF59fZ6EVU674QqNX9E4UN8gUOJKZexJUCEtcHE/BBGotiOVP4LgoTXMEV1+XZvEV0ubvziZPXB
soTwCBRoPTx94Nq8PeWznc4biBTulsN26k+QPzaWHmVr8D/kKCwPwPKE84pfYmMutvrEMub2vN8G
LP7d223uJCO3ruExoiPb+X2iBi/QPJWdGfGrYn7ncCVVZRe4OquXGX/huMMtUFMA5Hw+V+ftEeBh
vVzvXE8rCFZFeVJAkhbjlTmaW2dIvgBFohSxh+IUpFrqc6xA8jgLNBkm72k5m+ppQj6wsS0eMmJD
i5PSQkGfQWGx9ua071kc1Jk20mhscV+3nENG/jF16D2j1S3PZuC8hszRrmqtbfaDhavKBhG/HuNc
kKpl6r4CbdizkSSRVsGte8PGBFK7RAjH4SsU07bqWEyYp/UeqVx4M3s+AkRD3iKwPDsqFv7LzvQf
a5PmjkQdLi9tH1s9HTjljn87uiahVqwb07ho0/+wdx7bcVttl76VXj2HFw5wkAY9KVSuYg4iOcGi
JBI5pwNcfT+g7f5k2r+03ONv5iARBRQIvGHvZy9RZYHmriymWrx2Rm6mWlVbVGN8fyS3rlHHF2dl
S3XZO+k7ZRyXZuI34ONa256VrtOcH9kLvlcWiulGqq5da67FI3AZS2AsDa4NmuA1jvUMvU39Xjv8
57xPAPNZEMZjnidSy+KtaJpvmIYsFMDkvpa185iXkMZTLbrWxv7SWfwdJvFgxylWBAJpWZsJ4pnY
3uORJFKoUBrJOHM2v6RWliN+oSKwN6gE2VvD3UpIFS4VqpvEI95LN+6tMM3WuD6r5GIK2571IxG5
K1MPyNBlzYmSIdFrtCZl3F1HocRRDrIxY4ANfWRI/Inl7UaR49ZuGDJVbF/rWjtWQf+qdWX5naC6
bzLWy34Vmip9d2tTAwSNgm5ufR7/474rSBb18hRaFyjS2vQRBPA7n8hBW4e8itaGcIMLWDuzts1M
mBqXqRG5zqEARpzvoSh12hMQu8GPyJ3LzkHkmWzpG7Rlfj2l4PytAUjoJiSeSLstiAg+QhL7hVKd
kusH78JHXYNrAVEn2nyb4eey9flBNZ95mjHLsun3TjzRu8/Re5zycjEL9x5uHVIEmgBfxr+EJPxV
IP/HcSXzTYZQiwn+kxvPm6QB06jq92L8eNjxO2jG6Xcg9PhSqvT9h4Lz+vcO538VfX5dxljN/s//
/pto1cFAiJyaDZrw9L+Rk+cx1GQ8F/0+m7hBlkrAS1kfhIyr1x9H+m8T8IsmwKThZS35Py9A/1H6
/Ptf+rMHsH4zaI/RQ3N7UNT/0AO45m82/o7FwvmxAF1U0X9uQL3fJPtIILdENPHqpEP+swdYlqN0
E9xfPCiAPdj2v2meHWF+/l3h8Kbj8CP5FLr+4TD94XfFHWwyj6dQ7F13KjJouKW7lFwWr5Cp5v1t
blQRvEwFymQWDWH0oPesTaRulqc4CvtLs7QZ6DSDubUcgGVoJpmBR1NYnRq7yO7LguH7iunBoQ66
+4D3sUs7UL/qZoUAYN2gLX+AnFk8Gp0NDDcf6XAHQ2u+W0GBYjoKvbMkC+S10Ots9hXFyiv1Kn8I
96P3iJtae0uVox4Ih87VG045j2Vq3MrxEkznpslb0AAqOVFfVO6OcgAvqMnMC/MhpKjLntn30viU
2j3T6qoDBUpISOWilXHI+Vi1eVzLNe2duhSNytYoXVykfplrnNpucLkspWHsBUScc1IJKHSpTZnH
UruECTiO1lbUJETTEnyVBKqdwhGznOXOcm1RQz1BhCPgTQSSV6pt+Vlgjo+GkUz41CzBhrHt4x3x
KNV14OGCQC8YyQPbPu25a7N43bdKPUQ6+RhkLWYEGKH7dB5RhCAYYZGrETPCk69aKYIY623ghRkv
8RkE4FUdgxTbaigU75vaJXYZbgjEuGysnmVIctwCArhXo7lc5VRwLRhEi3svtXRjNRmjuMe4yeg0
qyx+fGcu8YwNopPLFpdiT0EBhHllIjTNN641CIMaF2SSrzU1Tt+RYvCEEM0w4RXxjxka8dlns9kA
S+4L/hwpd/wd5KQpUe+Fqp5Rx7G/tro8eFz6wpjZh+2iV5fYfzM0vwLsl+U9usSF9Zh2A++R7VK3
xHWiuebWJP8V1j2nkbN3340kg8871XnmwYw667VSWd3uaFvYiTSqnU9egZMHkb8oT0Yo0pms55kT
ws7Cz6kXWUqXgmc9au7EBxhFrcKNEyZc3XwIqueMwGUceYDqcpQ3BB6tXUa6BIE4pW1cBkM2BlsY
DXp46Bac1woWXfcdOR7rfYioAIbV8mNJxmIDznZg8QVpxFNTN2g6/0MyQVqooMvJu3OXQK/Fzj37
DdELqNdqxzxIO5cHpSK+lrntqmc7BKsltYqToGrTr914sM8fR7Qd8ALbAWXAAdAd92Y9GFzfZAyD
x7FJO5dK2AqdtRyNYd41jZCv+jS1ri9hbp1sHX1yTRGFcA2+LZqzhOItTICFpGYdlcA/YqqQwO5N
06+NmJ8fmhmnNeWuy3A5s7/ILpm0x49Pyda4D3mVybjwYSHzYa3K5i5jGicuAX8VKQu+lplXa4/L
+Cwf6vmuGyH30hcvX6mhL9cHipveXnYTdgt6rPI0NSX/7k0xpZnrha1NJumMMbPUuCEg28Y7B+tH
QK3MRlnmiES3cV1l7/NscUcmtrbcU8LIWDxiusx3ZT8AfXBErjBy4632FXTwcd15xkzUsD3e6qOr
rodkqp6xK/WmT6klaCujIiczG+TauXMRU1WWO6GI1GrUdgbD9D4vQtPHS+Fc2uwtTok3eY98mXaE
UNIRt0kE7HxFXlv13Mm+DeCwGupu4C7eJfR/29kUixQ0tG76uGu/JZopqHTR0TxmXqbuXBjYPoxP
bmyjwauOY7TEhqazRPCLPKUkmkuwkDStyLjWZGgQRMklG1jkg+vYj8JzvtVYMEgOKkoXfHJAn8SS
ixY8JEDsQAYs13diXf7YIE0920TeDBwwH69GYckNaaNGuNE6E9prHWBppYesDqaKzV2Z0QL7DW+M
m0JUxS0peAwxyOii1aOXNR5I4HW2Go3om6RNhijQxftkcMX3zHLmRzfslbMFFJ2c68aO38xajQyG
rOlQ5QWbsSQL/DLWHhoyYB8jQ7brAtxEucrQ5u8mQeKgobSMiM9i5L+pYqu7OUw7ktve4gn9CD1j
Ro9rjQ6DmcSZEDUTx/I8pUl76sbAqX10TOLQz016kUNHWlvjSARQQFoRAkUMPsyK2eLYSG0ty4vk
ZsaeiQR/qqcjtCT3Mhu1W5FrRN7pSHMbojeHVpyzDxX/vAj6Uc/uukXiPw+L2H+R/Y+LASBdrADF
QLLQYg4gnwOfgCiKJzMc6VO6Dx/BABfwXKUsIh+Cyiwfxwh2bjbK68ga6ltIbeSTha24DYRw7goU
fkyUVede1YuTAbVgtdFpsp+QJagTU6b7OTTsL/3igcDLVDY7ayxo0PjeEGsMhLPyiz/uVeXlfo+f
om3Jo8YbElmbbLFb0DNk7J/qTr9po7LcKDhUbECxaACMaIiBGjo22CgHaOajIBpfoM7mcNXl4vOg
7cfzga0H/4cmZLYZsCWxk9K7e6NI3ecYX3HLqxD7SL8YSXJdqw6DbXJXj2byoni9nwj66y+7xYfS
uPVFxQ4XgMCoKrrgIujORHwkeMY9425ieQ1gIhE3KUyY90Gq5mX6cL6oDxdM/OGI6cgDO4RZWvhV
3TyhLA1uokgEaCEw01AKqvPQCdOnIWSFbDfHvjW1q6bp7E374ciZnPwt6wiIqucYB5k1GTdJ3A3P
bowPh3BV+9qrPOtK9SNRaOmH7wclW3VJBF16oQe1UeCE0LUbiX9q7ch+3HC5nNUgbXWs2rx4iXv0
91ZZPQR9pR8xoz92iw0pWgxJLc4kYYSHBDPQGRyGfBrHEP+Sk06NL4JWbEjcjU6MR0AruGV/0TvN
nn1yt0odAwg2oxmemmWl5Bn3KpIcB6WvEUkzW4co6jpeftqlvRisdPa/+eiWeyMTX4JEOqswszFK
GaX0cZuma4IMMhpgbFutUckNfAyPN4UXzOtQEmCGHhivlydNtKaGUZk3Ll3vtes13V2JBZQXfQGR
qk2Ql6az2moORrKyScGO9OGDvZjMCua8YDsVoAgwBFv8Afkd6XYDg+bFosboBWaFkSUt81QgzH1n
MyIgvii6zlVjbtPF7KYvtrdpMcBh9+ABZYflBU+gYR+rNm7XHUkoZqdjnit6lqsdssKTmc/1bWQh
fvWnxXJHTjlSimgx4vWLJS+ObQYegX1woYudS2CaD/qHic/K+8eoj57IVwlg59JwY7IZwoeh8phR
tKrjjduaR3txByrcSCsA+/hXepvvoWsSjIR5rqMmcZ3eRpm8eA2HD9thtTgQ5YcZMYu8cFU7OQLA
UbqPlceJD5Vq7oKkdLYEAAbJhtfhuHehaK7BJaagTgBdqYY0cVIFEO4lkVyj1mlPpZykufpQyqtF
fQtHFCEuf0ddOB/yXPbvw3cAHPa7+6He/RDyAtzNvlWOU+/hWKDzXUqratH+ZosKeP4QBGeLNjhe
VMJJMcRYmVxELJUw1sGES3Aa0Ieni8I4XbTGM2Ju84H3Gzy4IjMjpsWIr6/R3JmkjFrlbZ+r0L5l
PGAuhkuvgayAgw/pvCSH3NDDrWcXBb9AOrVgaov0KuQlyxRDnfE0tpupTz0U260b3LSUAUu2IJ69
YjLDJycfihLpR0KNJb3nECH47RyMrA/zMEKt0E8Y4hg2A2urm5XHSIaJpgXttcy6kxL1tHPRx1yD
oW7vozE/1mN9qtxZrWvPqK/ytmy/IRPQd0NXN6g6rWDXhO4jhdq4dXCbsOuQN8kwIegjEiBNt4nC
pHpswRuJbezNM94TNggJu+CiTEiYt+dbgEvVVwWSGbGIZxBkWhXs3E1SRtwCtt057Rst/zYNqiUz
dJqvNKxD8YYcTav/6nbVfdVPRYorLe5lYOxyjYfbAd/Vro5M57YU2ZcKIlZ0KrLaCc5mob+Czqku
lEUhF7vcC4d0jPEQzMmUblyUaQtBQ1r6lzjnnxpEFiCbrhdk1NZCzLUgoq1q/DJHsvQlrLjQuQ6N
qr7m7Xfoct6g4/6HTv4fxiufhzkLac81PYEbGPCC/MxxDL2xZ+NBXes0jTyMJp0oKhrjHgVl+91r
RLz7+fGsz/McnMwm0mZjQSxISoXPU6toIOJKb8t9kTfemUjz6rnlwfyaEsAdrY2y/xZlupSX4eD2
Jgsn2wwmH0NylF8kVpLx5OMXewOtTTZXeTOISyS/c3VsgKc8DlHnbYa0pABknB1QtrEo+66HuunR
0MtuvjNsDVRvrVLsEFjxnrsqsV5Laxi7uxbNd7udsRZB0C1s25QvM/1E6geuomELA8uk1g/pRVKe
GPe5Y1bPmI/b79wyxTvW2uLOJN6CkXrd8ucxnVfPeg4e9xzSG2nLs1OnwRIYT2et7VvSIWgcdm5Y
gobmDzZXsqyEvWsiYatNC1zh+aMXzu1a/Cv8HOoBHcyeZFLjWhLq/WctQUqFHNitXu4tthJ0mnFC
b8AUmXbt59/25xHlx4E8W1IGLISPz3cXAWNSw9hY7rMo4yuu3DzfdEXN98PvnnxtY7aW9IaKJgQS
evX8b48OFhdBB8myxOl5n0lslTYJB+sOwtykMu7tcUT4W8cT9WPW7EulcVRiA2gCtDGnbfv5wcVf
oSbLRQafCVmAgAOH/fPnc4cIhpWS2J89WzR++jCGvbxw0tq4LxI0jWspbE5+kFN56kIilVdgH3sa
P1Ta2T6U6g+wyX/Hm78YbxLo8VN7x/otex1fm7cflUG//53/DDd1BDcmU0NQK7+rGP4UOFhoH5ha
uQyL/op1ML3fmMwjfiD2DgUEjel/Zpvub1LixNBt2yIQz9DNfzPbBFD8aba5sDNxi8CIIlgQ88mn
eXyasPIVs1fvJ3uKnrqkK6q1Ta5yjzMXxbNymrzbVvV0nZXEafgZFQPICRqaQAfaMsQFK3VzFk9B
jHlpVRQpLZ2nj2+qs7VleZkg7sWtsMQEFwCeV02fvUitYdOABX1bhF4LflAPN3RGCIq4iPE+YOV8
l3Ts8xTy5ssssdD2uT1rcYeoKrlgTZujLXSCsUt2lxpuJ6R/Tb1ChdmcFGEbdFQmun1lJbuRD8cD
o7GrgzPHwYEIp+628EJ5xB/ykji19hRnOeu1uoCTUKtihxQx3FSL/qJy2+oKLy2BOaq9GfBgWlrK
SQacqYiMG1YZ6dbDC7yeLFPDtVt0GN/T9wqrwbjSvY6wBYCJGwsAwtaoO8J4Zo4eDcaNTWLVKna6
iw6Yzao32KEKl9lvfyECrLIRBCuEUuKs2HEx1MFxaLi4FXGsn0nmOUu3egKyQHSM6NSR9fAL+oHD
IgZeLQ4GXKAvtcVq2ynLO/LI5mdiKvV1BdxvDfSwxwrPzhrouM8teK9wkAVOYq/SwF4+AvlmFj/a
q5W5I2NCvzJTTdt2vBrvwtbLHkFKyEehTFa+i7ChDgNzC5xV4Y6AWxjp+Xs7V9e6LWeSzbRjB0n8
tSQq6r7yqMrJXmKwaVbZZmTLfZ2NBCu5s7tyra6+msDdP8nUvbfbuKSBbsjgaCcEl0HqbGbmi3uv
tl1y5t2HbK60Gl/B+BDKAGUa8aIOG9g2vzG8oP+m6TCffKfWzZvOyMxLptT4TEei3tBeRORaM266
MzWhNoBFm6V2MG/brPO2lK4FA6UIov/iT0+IXVtHMHZ94o1qb9fUTOUPYSUE+8+ppDuy3FW3rAgu
DaH6E3DSrsdgp1kPDnD4k8xt/UVy4ut26ph/QrqI1xSgJdnZbhM0eJIm/USKk9UdSsTxK4vctuld
K6xZ27kNFvf3yXPGi8xo4KCFoORZcMdms2KfiYI+Eb+zof77oP/Fgx7eksFT9id7rLcmL4u/KNn+
+Dt/PunFb/BhecYA5DHYny8vjj+f9OZvQLWBoFEm2zqxIBzpTymbhQYUPOBC4pILOuw/Rj5pIICD
AAV0B1Ylgjfn3zzqWcr9uPA1oJ+i6mSLtbgFYQIu///HJZYY+jkuXZKoXIBjeRQh3Ql59vxwTf6h
I/hcs7moXzlHeIMmLxPeen89StAPNZudMNj3MEUFbSLCHFcF5QuOQXWd28zes7lGko5i7lcV2/J9
/XiKcjk4TkpX97hsABg/nWIExEuZqetRAEH43DpNO64HJTiupae3iTDK19DLK1INCkTrjLbiN6V1
RbFhs2JiixHzauqTmFEiTH6z1upjT+raVUvEleYzJSX3lVSxTYs55qJvneA2ZyG0/vkF/MeTcCQn
YPFq5kb6dAV1pr5m3s3evp7RgChZzttcY1sRO+P0UJuo/AKRMmXWch7hgnjS55H41bVVhhOfL/bU
tY3t+bps0WbpA3N8z4vmLRrE7KBIIIMdxHYqZ+yFHZvlyErLi1+2af/wPVDYeIIeQaIE/FRTtGh3
+8kZPUzj1bhuMC6tiHSadovz+udX63MDunzjLnU6i+PFH+t+uljWINq8AmK6H8xQ30PB4MsjD+XY
dGZ9o1th7v/8eJ9+iT7uMNoSVy6rU+NvqglDtKzftIzjkVtzwxMFi1VP1/vzo3zucjkr6jEJCNo1
EWzLT9fPa3hcMPN2940xxjuXq1ZBrNunrXv/8wN9xB78oAtfzsdidb4synku/O2hkIRI0Be70N6Y
RXaYHTSAkcc9M018cVNOxi+FDjq8suzS22mw3HMFBmkt0XHdRohVT5Rq9U0z2ayV7AGBVCUWZvIg
zHkfZlVwZJiCIYJ782EInQJr6MxCZRUm49ysZMhBVCVROrlGvG8NvCOjPcf7n58ke//P96Or42Hm
choOtTbbmE8PJQMgEpMZtR9RtDJtKscD+c0ttIqGzVjaGivbLN9V1miApbKGCAgn2TNW67eDqLpt
WjXNJeJCwP1dYeL8K/QvgiXgpYWaBTpTnn+xanvTiNG4E+zLmMSwKvRJI8/uDR3LWDTDlusAlT5E
YWGsCwqHXYojLSECicdZig/NsoBUwaQe4pKdqu1F+7wKjI0Z2vFeKzzc1VZMrCYyl11rlu59E1jJ
IcHAvC5EHXUrirBvES8eP29T1uIIGa+qDPLpapgdeSbmEKpwYFubajCkb8uq9xmFlhnm4LDcp02Z
PsJ28bMa9FGRT9oVJrjp+8QiE21/1G3CtDN3ViCZ3SU27K85JYpOY1V+Y0Wmzpyrzb84YUTpKyKY
iqnuTROmwYjJAPouhJtFpJ6wkOIGzA0CnzwvOyRTos4zwtcrEnvARLhx4a1MkhGverr8r0VC049y
dEMoIsLZIH3TUs290IpMW8swZlXmNMc8x/yX2aLepIZ3YO9PBmdQsVlgV0UKUtNotAfFjnDY83I9
12WGahNJHuagcmxXIjefrcgeV5JV8CFMcypriG0PWpZ2Bv9Xny/Zk7Pjpy41NjrvFz/JR3NnlJ7L
Pkuar4ym22uAGG1x6Ah18munNe9TSYpPxR0xZDhPYWG+sqout2zqNJTEys1XJW6Gh2JqWXNCUOWr
UcmqVWW4H6d+G0XmjRFAxODZNhw6QrtW0DU7F+Op8d1s+M4bzKc3U5NdEMwbMYAAKD6EWb/ugyXr
FIcV8hQcfAb7W3D4cpV4KrwD3neBO/4louDck+2ks9KaiShu7C9Tl74aeYGEt2kTX0tsZCPAuzCa
N+LssFw5FvjKVuUwK9TFgIR6nFGrbtBZb3haxCOqH31BpgWAt1KdNDckP5McY3/S3OBZq6KJD6OC
bWTAs4rQocDm0uuBm2sYnTWvoXQbhy4ogGSMUW2glN01JK+erLksgcvhEG0wVr1ChtFZ3raOy0QZ
kAEqkoQGrdT5hkQr6tM0CXkgJSrbCzPW9w5dx87WplJPmScbc9rDVINASuoAQ9UuCnylJ8W3ZpAh
ewTRfycDdnoyh2Y8sn4fDungEWodVvLcsCnb1V3KqiHQh0PPQv9Km9IKifSEc5PYPacVUAQ8Z67X
YnGj53qYr5Q2qwc56MXW1I3oAI6r2siMnU4ysRnyaIF3gmHkOVZs8QsdVg/+lOKcFH1arWPsgkev
os21y37aIYVGf9rq6TZgig3YoxnLS5Dy2TqoKArmYcKZXGL/xKnMqAodzU7MiN6gZbGiHNAyc8bN
0bHRf7MpTpH06NNp7vT2y+yN8srgF/USmkHdr2HwkQ0A72R4E0kzrr2M3huQX/MtclS4xQ7hPEYw
oM+F5Yh7Tae+yMoquiL3mepkoOQrS4hYNn5+Ph0prng7IRdvFDik24yF1RNZ38hP9Xkkw5G6ULOq
aZelAo2FrEHshF7/WKLgOdTwm74jE9b3WYIlIGk4ybqi/IIZHhxnjxZzmszqkkzq4MiUnzfXiBbA
t+HorxMSTTfIrjhz0r6uPD0fYZmhwv3QX0uLrd1MXCFmCDnzdwwva7+EjF2Aypl8EtD3LBOGjlPS
bBGi4nFA5HRpYm1MQoqvmMUSZrzERFYdygY9wf/nOX1wpFaxfLKtoVJjjDoOiNRWwoymd2rg4TEe
Gp7rpQHTDcsB2wRLAljU83oXFJp1gjCr3U4cIFprGW/emf05H3uKrJcxsJa1uR11twDL+Kc0BHun
G/W6cSLxpLvWqUWLtHOGuty1CeOaFfWiebIUcZ81DwUB8OGSnbDcVlGtDsDpbX/IkmhbmgGJv0V/
LwKNjLKuAwCXjsCnYv26CQpvWKVROOyaapiiHZffSb810q2jc9PmNcLtySL3VBUwlsD8sK8zjSY4
e8xxKp6scDMIUTBkdKlGQ+Xz71Pi/zasv2hYl76QQud/blgvXuPiL3PJP/7GH+2qjcPQtC1EwHD2
cEstcJk/21V8iYgncaSjaVhSdf7TrTqILiGdYybU/5g+/im6lGBngMNapE0htaWB+Vfd6t9KYFxi
ps7PWRpJ9LtLIf5DtzoxGDUx9c/7MthM3saaIHte/XA1/qFV/fshXGEvnTVdMS24+HSIYOwzLUQ4
tx8Cc5UygdLAt7o2l/T/XfP/j6Msn+KHEwGXr5RFTb0nlKrVXkr11lm/aEp+dSJLk/TDIZy4lEU5
cIh+vnH0m4lV9Pz152ch0NTyU/7SKsDroZtzDIM7Q4jPsPuWEJAkHFCAWVrRfCsdWwcxpfNaodGb
91aQZrcYVvBngC44mniWt6BwASQmSuwIyxx3MWX0oxEhw/LjuU3WTefcGFY+WOtoUOPZQ5q0ZeWB
74WEtK2Am3GH1r8n5BzHwf2UMmB0wACdWntwfLesXnK3WidMMzZZKQYGDo1veXWkrzQIKetUc6IL
ls8LGA/Woh03qPGaPjlEeuacdHe2n7XcYUQR8WzFoaTZJ6xjRBboWruJNGtgr4JHdZWqDkpun/ZY
1PP5gRzXbE0yp+EzOmbfnDvHIM5xoiJTW7fOnO+k0Z5Jde0eVDHhQAt6sdN6J9uUVG4H1HPMwnsh
t23qolNQlbhw9RR4jYn9TxlquDWdjh+Sut3ZYe+7KWfXmFYDuL0LMt75fUi80A/LPrqhDBi/odOY
bobZ7Ft8W4oBKBabnRbPb2NhB09R1TfJOvey+cEeUWCvx1m8NQ1qLt9qZfeu1RS+vkqIE/EM1mlb
hTziBs4EP2i5wMivL8rJQsuSd3h47AnoMnV0Bws3wLIQS1IuA6uAnsnnS33P6hwc/Yl2mYTyrWs1
uRqnrv+eLFXQbLx5hWc9gzlAG91r8VOXquSgTzWXpIlqsUNj8DZ3ZeOh/6jnfVIjZkkyMIsrK5i7
R2Q8KMsUnyNBUHjMWbg+xtrk+BQYzil3e+B5aKNh8TVi17djdDNmRoLjEEkYQIgGyYWr7xAjYzi2
bDv0vWAKCGGb9MQn1S08WngToAzaHMCYsWLUSbcbc9ozVsfDXVrO/V1XBfzhxlu4udicb0h9x22V
Bdg9yepaSa3sNwOgryvX43Ly+kXqlDeVsTZ4dl6y3U/o2gw731bZgrNQAPQCyo0A8m0fhDdTGOt3
S/UHMW6MrSvUQMkuIi52J2QTfA0cy/S4S7Tg0hi9MvBTKBRQViFmYMML5NUUNXA8cDf6ambDMVVN
fa41tJFARYeD7VX2dUBkxK6tIvMagWZ4HqX1GOT1fNM5UTsS3jXo+z6qbeNQNx1q9l5lyqd6Cr6S
ELLwYsayW5kaJMoSIOS7TFL3XQsxZrdaO54aR3hfI+y+m7CvJWJOZjcbEpo9MrO85XoEemqvxay+
IyjmSraDwk4bVvqe8n3a56xDzxnkpXtdpfOGVEiQS6ZmiZ3rFIuSTo5PrhEMLwVtzw0lk06/bMAK
kr0i49mJB3OV4z35JtK2O9bka1/2pmJ9Z5rFRcGc5kqJ2bzPvA6+T9u62kbVwjqNRjhdmwNut7Bq
3GsW68Ur9dbIXGNS1wrR1KUC1IwA0pku2tqzTmnF8kOwYfGrqbPvKhgd626e5n3N1AaDl85iaMWi
mocXiUndTYM2vVjNOlsMpFq2tY5ds9wOwQj0IbbhAEdwYe6ACCXfrdlu92LgIZRqebvj1rDWiL2s
bTVVLcnbBMuu2wo1FW8Vuel1WZ8yhiaL2amO7mcChXDXgwfP+aWJ7HXiOYFvOMV85NOGiLzL+Til
U32yEqCymRXEtQ9AR09WVp54B7aS1rYE/YhWLvQOS1IS2QiqRPQVaogL0jjnBBCt+C7mwy1VAv68
qWkOGqxXTqN2p20AEGrjBD1SCUPPPH8I4I7hGp6RphUIf9mf11/Huut4jA3pDe2Qu4sSnZxingIv
MVKcDcZkZ98ZyfDm6DiijZDSFgVasSNZPmOgrCXVa4tS42vnFO2EKDUO3luvzx6nVo1XRCqkx48/
bhS2dZdHsjlMKswNEssc1LZzopjpTtgR3bScNtzDuG4nQn9Jw8qb1cch47lK5cpuMWkhcfEQ62ed
/jVNu/aLs9jkBoLlmWA1prZBojZdFFWY+EYbGreyUMFzIqPycQAqt+s84sMsaw42QNB1wt5hXo21
7vm66tMjnd0r5qzuwDjVTcEiJNYaO7C+J7cRLMLUDJcecwV2jhG+7Aam3IUNAPVCIN73yEsr1b5E
eYR/oKJ5aojXoeN3h/yYtEKlrP/srmdah02UvS4fWFf2vPfi1L4TqtWfunaYMW+2fHVVjmvSqtwC
sfcyzZurnsPGKeZZBeV1Re+AYZx16X0VI4ZgucpX77JcPZeO2Rx6tGTfPTxdR1TJ9l3e2NYpEKWH
6xXPNsgccj1q7Io7qtHmYFZa+khomAfEq7bv2OlpG4u4b9/tumIXplgjm+Vl13r4IzWwUdcj3O2N
KXCYll6LMx6P8rXZTPJVMG/bFBU3uB3I9DhzR/toh7pNLvXiLeEdfjDgn963qT0/ciOF13akAVpL
eo+JSD4wDGu9XdxUBds2037qKEhJ2ouN4JyNxJj6iES9nQHJ7rrD1ID6Rh/eBox5Dzm9oz93wH/X
i4P49+8phYDxPgEEZ3JvjltdVuISbRb75SDlIWOm0zHJjH6jWSp+LvrWvfHKAVmS3ltfzJ60Ivz2
8ktCP3zJm8reRnWkrac41tYaDpS9EwTkDIRac1tGebGBSJ1vtBTrzcdV7yxEUMvg/wq20FYvkNt5
DHROVlMKWN5RidmWHX7JjbhFm6yfnDoqNoWXdId86sxNVefCV41OwkBAwvmxN6bsKnDx2YgcJBqC
ae7l2RXzDdpfluJ0KKfZjdWl0xbBBl1tiBC5G2p2mEV6hQMzP4Aat588AB47/BzwsdyYl6E+S77+
uZ4v0racL0SNPTwcPTP3dYSYPAIF+kkt/tqkEPJ4KEwHmHXFldPMAJ2RBIYIT6vpUVelZa0KUP2b
uZ/aLWBC75x5U7LqUydhax1pW9r99Cj7HPb+OCMedEZtEzSVumJQx6vbiVjZO3WpgTWYc4iEhmgC
HBIiQgqmsuHgkbs8oldsUZR3WSH8winK+75EBd/zwKEGAs1zIgSsu6pD3ONNj12XENr5YhpFdawD
e8mtEgBI6rTQ7ltdLxtib3ANWNLEHzTw2NBZWoMFstj0z20MJcwd2MvV1VDsOtRGj3rP7ZRXTDjY
AoivTPSmC5kDAZDjqH+diP5CrBFjUNAk7vSo5RczZux/JLV8vmnQfh7tUU4bl+XVwZ2Mgci7aajq
Ve7Zg2KKRxjeqmjN+Ua3AakQrMPE0Q/4l3v0V2G38oJoOPedloCdSuU1M3T0ieVcB/tWJHIXA1Y6
JG5g70bWL8sZXTmRYkbsWdGlmGOj9fs4vzOQzW1KVmmbmZTYXWeVHctvBN04xIh/5t1Q35mDSRha
+n/ZO7PduJF0W7/Kxr5ngfNwgH2TycykUvNgyfYNIdsy55nB6enPR1V1Q2LmyYT73G6gy6ju6lKI
ZDAY8f9rfSuSLjEH3YkS0X6hV+G6j6U3u2qtraIj3hepsgJCjGJypPCJQIyV0wiaemvbdb+BAKHu
fD8C1si+BEm+UQsK27K1YYcY7svJyNZtON6pZQRMFxDdTyuXfjYTInK10bbq0Gfzvq26sENLXaEZ
eeqLEPOQLQUeq9WOGzH33cglCnyYxk5if5VyTAltPJc1o6byXbsPglWi1a0r2610kRsotlOr5Hrz
0gBtL+gusWLn18SQX5d5GAD1JazYBBQVrUBTi900xeH3QHSGl5BzP7clh24zEK/8WAKRxeUSyBUx
dmp4GcZmeYfspvwqBQlibXXMkESW4meJnv7RUmp9cFMbyYLoxmmvRk6y09NQeFJIHhpIiEq/021i
kaEv1o/g5QEFZMIa18NQY/yeTHODBMgnvDkMd6lDxhhRpBzJ5TTaBzE5EiulrX449ZRdKmiGPcBh
hlO7fRFocKxt0kiTyyb/wfZe+TaAar9WHAE5u1aN4r6rYurziDb7O38i97MlF3oXS2Gzxf/Dq4hA
uwRKJBEJgfm+Fu7gGz/0UK/6dRdO462utPF9jv99K6Kx/mbW7K9WA8KcmxG+PZKX0NqDl85f/NGi
Ul3lQnuW5y+kqRCaKId26A15Li7DyNavQ1KBX+BTG97QVv0+NYLusqfE+5NkGJ+SscLDLURLsoRV
Zr+yxpLXHW2816aJC5VXpLT2SqJSKW5DAx8aB2yaBrnOWbfBjj5Krf5Fy62MfBNDQd3bdeFNIY1v
CZ6Ar2ph5RvE6PaaELtpazRpTJRHNq7Y4018CsMsFCshDb1rjjUrWZzGXgyLdVVi7ubx8rXdQ+/L
3CLUJux2NkjdciLgL3vCnf91gFq6ohaLkQPZoUs3iUOxUr5gvNMwYoDzWMmwxYRrsDPeFY6ZPRWA
M6/aKVXR0PpspeBAjT7uKx0VppA8rYGS4XFcMqW3sU1Fuepr40LBc/jcShXypVLY4KAGrExS5H9J
Nam94qOY3rFVjF8HRSu+xFVSfS1FCe+ylIxRWSF0jpJdVxg+CDhAKhym2vweOXCfw2uPhu9Jbaoz
xrWHlq+Kt6AneFtQ3rkC/pFfauxsf+albOKesRrXlJKbqejwpKG5TnctqZPrnkd1lXRlD6m0Ktsb
hKfBTcxmCJbObGxA8Fpd1wEglqaO1Qfe/19tDtYU7W/nrASR0jNgfNo7RSPuEpkigx6k4fNQN1jY
RkvB+JUhe8dE9EOTyu80y/rvGHMfJ6E2kFVN4tWkvFd2wKtY2UtJQ1Ik0kcbeU+7DhG9Pxhy2mRr
WkpbMxTyduo6QRJHqHuSXei7MDStKzUxRxaXWlgXYeZwNo3V4AcsP/oHrIR4QqVgi53XeuKow/cE
vcN3P7PQfgXOiz7o/aWMNWDHTwFhOlTtI5D7X1Zq17dd0Y4/gskn3jfp7Yj7NsbXjjPRnaK8vHIK
295VQQxtWXK4KZpvvYCL0Z+irqi3sYh4YWsHCmbOnmoMTVCokrFrtVC94wzyzIKc3A7lZO6riqp2
2+PwKTEVvhYO9tG07m1vzk+8MQe4rSvEr5D4a3a3Q2NU66Dr8wd4pgE7XOkeUnN70dpjdu9Hknln
VXLgmjHGUbCE2m8lyPN1EfdEzZAhsffzUNzmBqyx1EiMR72MnTwgOMOXxDdUHSs/TJpdxnK76Uqt
dAmslO/JqTI9nL4059qk2I2dlj62rLhgZuaGgtPJuzoVTwRq4jK1ZHOvBcW4a/v6OyZeyyMjiy8W
G8E9C6nkZZrTXbGVs/a9ngWAS6uE/S/wINEin3TTtvyhVTE6drsVFUeAKkx+wFaN5UulFP6l3fux
S7WkZ7I16pNQJXI1JThzzk0EyFVdF3lVDQgc8Utuq3ygQ0eOgnOT0x58yjO0hCDWnF0YNYFbUsJ6
MtXmDV2lWMkTW5W60uo9fZifRFBlewMWIZ1mg0NS1Y2rSUlioEuOsuE44Un4rve8/wZODvM5C9gb
60Rhe+wKCS+J7J+NGgm3kEd/Lcd8X8e+98RgvlocQYZ4ujJq+Z49lEnljDKRJGzlp+6k/aU+81PM
SqOQkuT1beArXudI/u+QJs6dIUvqfTM4v6tBl54DXr0v5HGi1zOagpgapx58l/wEa4VgrtjJzkCL
L6py12yDDpMGFYDThdDDKigeOfTvIPSQt6jLOFVsWGreQR73MATRXJcoxkVlwZysdpzHs3N+h4Oa
6zwa/grZNilJvcPJPlZ2B2Ngn4SpbCwCEkga/sD6MWzSoEzd0xd2UES2kRypM03NUMEqvCtFPgwl
N2ZJ+VHhwkI7eBpinU9G3CnXMrrPMxqxz5ny74wHhoIIoOvOjKhf1KsVTPJjSliJl6NZv0ogo3mQ
edhyMnkRMgw4iElx/NMiOdenKlh6qcMZKrL+z0VyI/IVVSqIphwT7qKq84cJXHjFmVQ/c32AJxaV
coZCNGNhjkDlulRwJSz+U1lKtZeNoTaHEUkxi5sdXyQqFc2U8sddOSpUENMpvBbpcC6Wdm5cfK7U
M76GyA/vwqwQXzQ2IMuUIa3mxrMz+OtsuihkVP2X0/NlVlYtB9GgPNozEAMbyKzF+zBfBoXPReug
5UDzq1AzCNlFBJbm36QqzeJpVIGCCWfYkHZdb08PfWz+YAcxVMSD7+DMz0M7BvaGQNXquUgybkrN
AGQQz4VgS5JTVOBk6K3GsPU3p4c99uqjxWJvzpNVEZ59HlZr4ADOyltU6HG6V7Lui4nnywtMZi1E
jf9kwmKtwgaCLNSGKfp5uKAmtB1+AsM1rfFUqdWOw/+wqXwsbqcvTDnURyFlc3BVcQJnoZGXerNp
+udZmpPofzbvc3P0xa+hZW5KsJquKSnLO5OgpdfQn4tJPaX407/EsUmL8AZYj64BWzx4aSythdYj
155GXuy9IQqq+QFL7OlRjq1yPMK5fYU6FeTk55uqD74u9Iyl530VILyVVoQDe13R0QWdHurYBekY
eND0UpWHX/N5qGQQOWbDngW1J2cRdcV30y6+//+NsbicCJm+yYe69hS1vZ7Meqfb2f3pIY5ODuaf
wsNhelgHk8OJ7b5W29or2bteB0JW9yrEGgQnffQ1lFhhqryTb4OaNkuJCvMCv8e5Fe3w1dNkGaeh
zfuHMHbZe8SXLjSpwKQSgEVZtST/zIy46iqV4uoiKZ1zqemHz47x4JI67KNmA9bi3as4VtljqVVe
lg9sUMzxHoGFdWYrcTgXEf3YhmJQ2iXMe/b4fFxBnUBpISKklRe1gVg3ZUHiVdldWTG9jNPP8MhI
XASh7iTIGujQF9PEaaJoGkfc5Sxt2LKlObPVeirr+Pn0OEceE7FHqoxWfd4doVf/dEV4rROyAa3C
myIZj8arhIw6xvofVf7+9Ejq4TcWsOOHoRbCX2pUJnHfDCWQG7l6roOu6a22XaFxFpuqy6cv+PUB
a9P/qN1Kp7ov15X/zeTIugG/2G5iur87taGMltUaBfBMn5K9YcflviUO7IK86enaTzkH6lWOQyeg
W8S5qt2kKiapvYXj+aYvBBVsAlbTNWU2SJBmNJ25UH1pBHz/gtPXA3MF2wLH5ed7mqaTpDlQgLyp
CdsXB5YquH/7YQTi/5pNwtqLFJFhnfrf6gFNKWgCaiaDeWGiQYsgIayVCheqKr5kPgcjdF3rvMge
yt6+nnwKS1mRVJsm6ak3RppFOGGsEdbV4yNCN2XtJcI012jQdY/eNgiX1gZaSry5SwnPukp0tAxx
4qCjY712HeIQiFAYXJ2dhMPdIitv5UyN/MPy+/zMR+vIXFNJe0fBwTeLLf9irvmwbdh9jNyXWGqu
OoxvFzz1wQviGirKACfqjIz4cMMDmgnjBN5MTHfOcsNTFaAbe9JkPcduYQdFRbapgrq9MrWy3fl2
0F6FlF6fiDMLLk9P9iOvL7s5DH9gA63DM0cdjJ0UCjP3KHONXzuzV74DsVaeDMWM304PdeQiEXiw
GlHr4K/l1pG+KOfNUeRe1sH9jMh8rCnXgqGU4ry+MJskstcNDXa88iB5/nyZYl+F7xGrCzd5aRuw
kLNRdspzr/GLaFf1+VMwBEg94rH+420A+nreJwuFkYUxZrEgUgMCuwLWwgNn+zKOee+q9kCgLd65
P56mbDcQTCGM4vRxYK8sGwKwgk6k6ApE704mhVctvgV7Zm4pPP06/fQOJ4ouYz5if4MFBznH4osS
RGmZ6ymxGMhqNE8qQa/RQ6Sn06Ra0py5h4cvIIOxtWFrABRPXX6+KrQhoSkyrkzSn0JNeqkm+1c8
aE9Bb57Zg8zv8uezBkNxLMXTqbLmL13/mRZGYy4hxJhdgxq1UqeAtGelHWSvvNtTpjy3Gz0+IrZd
ZGzzS7f8vOilZRfziJXS7RMCYYpRedLqBCErLqNVKNQ/tXwg5mPjrb3vOhhxMSONhnNH61uJJwmx
Rxfq6XpyC/vkzDCHG5t5GI6GGlxzbub8zz+c2jpbHqKIH+11kgrPz8r1i3Lgi3h6Hh6uIoyiyGw2
bJVInnc/xodRCPsY8jhWEq/WqGhR6VmnMbkquXkfV8hphT2tNYzrpwdVD7+UjMrCAaMR65S5dDIT
IdQ6HPsSzyFTYNWnSGjXeZlM14NDl/6d9tuMTqpCN9OTEM6fU9L2AhrYDlVwkdJH3vZsiyZyUR4c
8s9h9JRsDuZtQVWoxiWyOPOLo/amR9azcea3P/pgQFoz4xTb0ZcPBklCmNLZSD2q0/kmHp14Lw3U
OU/fo2MLhIGukpISyK2DLWemg5fJoZ17eWuliLQ7T06UJ9tqz+1ajrywBhB+VJWmifV3sWkx4BgD
kyYcTh1KDSGLH14MpjxsT1/NsRUIQyVlOHu2Yy01olMsqwPcvgTxUAN5zOIzNRhgv5sm/dHF+p/v
ojkzIhPlkwHaC2ju53fHbiOzQ3CVcHb0f833ro7M+6z2X05f1bGXZ6bjWnMuCBe2uHdDkxA8VPDy
pBGU0GTOB1d84xfNlmJbB4b9s0/L+IJqYXPmU3VszUMRq7OvfqdOLL4elE7lUNO7xAsC9bbNpdcp
DrZl/FzG0yPL9ZnRjk14jj0ENOicLA+KZCnXaJllk3g47ZNdZhrWfa/Gknv6ZirH5gg3kSAJXdGQ
OS/WVUeog4Aul8xYLvk5CuViK6E4Xvmx1qX05qz+SwwsZS2KtrutoPXcGKml7UIbTec0liaN5bjE
0eELoGs2egwh4nOnW+Xonbc4YfNmYmBdbnxqv5ENXGR8bQadNkFbvSqtU6xRlTXYPu0XMVCdsMqQ
JkauRc+4LJoL3ym+hyg6JrNs92WPQZQqkrMyR6lcOSHXcfpGHrmP9LTZgmIgpri4/CCmFr9DNLDd
7vPpVwl1YCuXiCl9ghOK8fX0WEduh/KuMTbmQi277s8vmqqMsqzbLVt7X/klU3Bw8e++NmOae5aT
xxtK5e2ZHcaRl04h59RkR8MX66Cs39XpONRBweXFxtcwCqS1imqHPkY9rTR1rL5UdV+5qDE678+v
VSFHfq5IsUFcrpS6NHN8bIBGnNVuKrOvqUqn91TjIcomwfNok1N2esRjT5ItG2UAiK4OS9ni7pp0
Gxud3ApJDiBYKkQr5rnW3veVk3kZCW9nxjvyzeEC2UMBbqJe+/6GftgMZH6th5gaCw86G50LHT+R
XBWVq6GI/U+GAvOt2SYbRnv5ES0tPWohWhaeQjjHnZFW06q2WvMyEopyZvk6Nkc1XqjZhzBX+hdz
tEMSl09UBrwmE4SmFZArq6e04flFQXVPjkv7x4cjFjBMFyqecDo1yxdQGei1qc2Ue5M6ofGz+oda
1G5JHeDMQEcWZtzHsqFpVJ6xcczP88PzKicCdYnBy700MF5Ied3ZU/V0egoaGj9jsaH/NMZyVSbI
NdZ1xkDQr6x0sLf7BvbbgypMAP4pzswokPuV0del25DK/qXoawuxEL1aYdcJxT+BGjKHX1LoAwo4
oj+hiYwphvO23k+6Ht6rTjCs87Hzv2GPy3dZgziL0+24RgbrX4QQpr1JHoY7Q8ELt4pp3z9MTobY
KlcaTMFZU+/krvIdDlBDcBunMrvDIopWeRLVt+FghTulbsaL1ECi2WnwxTqYh56dOE8RjuI1dzjZ
EpeO5idEKOghTsT12U/lxhehgVg46a8KXSMCIsJmfPr2HpubfMUthXnynkb2+QmapA22o8ncRCb8
Wg3tK5ysW12TtloGc3sOCD093rE3nD03mz3K9zSEFu+CERKDo5Er6LVVONecbno1uejb/Mzm9bDk
p1MrpbFFLZMynbMYRh+SEAKqk3uIyO/LMqrRDNo/q+QLTehrBClEU6vfgzo/c2TSjo9LlZY7yuF6
uSFzyqzKyt6gJlKM09dwkHEJ1bp0j9FFTjdoZjjjVITKbtqkq9wU7AXN7ZyFvFK7CwOVvxH30oUm
C2mrtHq+9hGGMuHKHf1OOthO/MNQOg7qJGOsEyyGrtMCcos6C7an4j9imQXQPhnks7WxnqzaqQw2
Mb+P26blG54P5S4GDL0rh77a4ujif88mYx02bbyxJEt9rjTj3KM49sRNOB8WZDIWCmW+ZR/WiEhu
jCxPutyT29cRpP9q7OVdokD3OT2zjq1FH8ZZboy6ssvSwulzD7K+vM6pN6wBl2xOD3LsgwjZfyYh
0G8D9/b5YuRKLYtKr3OPphPgfQOKmqy+FEmIpr4Zz5jOjg5GvZIzi4O7bXmIMGsWo5wYFvR38F3h
bO86vdyiAEVLjevy9JUdWwhMyv58LbDsHWx+sSZrZoyKCoRdfa82lgm0dnwp0vqtjdAshOaZO6kc
mxdzz5sDLBICa9mnmRroEOQ25148pCEuL1XZ21PdX6jU4t1Ck0JPL6t2Df1Ye4hkP/TGAFNDQLjH
tR3YsLSgpH6xsARhz/AJ4D5zP47+ejRuKSNRvz2gd/SD38DvYpvTV+UbuMXnUO0eUw0dyen7fnQc
ICFzrp05W+Y+z6imI6m1RI/ncRItqea0r/ko9W4h6jMf0mPb1vdkR1vGkcl/Pg+k9Q4ODrSXXotn
JGyQuPb5fV0Y+9hWbtOieiKz6Uyh4tgE/jDkcsM6x5yj0ZMzT+qJtBLFm6OniNvNfV10Z84c2rH5
y4mUJhnbR87Ci6Nw29uALAYrY5lRx++Ar3/3kTNblhV7TfmWZPKSPLCMFXkTVbPXQFJmZSbsdiJ8
mhedosqLX9mNJ1QcC7ja8BmFbf0YTE7h2jk0h8xv7O1g9fazbbBqrmD2IpiSmsGdoL56U6H+lnsV
O0tB2FMpf48LcYMUp9y0bPki6AVEp2sRaPpRfSwRXfOxV40zs+nYXXBmpy4lDubtsgGbpmXT5PgT
vKmcLqZ2IlhO1l+M0rikZvrSRmN/ZsBjj3h2ZiGUsSi2Lm97GRMSXLEZ8qLKkdDFCXL1Jk6/rhb4
qU+uG5r00y/MYcIKRB2VqyOnB9HMQe0ukMaULmmaeWY2OeuwF+ajHhJPl2ujcRkWafr8TjUgZmL2
XdF5sMM2fc4EcD0grM5O6nuU66d/qSP3nc3GbIEme5jjxOKgBI7QhrCnpV4CLXATArm5zkO2jWNc
NC8Q2ScPXeSP02MecD8BJqFKoOozr9owedTPbzQpHRMRj7zRzeQjZdUCfYsgVds2PrRXxzJJBZwp
LqmRbpygDtcjPRmcF7rinv5FtCNr2OwLn4llHHP0ZXlfRhoBDjvK8C3HGq2R2dcQael0j7Y6Ny65
M9ZFG6NGxmJFRHRKEVmRMvqoUR12d73Wy9tx9OWvoc7GW20n+Svb4nwX9kwpHFMJ+GyH+DYRvo2I
sVmyu41uxuEGrbDuEnbTeqFZWZshFJZrB5cqySWPiZYPt7y2mNDI0JpeQls4+1S2vsliTM4czI9d
Px0wPOjW3KFfFo4ot8Vp02pcf5oMjyGyNG8wh+glAia8PX2vjw2F8BqtAW50PhuLDQhNp6rK5s+S
U2ihW1b27OYjC2tPFl3wcnqs9+e2OHpxLJj1YRQx6aAuZnUumakAWMvhAEI25EIaxpi9IInvfHgf
bk609qUCUeWuHdT+RlWl4F5tJWcNtL4E3C7XF++/0P/iG87gG2ZR54dH5762r/9kVd+8Zm//899u
1LR19LP9r+L3f4EcF9mPiDLaW95GwLp//c9///3v/ws9CMtBdui0IJyipKqoTLF/sRysv1jB0JBT
2vqbM/tvmINmkzGNBBODITtEZCF8CP4VP23/BUWP7heKLM5cf5igdTDpSDk1ZnI3yp05mGu+8o/n
hRHDkBKOg4ybpVhnwe80kG6H0b/Ave/mbO+zSN43RKUD7vyqJJBUtebMejZHDH8qOcy/gkYvQkOL
RVVDWcz7goJ5adtA4goYMje+/nUkZ6bpkk2ebYNExQ/S4oBwyiBf6SmuHPycOza4+aZXv+lEtU4h
+ZhScC1P0gqM4rZ1klVpKTdVSMlCN7oV6YSu1AUzN+cnRQn+TzgHcuxUyfcYrNr8tyMoJj0avzRT
sYuyZtVIm9FwPL3g4EzcjHlVyV2O7FpuyR6U6kbTXDkRfAVyCoGIPJgTLEL2KoPAxGfkMhC9tYri
6V5vmzmEm4hbW7oGIEoWYqs16DqudEncQzoVmyFHUS857b3pfFPohzWB9To1/AYgRFcwLde6aa2z
ysEXE5LCkLrdkOFmSx4GyX+Kq77eJE226dryO3xceRel4i5orEsSh39MyJfaOFlTvkx3Jlb6FQSZ
GZOf/8wGnYNhTJDPKPc/Uem4gSmaK5IeDLKPy3VpNgw20QvXboOMHd3/Li7vK8CZxYVa9rxz+Den
5GB1gcdUR78+LSj//Dv/rCi2/Bc/Yu7iUksFRP0h0N62/mKRMWG0KXPq3jux9F+ZfIBjoL/oLCi0
slVL41P2z4qi6n9xvmaJsmU0njMf9U9gpgdvM9p/iKooD/7hrX5eUIJ+kCe7LISnqiJoieV1iD/T
1ZAkPKHh1rYM6kCJKeDuOSFBrR/u1d3fX8sTqZKoHebscSS5nLpo1yy18hVOTwcUGnQIoXYba8zM
jQKHwB0t9kv/wVBo8pEjogM+aDpi0eoUJTPana4At0pVpV9pDQlAyDKq/+CqUI9w1GDrSSN6PhZ8
KOpMGMZLVqh2hyI92g3k34FoaXH9Dpb4+6P/c/g/wVtx5AbO59IPm5D3Gwg8V36XdRAhsViMh64V
+AS5gRj3oWQR6pOzwfw9dKYb5HAhLGoF2MX9ZF3KZFmcvqXMwSODzzJIZjGxDIvrbEng8tFstTt0
AOZK4ZC4yRW9OlM2XGzquET06bgc+LCa9MuWgo4msLWG+rHY1Y5u1szNHOquAamk28Rz7NaZi1oc
Vt6H4yNObKLCYeXAKWJUnaqFSit2KLVJHkrqN1Stv4mHyABFZ5emT8zKn95GjoYYDfBzIDc6KIti
nIp7KBZiB7TaAAfvpDwsp9icHmV+GJ9nCqPwvaa4IRNR/H5M+TApoaKwdyAbZqdFGJI0Sboiu/V2
pEcCuy/7w6P2+138ONpiatBVCqrASMWOk70CswRLQweUryQZk+xxYIB1kpw58S1lK+9jzuUNlFTU
tM3lQWsME9Pue1475FQ6KR56+hzIApg75B9PFAGU++rB6kZ7XaV688tsZXtfGpongrrYYbHoNoKd
+qrurfLnMBAwM6KVWEEdqR4ndHqphb0YrfR0ZmF6x2MtngwdIshZBBgg21ueWuwGSmPR8hpFvaAs
rUs9cBNYV91GkjTY9o1SrUu76F2Nu7dR00H/Lk+QHIRiE8/VTto6wJN4q9jaP1/9/+fqYhy+4ehl
WZ/nN9zgr/mff5g0sQOjdjLSdje04Ub16bdwKB3WlW0iDqmC5ssQadjue9NJIYJO+R65Un3VoClN
IP1TxYbYCBQQUQmKAJnDaem7fm6TUw0phl2XWt+QDiRd0MQp3IrEc7e3DED4be08iz6SngFI+2tH
g61Co8DacsyPVp1W2+x1hn2b1M2ql8hoa30DnE9KhUNPvojeJidaH/ENa1OyrYFDur3U3hYwJb0q
sjCB68SDD5RgruRwnDO2qm4X54kEqH78nYzaQ2u3gC6tIPHQ+ba3/OR8e/p1PFxmYBeyMeCtpxp1
UNkccKAJg93dLmrCGykRFHlt+UKJhifMkOWG+DnlzDJzdETQ59hS5oPIsuuDwa+znSlpIeH4F0qD
kV4Jfjo5Rmst19eJY349fYWH6zYFc1YbWvKYxFAbfp47TeB0Oc+m3UFnLFdqp/cX8IIBfCE2PvPB
PZymFDapelEvd+bT2WKaBoKEhh7b7c6xO+OykCrloujFuab40VFoNLBN0ShnLYvRmexLGRmgfO7M
Wq5XFcBWT1SBfXf6vi0rV6xjXA39fZvdooLehv3nx5cOaMOMziLOY8Ab5hZKE29NErZcs0GFqvsN
4bwaEx8FTLCv7ZdaDXbo8KJzy9Kitfz+a7CFQXqIxkGhy/z516jQaU/0zoirHVJrg6gh3ZIx1m71
vkW7rOmTfqHkpDDWcvGWFr31QFet3wWG3F1jA9b2RlL4Z6awevR3QjiD/oEO04HcONAlCQmc1uzy
QOQXcm1sHFn0aFfb6sZv8BmHFmlSGJQlQBXSeCvKaFybEcIXnO2Fa+XpW6oM3Q0IPHea+u8ihtJZ
RW35OOYiWpVtZHhGEELpHdMbSW7PbS6OXwAaFWToBNKQR/P5pvpK7WSj3XNTw/EhqK1yK3o9+BKy
ipHraMUuWYjyOoMtyxerzvZjOL3akfXU1KZzIUofgwCRnhvUV849UaXFk61Pb6B68r1G8PG2L4PR
7RPUX1rcpts6qs6ZsZYupr+nxYcrWMxOfMf8wsXY7EZCbff+5OT71hgADkuy20Y1i7wwxxWu6wut
gKvflLTrT78g2tFZgBhWpqyKqWj5utsja8loiGZGXLQzOdg2frCturN0eg6pI/8q0m54QbUT/mzA
iYguWIOWILBFCzHtBM1WlZvCrWk4rfpIgVJiqaJchwy4I+hmRi8HytuYI3WpfevR0pKNIccFJATn
hbRuPGKdIV8BU5vbGsWr1cmP5shAgU4od9k7zTks5eHWzTY5DZJWhCBLPjAwkl5kJX7MgoBd8iX3
d6AJU1eaYAcUE47v03f3yLJtsuXm5Imuib3i4kTRpImZQzlqdhRwfmNG9/lqk3+jD5NzZqT5J33e
93BZdG+pnVISgZz/+V2o/ECUlm8wk+rgCWRx8EI6NwDqbOQ0YYwJ+YKyKdl731T+sCMxT2ITsirS
UG2WwS9rt20QVaofy4hgrPGb39p3g1U9yLr/O7XaHxx5zTMfqGXd7u8BEeFRUeTAjeP287U6WMXQ
izNlOYbnD0Jj3zP6mjvmpEBp3fQm+6BConRwg7Fkc6ODEOuaoHZldiunn+/RyWTM4lQ86lgqFss6
cRUQ16Bg7nq7AKtTWoQ1kX+7ksgWWBvhuVyJIx9NczaIzjY2iLbLM6LpxMlM/+QhjzVtzhJK4yTs
8MwZ8ej9nU1dzCRuLz7fz/cXqgI2FJ0WOGdksFDdELpdHjugPG3pom+gCgWdLlyJSN9N75NmQTUg
3YC5v5zQfZ45Qh4eym1z9jpyKNct+8A9AnnemMIGiZXWtTJURivYNjUcq24EOJop0nrOy92FFmT8
IhHymddqqR14n2uz3BmvG60+PPqf7wW8BnKh6C+QOK2HP0qLBKUVMdHtbUNfNcNbVyB1KwQ/AFCv
A6GuM6vUcOW4TNRVVlkhsjBp7K+7kDblSm1boayNAHz46Yl4ZKFBpm/SGcP0Dh158fqHkh0hETGr
HaSSeivobm10mJAb9vLRmVtyZCgUBDoQRYRH9oElOoqVpqxqq9q1k5/91vFs3k8kHANgMeX/4LLY
g2IvhIiMzHC5qpV5ObWlrUOxUAk2QUZkbotxDlmvW6qI/y403v29Un4snh3Z0DPS3Oc0EBMfOB3U
yQ/oojNSROyb68MlfMyCSoUV2UwrecgokRfheGb5OHorOV9jgAXKhLD+8+SCoJq3TmhUu1Glq5wZ
kImiOFNd6OnnfFEEPfHDFl8Idhoynm9nVr0ud9x2ouP5mhSmiE7KwdYcx7ZeR6HeTy4ysTxdm3Wj
uiZ78nRdaV0vbTk5imGD1EHL7jPb4OUiK3RyLnxEz88qpKfQrQnwFm6ZpiYpJH4Vvha9IV0nuH6b
Lbw5ouUbIpoBRXJJ2toywfW4TmeQbdvDgB8vDQm4FpgsC7qmXqNtCpJQeTIFwS9uqg+Guo2VbDA3
mgPc+KvTK1H2ZsYUS4JVyQkmvBzCWvPdOkrq8EsDcRntY051DbKMkukbCazQPpuGAbisSLrmBoGY
sK/1Voz+vdkoab7lv0v9NuvrBryt0J0kd9GQ6cE1cFfDcoWhFfFWGFX6CFbF9Pd1LqHknSNuV2NQ
q0QCh9Fz1qAXWw1CL2IyXPqgJO+4IOtpTIiiB5I35vVV3HGcjNbgbulHNE3vJO7QGSO0s46O9CXy
Dl+m7pBBIiwzY95cRWjYXi167OPK8tthPdl6UT+WRiRZO3IIoNkQY9895pFet7C8Ksd6kIvMDjZi
7AJxwSZ22Fb24ERbPQ9MoPcw8qc1rhTsweRqF5vUn8t/sGzoGlWNYX+JwypdD2lWELushx05c2Vp
AMAV99R5t4Dfyhe/VNOvqWTLD21uwiDM4sGTxhgHXOXckjuxzatmO4RW/gCscdXpYbBJJrKcVD3p
3cRJ6GuJbq91Y79Wy+Y1ToDOGUL1XRwM2jbTtF9oQvsNHaeG36G2dmbTyxsHIO1Od6ZixY55WsVE
JV42ejn8sMCiAdqFrphb3etUmYTVaMO06oZxhVb+GcfMxpTM6s5wsnqjyHl0R9L9tBZypFzaWRpe
az3Pg9MCbKnIfx4mzdgZkkLEN0mmdAd9PA16Ao06EWwqCPNL+Uq4Dcbj+yQdLqpWh7aIO4s/ktuE
6tLQ6/U+GQbVnWRczEMLGyAO/Q4VZZJd9vTSye6z73xbf8ikcNgoPYTraaonYklgEvnqqO4mtq4P
PlFF33O7ka/y0LJdYqRMd5Db+rcJzGwttV3pAqRLya8qjIsaCt7Kyv0BSWekXjSjRR7h0O1VZdhG
RqlsE2P8msmi+ppHvmcZ+mMkxq/G4NNKlB0KdcL/mplSUPMGZvZFJ6x820lQAydDekoc2983vha5
ZKfbGzkmLCkFhr3SY2dyQ84ND1EtdXc4j+2HRtBm7LXmqgV5tkpnNeko5W9N1ZferCb0oibLSEq2
u996A/BpjPqJClfSRbCKcbxU+QR0iZ1mHfibInLap6Sww2mlMnleMkzQg2tVnCP4mLJIxHQbvxFk
mdzgzI0oj/joYBPlQhbBuJEKKHymMtmX/E3xf9k7k+XWrSyLfhEc6JspAZIi1VCiek0Q0pOEvr3A
BXC/vhaUrkzbVZVZOc+Jw2G/R1EkcHHOPvvstZ25IQgGN51FXPkLBG7xSjS1JyDGm7E9FZESZv+q
GdZOz4lk3Wgm73nvaWbza/ZU0V5YBSGpUeX3ntwsDfPtK01zgZUVng8Co4REpR2RZ3VQ4sRAXfQ9
n9RmKGqi2gnXfEhR9W+B1ZsPMT7V7DDlbr91gqy7gdHk75pMTorwbcQ4crH0D1ePqSfRd9utp/Ty
suUh+2sQfuJuyyVpwnxyMgsYqcCVJIv4O0DcH0OqgIrmO5Z6pBYftpP0q29yxt16s1TCeKtnr49o
0ZxTUJvtaxawZixwlO4HKpYHf7HzVyl4nUUrickZAIKohn46m1nKNG1LPKPCrVRRCOW7QY5cCakV
dC8pqSi/utYudsWsdS9eBzor7+OhPFjzytFZdPHsNN1Cf9hMJAbGTjVEoxLcHKWpOWGh26w2umBO
cgquw9hBSvGQkLd0pUG/K+ib2ANpmzVoI0vkUxdPidr6Tmb4Gzb8iddtCJ0O4ACxck94JZafiXPk
SMBgeq9XKXuFXj+aO8HHqT3VrH+N7C4VQXqZmLC9creQT5KtrOk6iePklPmdT2hYq66bwfevCLvj
Va0229t65t7LwXTUhkqkO7rsP50gALVvSHcgbHAhEjrCrbol0EDtFFGTOPRnMh/IZUpO2ObABLRO
6py4iTpuKr5dRPjuWFTks3tp2n70MunvbNUbDyLj887yYtkr0kj3fsqHqvX2cqlxad61Tt9+OGuH
CdpbtTIqOiiBfLLZhUMePcfeSLRsb3fH1siDKyVF+zEQvv4C8gv4jAcpoDEI9NmoMeVj7YgJPCZr
ZtwYDHDSJ+GcbNVpWBSbIDnNmQPxeXKravlUcAHgHrTmZJEbak34d6/Y+jfbiCh5/I+p35HTVad5
zQk1grLpGt14aI3FOWVOEz+2bprcuM5I+EziFhFB3CrFBsBi1YZdYPHpjOBwkgFi3sLSR5Roo7zs
K3551mznxzVn+40U1YzFa/52qxOcPBLWrDap71CB11gIWSzoykNfxFW8GQJEnOgnMzqtBv7ADwso
SaZyiHLVYmpQ3OfIWLVg6x7R2vek+CTvxwnjeCkPRj+sV/lIfCQzF9O5z6pUPmGPGL1waniT5cpx
9Ie+fbfy1L3XAgVsjVya9LS4FSwHYdf9C2s/863vivFJb+finK1fNzwa/8pZqXWdLflBhbbsYGXq
5oYiIz3Zgk/Nz9Pllpjz5VtX5A9os40VHNE+PptVbh86Pa0Je5h4xUYVZ0r2+RGHN3iiSUK5VT2S
+FYjJ/nba5H5QvY84maD3iJYsHI1UixdjZxPTnJVaSHJhfHZTmm5NsQrkHBcSQlzifXC+VbBpePo
dW2uNM6s9FQWeWOEFSuTt6QHIOISLMR3rQs/JdUfHFwdBmL4buArO8wuqjzsqqn71prcePqB7MlJ
GF+uzMcx5Nbr7jgt1HcDPKsPXbMm2bnPnfHL9EcssLEEway1LR+Ly5Nc7PWpMNhmoOQlXr7UzgRd
c5p5rvyaW7+7G2JCEUdM9DeDXNrXOY+7O2Pwk1PsrjTGlU2ZCd86cI4F/Xbxub9rLRmeO/DD+l2v
+YIznrxR59AsDR+eb3nX9MTxjvTDnkOMbT100wEPYhdb/psiJ/EmrtpkL8t1Td5l87HjsXll9XZB
WqaXZLdEerc7ohDEY9/KeNOr9HtIGv6TaNs2imVrfThB4uzstlRhC0M9Mi1gZY603L2RtKCbSciL
CvxZLdSnajkbVT/fUoRMm5o02CcThlVYas39ENjX0uNInHU9o5fpSb4dg/ymQ/8htV0e8wruBFuu
7kmfKuMm9SrODQvA4qxn2jWb9+0Jkll878ZmcwjmjGhrPJdqY9QMG2ET6CyQDEe5LCWgrFFe68nU
X8F4r49JilOIUp8SkJ30DRLqO3nLpCF59XwuGml9ytI+dplucKT5/MMS3bZ2jTacB/tyJuDvmXpb
x5czNx/BtM6ZmmGXoiwfurjxmJalFKQyb5Znf56Ss16n0w5eyQXUwC4KJi1LNpiuL/xJvaP/Va9F
BSuaZw4fkqnZCQc9HU7oLYudkhFTiEOh6dZGxpp+Kip2HsQ4MvgyxjaiQp0IIS70vZXn4n6ExcJR
FyTnUfBDRif2bkedIEuEaXxEXmy/kxzvPrliYOEr857mXK/2yKUpdSCl3KZaucxNNqXXmY9w0xjm
gTB54yPV42knfQ0almmoyM9GgCiSmxEcxrCZCqTCZFncS4oLIthtZ09uaLPjduIAbnK608QFAB2U
QfAti9F8Bl1p3ARVoHAtVPZDm855OFPD7mAr4JCNRfmEtdS7I0BU7Bwp5m7nURdu+qFPtmzWtV+K
UZMZtsmQ3XQ5l0FWl0lGtH7dcqy1S7qxq1ywLgHahgECWTpguUfPpaC3k/w9X+bimGCfG4quBOBg
a7DB8/lOsb4yZFq141bcZZbKKdQch4LMG28q2yGPt2goM2y5Ixsc8kPLavvZ13sVFZXlX4qFvbpY
T7epQ7IQMdbOqWqdpsGWHRgMLUp1WJZGXrsOoTDUaFrBDefWxzaZ81OZW2mz6XKFUbzva9pSMrq4
jZihyesgHvKXyrTdvWMgwCOtNTyx1AomGDMC9oPY6q4WxGy6Ok9msBP7HBfslOlnsq2OPSCAi1gO
ofRFcV3yLRMtjQNO2A2ERgY8m3oSwxW67wK5Ib8wZi14CZiZ0ue89+DNWB5yVNi1WJlzDy/3RsrB
eJkX+BCN6X0Yyv2K+6Z7o2It30jibTi0hPbolQ67c3JMtoM3Vnes1vlRufQGQ+9gUGEyx2lLOTRf
SLOS2VGzmsmOpKcL78IrWPzl0HCbkzYlBSC0xWtOyDeNvjH9PGkYAxDxxDXq5G9Vldd3ZkeEm5uh
I2+yhQM0T6fhsxSm/lGLPP2EoKLa0NR4wQ4XwNEh7eges7I/vfRUPHxvGU0Oqz1gTKXmQltuQW6o
YG5feVqinanSMEdEf/5XE2fmA/UxnWkBJOOYFLP4rIpm+BSjQEQQy1h9F3aNqiDUEL/pIjc+irTn
Sc+eznwrujl+M4ueJtwmijcIiagXn5rTatXGVDKA2F449X3ZzRwMIp2nZuclxM3v7GBC0RjnlMsj
NUcKnKYum/vUHQuHGrOJ31g25O8ELUzWyMuDwiHiS+cyYh9ggHUpeJfb3MEuFdW4tDyamJkfmmd2
LS4z5Qz0jXotDXJ44egkO4pXXllp/twc7An5MUrtYNH2hEZSAgxMSOMNzVRwladrsLvbVxStZezy
LWmKRx2IoTF+k71M8WmOMJY3ceJU3+Y48lMBfC6Q5Yk5ePvbh+lILRnZVrWMLCT9CmeaZ6i52dBP
NHtyGJPQ6rDts3yyigIWmfb3Dv6xel9mOXIPzoKMBrOYyUYwUIFOZufMxm5wlHO59ENz70w4KvgK
mbeGE6nZCfexgx7CblkBHgsXg9xXLFSk14Ec5Ld00UY3o+m06TXB5OlDsUhzX491/VwZgXdXeEEX
h23r6w9T2ooFi6ltxCebZFL8dVLnPVKV866zOubLg+hQw1WYiOAJ+U64d9H+0yVCl+FTlNrAn1e1
KT4zuhc4ghMV8SKk+MpykZf7YOw7BhhBleV7vcjMOSxZBKPe5etUFzX633HKhKZvuA6p6AjVJe1C
d3tEFMLySrK9YEL23Oqs0/N3NZ5fYTWuye81W9dVaKpZlSeSoPWwW0vI0qvBV5V4Ax8NAkO2Xdno
R2bS5DJWo3VXJf58hZcpe1IqnR4nE+DLj975H4P7v/Kgmvj7/iAN/w8P6v6r6ZM/m9qNv/2df3hQ
SUXCTspNyBIKmUV/d7X7zm8ufjBubTw+q1+R//XfHlS03989p5b+G4YHG68pFqU1jOjfspzqfxmQ
0PJgsefFCDZiMZ5x2J9F5IDYSz9u/PLC8pPXqUhhZwAh2jIkfGGt4r6X2kW96j5+ZbxQ0hi70VtY
c5HHYdWIqOrNgzVVy0GsClJtTM6BmKFyjx+9jbxVaSJmvv9eYlyQzapDNasipa3aFCNl/az96FWr
cmWV6Gqtn2W7WKvn7Zh4Z6LE/dtJZRHguOqynrKJVwPYZU0d+X5Ed0fLqpYhaoWdrE6LYE2tXRW1
HGmtXzU2R8RO1HiTFxrLND6spIgwWVW5dNXnbIS6aVXsxJA8u3aVbVipQxFbdb1hVfjyVevTV9XP
cAViy6oEUspvbaTBEYkQEBcOplU1rJAPm9EgsQftO+pXbRHyc3JZrHqjtSqPbdlRIqxqZL/qktOq
UE42KgmrMp/Dql7aq45JgBr5zd74blJBrjLdkSdFtasyhMp8VULVUCdbvtXNtKqkEFN2A7IpKssp
XnXUUevmi9ZCk5u9xjgHq946rMorvpxdFUx3xJxU5wLXyxXUqR7GGhPtgsauvO5JOp22pi85Zequ
eBnpGO8Y1NsHS2hDCG+MMrhNZH/fWRo73DaYMbtYeKZpldMTIOV2nDptdtM35fQSBxyXGFWDp7my
gHiQGYdw06B6pTKotmIq6HHwC9x508Q5R5gbGpgJHGSw/PbVy3KeUDmJlE91wWqWU6L066Djbuz6
54lvlAjkid72V4hFftRmK5UuC8wR+OGIfiDMtj72Io7hBTR6few0RZXa+bXXbbKymLSN0VTZDVsJ
zeXCwGNnTl7+5pnUFyA5AJcwM4qfcpNHuG/F1XausubeAM91Y4EOu7TXJwDlbv7WtjFPhMDweGRl
hTJ2VU587IDQeLs4MrsZh4L1izGx563I4OqqqSIPeJiYrjvYP6O+8+33TrfgfCFzffSjZx00yxrz
MGGZ5gJDJH8GmOQtH6AWIkxnasNeiPGAVoTJb+Al8UwsY6QDdro1yct7csaY1TFHSH75DnLe2St1
3mPV6HRR7kiFyeZIQVwZ30Prl7yggYG425Z9Vm8XGB3RPFTta8r9t89cBmtYIOl44zkT7sZblxRb
o85ulg6hIOuU3Buj1X45M/1kPDYt1AXeWY4719/J0eDlS7Iu7xKVIhE4PTx3yLz+nT2v0pg2VN/l
WqjVDqhekdugnNw1AAS25RL9NKrMcIdHb674g2WcmwdHcohE2HQX+CICu+Bk528/V1ruDPw0+BAg
JoyFfiWbJzI77aA5TS3RaRuKMzROBJYnyjXzearXOcZQ2d5d7yT2oSni+WxQ00V9T1diJqNns1PG
lzqOdn3UqtUTYcZAYMqpGj7BC2Y3td64JxZ+l8uONPZzrOf+eeo0uPZckcUGYFD8FpjoZBMgK+Sl
eOaFpM9P9Ehm2pVJqt3DHZJ75VL1dgndWFMOwfbn26qmqrnPkkWQUFnE5K8QR8CaMCtGV4tnO1es
jdrxhiVTMBxuwsuPE4Ntr5y56hX/YAb0Sq7DEpodSbwiVzeiTm9kt9yOmniQHbW6dJq3OvM3SeVC
t/evzWGkr09uU7lSPYf0osr7b2cKLgOLjmTdmqtN7wwGle4h3Q+uekp64UaOPvtXACg56GKHtRoY
OO3ShL5ZN+eB59i4MVdftZEZ7pnq5xHKknHjSs7wwvCTyPVaKzSI7guzarnJ5iCa5jwiM/MIYCa+
NQZtPhmzme/8JmFaQ2pVunebIt/4gbS3S1sgqjBXvpCybMPBLzpI073xWZOXIjvzizTn5rJLs/Yy
V6PY1mZlHLDZ/uqN4aL2nTsekyW8otGiLk2Auyfmi9D8X8uI1RwadrUDag0vdKkxAlfWEtE400aa
vQks0XWb+9Gybfg9ufqspEO5xvxt9R3s2mEGyDa2x8ArEAKGNISaxxecucZu7sCl59NSsNNhPLoL
RTtF66GYl+qgkzJGKlVXRLo/tuw5FfFGD0baUdXutKZ57fSRiWHd6FdLoXvHnguf6YWrRw7hMDr8
uFCrVkD58m0t7bnNfO8rM9HA7KnT3zxEu8goiocBQ+P7smjWlnudfBqr80N9rBlAIHQf7SAGmCCV
4jwgWOwiyZVF8UrAaqhQl4L4vqvEZ7oQSq/X/nLDMBVCiZUwignrwdQXMGb9uFXSrK8aw70hSai4
47Lqt7obG7eWWuztZI4123MjNIEC3lNkC02yjG22X8Ixi62qzMNCnO/Gatv3sWzgu/giiHJDvugx
O7h6w9M+oJfACDr+YjXjtUutPVkL8SOkMrz1ViHBx6DZNDaT5d52HmPcz6HLbUhnVScvBLGKsBZW
NGBXuJp8GmKKBP/Thh1y9uixHgFLrjUEaGcmiu5ClFk8oUiasT/jZMkfc2+kaRZ29SViL/9CLyuP
QV8BxUxEzHhWQ5Jw7WlXCP5uQgQba776jRfnzR05TNiM0o7KCiIoelfv37SwfN5qYBJvE9laN+7A
rohDhbUBJayikruIk3zIUI/TGoxMzLyNhLQ5T64koxLjKMwYDEMqlHtjBt0IN6erdG6J5GlwZ+3k
Gr0fFhaCKV9io8PASliHL/LxCq+VzRVTQ6lpOqeFVaQmHoPz2Nw0wEiO9hoHExMKs43hgT0FeDXP
6EsZoDrR1TVCea3dDFAtD1QKBfT3pttmcxmH5eQ06675/F1XpnmC0Do8Tn02XbSp1z273cBYlrMw
oi2kt/UmgnntNgvxWx2KiioMFVk76g0HGJSfDni2I8K2H8BJwbpl7mX4vK0SG4RdfniCTT3Rx9Op
cDX9Gs57vyutpt93JvaucSrguLT99cxUHgPrPjET+mBfveY9rJkor8nPI3KmD6HEQG9KRbkDuTiE
TV/YewXWb87SZQ/NnsfAyAa7Uwp5qwpqvEI2gieX9E8L0fj3HZwk5pWF9moNwY1Rt+Jr8ojN6dxl
2IGsTXZjGbdg6bqVA5Zl0dgD3sFQba4zjDNP0OZUe8T3tgEAeqFPzpPVzvuZQJ0Iqt39QvjLzZyZ
5Cb4fr7HIbl3aTHD0oBHJ5vkq5uXvTXwyJNdU24lgUzbmWioI/HHoOtyER+mLr4i1+sMTM6JvBiU
x6Lc+TLOca8y2oClZmyRdc9BwelqXHqj5mbrnk9aGu2+qKY8uSOJpYu4hcUErEJMNhiyQNMSHglJ
p9PtBnqyIBRMBNEdZupfeDmUKkUIwbJwtovIZTT7rYnMB1crh8Qrx7GJKjfD/SSgay6/UrKbJagP
i6CwC56Gz/TSd5oeyB0Ey1XyGaf72FNqayxK3CS50+xy6djXCAsvnSLFQrXuOQsaLczVMJxhGZlR
GTg5qMTW+RBzs8BFrtWHIYzheqo8bZcZ8qtPFoZxjimvfSmtyPMR6uyZ7ofWXdwi9JhXCC7dOaFU
2ZoxkuuieW+sugFkg+v9Pg2gXjJmbRbP+/hYaZkLeEbXw6ITdShlNocx+gKPyrZkn8PO9mzSPwTa
ABW6AD9pUWgjC3x65iQ3dlf1Ny4kaqCyv9LSFGjyWXBcEuUSqmqsRX+ChPKhIxZ+eoWTX01TLajj
hX1huRnD/Ty411mq0TcdtYzGrHwoDkrFAFDZkV+ubKbvd21ZqecS4O21SKtfNKBQsBuzWylow6rR
1HETZXX6q6sqnvpaV3160l3PrHgYdmOdyV1v6P0r5Yu7NZk8nIc4UCE10NnKcudk5SqBt2qW1lG3
gy7yFsWdNtbTkztO42UHe/hKldJn4QT22qmoO8/BsWKlHxhC9IRoy2zeVUbKo0Anjf/H3tJQB5SB
/8kCNAeHTBzjzKzBfx7wcr8qq2KJN2UIizxv2RpHPjmL4ahP9UO9jvOddbAfryN+wcG49Q11yNbx
f7saAZrVEpCt5gB4BkZEaAOOAadO4dblOVljpt9wCSUUJfmPu6BejQaIdqvpYPjdg0D1vFoS5r8Z
FKzVrIBKJL/T1cAAGYQJ/2pqmHE3FKvNQayGB1T1KzhooGsTzBBupcvbZDVIWKtVolhNE2q1Tzir
kQKabBblq7mCN/ZI4xdHXpCSBZpjwSC7AjfGf1Sf/9fmMfEjmOv+bgj8H6rPxfv0nmV/TDIgo279
K7+LPoZjEz1AWoGHQIrM6+ID/T3KgHjO3xgOEEgCW4JomnUN4XfRxzR/Y/ORTCfMuphp8e3+XQQy
SDnQA0otYEVE4uHo/XdUIOfP9m+bDQ4flzlvy8WSyUruX0QgdnlKlTuJeS8YJvLMURUAamnwPoHI
oyC3Np6CFDTbr9bD5pGmhXamuFj2ta0tbVhmvhOWAhTmRifoMNJcIxwCraV4kDDgfvCwXI647jTZ
ZLd5Tw7IRkPpPzQpBoeRGJ3tj8nA1PT5ljN6in5sCw3E8TNuAejOiSfAVWrjV600RfygPdknjYfx
aa7LjOxyMUzvQdIu756VLhk1FR9bmCaStrcveqDepd4dHXJkP0Yzzd+HZFpuNXKIycjPl9elV31I
TELh0RSr4Uv2iUH/UtqHhH3YuyR1mf5qBCU2DC0eV9WniP5wvfwvBlJrdQL/w1/58xWs/lu+VX0l
QK2r6X/cNKrId8y1GDOO6i0Y5dZIII459zh4mlmj/jW7gVgEswpuG681r2oCnPDpQN9xwqzQ6R7T
fNl6SOaHQI0SDgacWhNH4aeRFdpz3TninC4IE06W59c01Pj4f+KGaKn9fZKShjQKqzlBm30cSoCh
Tjtd4UU0H8zU3Htp8Jl3bvfxz3/p4M+2WX5pWyexfVU6kVVJV1uvyz/sNLbYg5NYb+t7u6niV2P9
9smrNV4M055vNY9cljGHw13l07C1U6pHYqwGtRM8Ta7ncdY/2sJYxRdnmk9JDSl7aiznPl74t459
vy9C8IzLRDOnUzq6xpWVdGRj+vETYozJmjZSSVFP0LKLUr/IyOzYp1qv7QtG5tHS4IpUesU1bQ26
vNSV9Vm749XUm8bFMMbOxeL36xSB1QEyhIvt7EzmVkdlYDDzWrZkndt2M/3KUhjG5WBNv1rO64O3
lP1FPxgSSCMFaSvH3ZBN85mbsrjxpMbNBI/iorA+dYYJOBTi3hVRkfMI9nkkhxldxxhlEHlxJOHE
1FWPTpGhzng1M/IZ8ni3Geosv67Sde7ol+bzgh35yy8pI5gl0qtDsoY6xPzK2NWpEBfM0bLLchj0
6xjH4q1fG/LaoVIZaNnHEiJIqvKLBXttECo7Mc9aNsCaHww+UHMVvRT5UZOz3ptaoe4qfBnPdioA
6DIbvLJtCOg6Stm/yFH7y5nFnj3sO9gJBDUSMW0SfPfna8fEWh8n0tPO6aCrux+Kt2YIVLSZUK/e
G0n3CdZrpwehij8O5yp5ItAdpyX9zNtmvmldMz52g949e53dRmVa6nsQJC8zhs2oG93qsep4lUL2
cBlyaTHK4ru/amKG1vqAfUw4ZP/SnZrnWac/2HgLv+oyass1WxxZyHG17CQ7AeuB2hT06O1gbJ1B
M7cZijqvOUtI4EWj7n4u2zbHgEaK1HLdd45xZbRN/N2Uvv7ia5V4DjDOP9ea6m4QEft8U+HnSyM6
reyj1ot91/RaFY5zQGKYNY64XRdVeNvCT/2TTzTxsv3nt+7Pbso/zqv141+X8tlJIj57nUSst/Yf
bt2pMwSFfo+PqG9dje7ZMzZL32n3uQr4DYzcpMvuhPaQL5lMCQlog/Z67uuU7F094/FicQ8iCpVg
lHzYJe+FdHEqB5RECX1eD/rHXvhlVs330GXkjP77v4C9Pl6J4uO5jOvwz79ArQrRGyyEnEuXwLU5
N+abrk2SXefGjJlFzTkTdxPnBXAlZLvU0bauX7fveqw7l8bkxjiqepLLzKV5t2bPuHInnAupicNn
15V+/FB6HbPDtE7oSP/5e/95Hv/lw7c922PMbpLjRoLAn987CnLWK3tyzs0IlX4zCRF/czXH/kWP
JfIJPrm6zmcxn0pv5a1jZ2C0UdfuwW8zecTkTUQvmuShdCZcAl6nPQxuhQtksgcq3G6sT0RBZ1e0
H/PtVK14iUFM4lvymOAryuwPEU/jQVfKx5e8OtNG/K81y3BeH7Y59q95FTwHzHvPJrZVSL94hwSL
XtuYUIldKSxC+Mt0fsVXqvb9JGNq7xQqDyB6PxxMc/4yfvjxZmUDJhetaWyV1QY7qyk+8C1diNSq
u41VtO2htFG8ao9bnZpgvv259eJASz77WEvl1i34jyP62VHNvXmmfUIqrwjKD5GN0k+9FWqX62n8
ypUnv+yStOSFd38ocy8+ErWirm3SkTJMK5x85PNiLjKr4kFv18Rqu3OzF6/Kf1kNvoouSedDAUMo
7FdhULNpEzEIiMhBkL3JcWLU/+JCoEjkm/7TlcBuIDUDC13OTzn4l7KBs7oaRSG7M105ANoFR9O8
+Tmby2lGEmGpIvTSdUKBSTLZUYq17y7WZ8ZAnEkQsMUh1TovSkvwj12GRIfPV8+KUOJwqTZJUu+G
DuWKib6nf5CIWz5y/A8fJs3+15h5thaBzKg8TMA+/sKacuxa1oOzBc+8cB3YtYVF1yrjclcaMdaD
QFXjhU/nFC2q9Q5YWx/R2w22O3ARl6FmZnvMmNodSsiCtXjUx0/MvByRRc2+SIM5CwY0O7vctaTY
ZWvJuX6vOCKGZ4G7wNEKhiqzmaltYC3PRtvWEWZCa8P7SasNkkO9J/qQizU3hR0CG/V+sZxXRb2U
xZEATv1CBeWiITmobq+QjZprE8IiRpCxSJ94DmRPQstZiFTtZPlYsqr8WTBiYMpRdG5yAUNsnd5b
nAb4Q9r0UyOM76zJaS1wMAcddX+u95qo3KjHuZ5srBS8B/OXSufXJX1gUzark4bYdf49HsbVjJCy
YRRi/7TtqFRG/ZAkA7QETM/2Rhm59ZFaMdvVCbvqxaVGvg3lT7DcYcFqgMSgxXwQOcy5OnQVmwCc
7Hqo1cq4SpypOC5cCMj/E4MwzV6gL4Bss14gj7NavuijumNdImaeAsPv3FNbXgwak82NEEp9m27h
H3BYalvC3mCO+wi7BLn3atpCFiPRUrhZymoQne3Ua1yFWUeVuZlZpxwCVsM3ThvrEXau8tvzpjOt
c5mFDmVrjHXNq5EOi+rG86r01qy8KeRhgIohIJTe/Zyo//EzPCwtuXvvn4Qf/nf43p/aVGpwntz/
d2dLOMP7//IXfu9rA/231ez342NYWaC/97SB+xshEy5PVhIniFFZO+Hfe1rb+m21GiCYERywLofi
pvjd2GBjbHABl5H0QxNKNob77/S0OJH+cjQGBEMQ+GSuBySpXT+r63+oUJZqGGTtZZhWu2q+1HKB
v7wwyX4jcv+zqqU6oF3ZAHZLJwE+v8TFjWVV/WueuwTPxZ7Qbo3EQ3tK20Xe2tYQPxWKTY/LLpvn
X+mQ5cmh6SxsRnE9WlqIIwxV14iDbUxKw9PiDNMdKbOW2PRLVcbHlETzTykX50p2o/+UokH3ONd6
v0LDNcwlqhvS6egUDin7SgfpyHKbU8SPG7cOHEqQynI/GTSWX7XuHRIcdjd5MEtckZ19LmC/q2iU
bfw9WKo6JZq8LsqROdRCM/CqMCG+29TLzzPjgNBcRPrNkLlFr00cpuX97N3iIAyqaF4scYsWMF8r
ryeYK6AM+/YqTbtraoI9Np6E9w5oiywfe11YToRvZBsKWPuKxroggSZXBgEwRNe+K/bWL2Baii1T
qfTVIPl1Di2/8vfCY2F2E1Rueb8YrECMznhwGoKBLrKpTPZMAvwjuYtyrzdza0Wqqtz7Kk3wGLMs
WnqbhRMRgx2uP2z7sIWSqLab4HMx9LkNacw8PUxLOV66QT+EZlx0xzEu8pX4js/fbBpE/24OLtcD
mCT7ZX2KBK1/g2uadTfM4uNZehVkVo7DCyy+4iPVYn8Ig4xzNLRZU77vymk4ssOjhQ02vbsmKBkQ
am1dngwPmjG+OJXDOlsaRGrHky/k6mPgHO3Bv0TF9BhFq2VeLXdecASxFw/Ybad8W2LiOtXpyG7l
nHU8dt22i+xpxn9K1Twchxxw3MZN5+TWH9pv1miWkSRp1WURCKDmGz9maWOQIdp4k9lq+FX3lqtd
UBqWTzG4mwN9TLelRM/XPRdXvrdG4N+CaJFR09bOLtAsoBS51Vk7owmIZJxJZTipQST5U6czHpd3
OA4zRgqG4kGz9wyZnSGMpbeVGSxG+cm3S20QsmyU8dny/E8hWVIpLw1mC9er4ptEdEFUGY25MexB
vk7ORF1K+NVj4vMzmC1FZA/c22JOtlNN/GZIp0kqf1wb6+gzrjZg2MjLhgV2XAY2hvBNVtze7JXT
s+M7LiaMhpj77cButkJvq7AbjHiXp8Wy0byB7osuadMnVhWVhXFpDoFx3egGJofGPiNOX5ST7lyp
1o55/PU6Y5N6uXDnjs99xN9csZW4xP/F3pn1No6kXfoPDQfBNUhgMBcUtcubbKfTviGcG3cyuC+/
fh5md31T6Spkoe/7ohrVQGVKoqhgxHnPeU5Qug13oFXW4lazq9kh09ebG7MJvR3wyu5kFA1dpVRw
kGDyxkuPPz4Y64KTmt33nU+6pz47bd2fjLQvrsBErdJPKsfeO2nZXTWvfVhifphZlf5ABn9G+vKd
3M2+uU1lBdjQAU7gPXzSeiO/ZasnN20JbzOZbP2RzACrlluUDFRasFnCSZk3ZEbMtDlyN4PBzHTo
s3vTKj95VpNvItIeYPvNQ9pFV8cpY8wHeroJmept0kQMtj8xVjs0i1NspsxZr3Y1PnE0jwMxzN5R
gqcBhuUMe9egW9Yh/BGwPGVbTMj2kbRgQUjJsyc/str+xvYysa2ndLrMhb28mLllsYe20wDAW+5P
JKJOsu/kE2JWf1ajk9NEHrWsKbJi7fATO9S+Cqyn5CuzaLkTRJh8Jrnp/TKwNmaRcg8Vatqh1zxG
IbpGX3vURtMuNBboVKUoNmSTSP8nWX1b9FhcZFO456wx3tFB8XRFzDImivd8VJJuW7SrD8Lkojzg
78224WKuYeco52obZsoP1dU872tCUpdrbg7M+JKJtC177vKSMC66S1t3/DYIzo9DmS17INNiK1y2
pakl+13TusXnmmDzfdyhX24ivv7PqWvvDLvXbu1sKu/0AWrWnEfiCZJU/qOdre5V6pH1KOupfKhr
MrKzXotdrqz+Zlg695gKq8W8kWngUlwoZRvKJvvHxDKrkxu35rvZcktDaB4vk1FTU6CrljmErd+1
rU1YtWNs3Bbj/BjpxUpm1fSEHIzXXYQXDpfWzsODiO10M6RtFlQAMnZhHt3pHvb0hKMGwmovXSai
rsRsZ0YrAMcw2MrGy0nkCid3lha3sCXD57hcxhgtw27f5sTAHL9oQ3Ixhqw9MMeuGVDp05cCsOKG
49/yZA4myYIwlQ3jMRqmfVm3zzUq5WWJw/GyjBUTyNwRa51WHV9tp9cfEYoM7HEUnjGY7UAQzV38
omrVYkBwUJvbioE3C1N94Ik+vcfEDp7wvKE3IxlO23E0M/ad1oIZre+wpncPXc/kcu0G17vus6gd
j2nl7NDdLT7POBvLQ0VIMnlB+VkdO13l9DyJMuGmd0sVDzjnzb7Y9rpTB7M50PSjxLR8c7vB2YbZ
XHJ4TFiCaa1DJGyaMfSjeO73oyiexokjHUk0ItpREh75KvMAx3P+YKq5C+yS3uRIU0GNsfi/ft9/
Uaf/cX9Mg91v98ff3uPq1w3yzz/xx+BHBx4L05Uvy+IpzpjnfzbJAKwZ7/D8AgSJ8M/u+Y8tsgdv
dh0DGNSc2EDOUMX/2CLrwK0BPTD2Wc/7TIv+ky0ym+oPW+T1byDCDsAWQ/5fi9oyPax7W4bOLY50
2sHDcqrPJekmcrMucUvJ4x+xw8RmCKg7f1wSZXtf4IN+j6EdPVoyM+2NXplPIKqnl0xqyZlt3YQz
3XCJyrC/YL2mK5tiCg23D4+13IhqTHjjWD+Lsg41vxyS3CzOmZe0e7xbaXorAd5ilkNC2xE+LI9F
OCMOpH29KeZ1n0cvQACwzd7FCfLYNvX6h0x5VFKlYgwvOUahS9sb3X52hvpkeM34bdHzN6vo8PR4
rXjNx0ruhUrUW1NkYoOrxSFu2L6bDRURPiFv7GXSaOLzMsfTQajK2vFFabcl4xkCjHLYxWAam3DT
eCwtDTHgXi+Gnd3mDHiNZEzvtDg2XoZ5WrG91CwmbElbShqvM9C4a9fXZQCL5iW3E+95sqeZEdZk
7pXhvUyT62wHMW9CcygemAfVB6tvjNumKJiEYENlc50kl2KoxqPtxMmNp+XvXseOgmvNtI0865kt
hrfPK2340mYyPM6hbe7YIOffizxBYKND5fsq7NYczRtqv43ke98bzZY80vTZ1t2x9CMONjgF3GhT
F7n7Zhg9TxGZxlyb6qVIipda46XLWkE2iccBZpNmbxGiqy3kO7mxlSxKX44lhrIcN5zum4lXPMpl
AiUVilgd1zvyuR5aZ0eSjRwO3uPsgIeVyppYSlC91SCDUsN5QVuZ6cwAQjhO+E6mR1cr07P7eW6X
u3CM2eQvVn2JTUPDvCYmm1cxK8zR0tpbaY6cXGhm8jg6bX6xwWhcYmwzNzxEofjxvLgfm7rZlW07
fe3Wgh+faUO36TNN/fDAXPRoIjQIFDIdL5hzksNkl+2lC13M3JMzRt9igqObXJEoBFILiXzulTzr
TIAqP+mkuMXiLXyn8Zbcb0pDlLDEB8+PXEK85jTDyiNjY5BNz2pcAkImgRHFw26IDfLsWqGlbBIN
7zwUBUbOjmc7zhFk/p03Tpek5k3J2lGndpnb5whHBPtStng/KlzbW9fNvYPESn5pbO2bs9ig4OI4
TX2NAgzfbLTR8DmtFhuTVPpOpsJ7wYqc+UMjzyrE7l64BK7oyhNfBkfPdwauza9ZHS6IqMWAoDPE
zh5Bx/YxUI6fvcoyeeiHEkaWG+76jsT3pszG+VyNmtVtXBIGJ9fJRhUUiLLbGUDLPdvCarvUeDIc
B2ZdN5lwJwheXXOCqns3H/tP5NwrSBol5Jw0RCySXpScNWXC5ig8t9i4Hh/JYQNC7iz3Wlh9I3H0
Zpg5nAwpxppw3iajuzwPUz35AzOLXWwLclLezFfSWeFN7JbNvcOTWA/d5olJqXP1zP7QlOZyN+IV
2fAoP9k9P2syBcZ0TMICW9foVPeAdigHGfV28l3lzo9Zm6sbNosMTI06fSOiWjMHx7bZj3RFuXMS
h8eSXo7HKa2NjYdZzJyUuMFxhHmyGh8iq24uc6rSDYunuG17vm5s1LQ9F4nJosCZKTJHcVxq/Rsp
C+dWUdR4BPxjHIu2d/xEb9mcl8pgsh5G+wZCbBAmijpsNcOaMczuEXvd/L0QSm0WTc5UvmClknNd
MCLX8Q+juMYbPbGzvewnFSQhC7kwlu6cxP30XObC2tWqjJBMB+dGkJfC0s9C5MFoDELCyq9mJSi/
gk+z0aYcGKXVzRpOWdt55SG4HCht0L7raa0hDsQmJS9W/yMNterWspPq2taYBhSAQjRA8R4tRbSt
9TwPjGrgWDG0Gkc7xOxXZPfu0hT5dS2hP8WeU3LoatSZ+HJ3v5T4v8bJXe6Fnnh3bbyWmzOsXbZW
5DT7wsJDiDfJDdrMHYJextZ3Kv6G7Sinrz0e6k3Gmpn7YTbGm8axtUus4YCtlD2+KEA4G0tXyxWy
sYcxvXJegafx2+CIDubEJYCfZBNtOr3GghWRXrYT6y3LB4Kqsk5u9bAs94uo9PexiCwc9sszxrFw
Y4yzcbAHh4Ol0EL7MUn0CSrB4h4ZvFwXoR/ZPaCbs910tpmY+YJLw/YCmQwPo8qiF22yYaj1VC+g
Y8T3NLzMpa+xK/4kIqc+eWYtTxFtiS4raOgdWDcJB3fi0krNvC5Lf89mklw2ZZBnSA7ZxubeY2pn
FCuMxOcngazv6WAClig+eq52zcgN4JJsKhoZzDDagAdyD8nk9LvI7fJty/Z2I9zwQqAv21cwC1Cq
UxczMHHyURFt5wcV7/qCeUHU9alvTDmgGzcs0KMblu8xHN/jRKi9NgjnvAyt/KrLPP/StIoTUds8
tGZhP4IzehazBV7YC2ssb6Y8Np227N1e9tsayeW5LeL+ZDvFe7qk3TFOYb/VWbLypUlH9AvlTP6k
Re0pwcFHpCeyrm1UVvfLCg9xeXINoDMfiM4br4AOxgtBXgaZmPqHFz1JtEO+DPalUEl6MhJ7V5lp
zTmBHLhjfZq00fIFfKBtUpqhL6Mhf/LcSO37zq3viCbrm6lVgGLq8LtLPITzZBzvcTbjtmNTf2gB
OF9iyxrPys6iz4PXEp5shypQCzl1y7GXHyClnuKCA7qRpfIxC3kLnZ6R0oGm4TupeTOwqm5VrL+F
LYaxorIAjajqksOTI6PP4TvUree8zojGwOPYWjR97iFKI19MWfjW9PO0t6akecOfhsrn9R6+Urof
5Ui1Z+60b6POuuKJQt9FqAfZ6hdEb3zXepu8ygwsW7rpcvI4Ucssys9Td5YVqjEgtGK4tXIIh1A+
yV8LmT+nmlM+sqnKzmXt8qi3dQYGyZhxZKqqTqcjKlK38Al2hWOqvcu4/QZ2CKitydb2cWoVOxEb
0UUyqdg2CCqHCL8gHm0QOfdYmadjbOUY7l3KZec0tcldjW8t3SYbqC622mPsXO4U+Z9NZjf6qVqa
cme74/Teu+hmflvDFwmz1rH9LI/qkj7q2grsapm+llms3hzYqoJt7nsReWHAG/lR9EW9S3Go0ndd
as1xboW7KdJMOzAyz5yNrLMiRf7Kyhs1GSRxMsvZjkPBsA7KwDeYCwbZ4GXkkeYQC7U9QXAnS+/Y
9266ZG1tJVC7E5QbbZcx1E8L6wAOd3abMVabQ2hq4ocLDtHv5nzw+45AS+V00Rb+WeOz9Wi2sEUf
bKhEJt7iGdMvbd2EvgxSqXzVbzBHowNTr3Ary17RhDW3+Bfavt2QVmmDesxJH9TonJ/rWDTeTu/l
SrASD1LxQPLJoKRAiTr966RkfgdAjQVhMHJyP5mxC8sFyNqjO4V9CoJ8cOPqa9IXA7k3JCuveJJT
nGXWKbTdJDt3k+tVT+M8cNUIcU+axgS6ZKfspw1sJhTKXJd0qhG1DYAhZTKY46gMtC5MUbnI+n1X
QHa+jR7vkD2C/Zk/U71pMH92szGoIxbyqfH1AQox6JHk1A9ufVMr/uuqdapXk1+emc3NjleETOdh
Xe0xB+8TaavKj9RUMmcWCIjJ5B4dCAz8gjnM3creeVrA8fg1eadvVq7a0F/kos7Q0cctGZDm2hS1
6adO0ZArUsWDGOOYvHE1Y7+Px/5g5R2dMwxFA3Z9BjILWxhjbNeZbJIdKNS2tkwujLMoWygCAqdY
AktiSxRoCmxnLph4aryeyFQFGn6wXlri4syGE0U0odU1w69FjrTBlbsyyMRGlnczamx4F6Xg632R
e9Mj8akoGFLUhk3XL+JmVpGxSbu2DRozn0jZ2a7TI2IrXCY8hYk/kmoBMMBw2W9VWZymIk2fIjfv
Xju2npyZ2uF2LpfoEemv3bnrxQ6LON1T4sPpyzYKCOzhQON0VU4M73sljnPa1o9hWIguoH4o3fdE
qo6YN8prF3kAx2q9/tTEDa4xyC2fyyr6FDJ8vlgGM2HCO0I7mMbqaiw9vMD9IM7SK9QjFKO2DMJQ
lfKG0L71UMb1u1waYj3UM9J4pMVi2bjQzRI6PyMLfgrZ+bssn/OXVBBgctMxRO/09AjPj25QAjd0
z1h30fpggG0UNAti65FirMMQPW2wDQf4X2jvdjqbNEcNB6ar8UQEsPzHLwu7Pnb8Gr1zTTXN97V0
M9qZvDy5NhHcFFEvWCqg3Rjb1tX0rSFBKZKhTI7xsqQXOLLJsTA9eQvXgQPs5HAzCe1L7lbLcxzh
8feZ1/HhiANVW2Fn80vGUoEGP4xis6RyudPminwJYOt9Zwz5tVz3SebCfYXVpPMRGEFMGxkhDHa+
+JS86lCmoQ4GBd4r5891I6vbzcU22VwnpVjpBgtJ1bkemXa0kCnrzxXtl8WdnqWtCYTM4TBW6zwF
QERhH9j0sUPQAeSHs3zTSOmM97pHLsiJCWElJf2jL105qelpGTUif77WceDt7nvRYu/Z9r00pPI9
s5nGM5ekcUGiRRRZbcxWr0jo/K/CGtrYIkh2u0TTPtQk3eZ5MX36k/zzN0bOn51bf3ZkuLSCCRve
Prsy1J119vlnY5SqpzHNTX28pdPDDjQP2V03mJtNxVEDXxlGb0Zh7ofUOJmZvdOsZmfH+taV1HP1
eMqqbstH3XtLCpAr2f/+za0+3r+8N/xOOpBn+PwGw9c/v7dCH+pShFTgKdXcSsVeMTwk/9Rw+ncv
QpYc3C7DEiE/XgA77SYOvcOIwktjBv84Wr4rZfUvA9d/R/b/KEm6Kwj8NyN7pO8SluSvquTPP/Rv
VZKyKwKNBnVKNrlk1Ef+vj9G9zrzeVjuK9bfo/Rg9SH/oUsa6+ieTkfY55Iz9aom/luXNKnqcyS1
QKAEMKML/O3/9//8Um3Sfvj/f4bp0kDz631K+Q4De2zv0BDWQfBP3/CfRveJkyDf6G18mmpy1eTi
KvvnmPasaonUM0+6BbWTWIvKaoyUK6YYbWxwbdJ0LQfIQ6MX8PndKndOyyKtcEu/7zL6nRDTA1nN
wtrrqZy1h8xLm5calI29AaBFV/kc5qBOB6Md2CkXbu3nIacVvy/EQiwfUvPFSx3Jw21s6K3Vl85i
HFl5W04TZrMdQDTGG3Os4F22oSK742r4YJkCfv0Z0e1cD0jSIswSU0HetYyqbcMOdIQm4+IZXRy0
zMRvRmzTfjH01xa44U628Nh9NnLC5MGuJ48qTeeHKRbdbRMZxXXNm5dbOVUaTCp3imy/tEXEaS9V
19xWpLOjsUYRqeZDRDvMyVBNwgza3RMfayDTVUm1s0tS2UYbA+jpKLrXg8kGs2R10njJ1/FGYjb5
o26A0vVi6y2CiXbH0NMLgG2a972RNsehmq0g1o372FlwvJWO3GozsadJafm9KbX81izHqy3Y09p5
zqBPTTL+CiJM7S0GexsUrOysFwVMMGeqr0PDou73cRLdsO20bsd4NZKxB+kvYtzWjPBvQ9UUP9LB
8XYDDTO71savhBDWXg3H+2qH5JX0EFKWo8U15CT+B07SiwfzwW9QKDcqt0/DWBFPA2L5mDateWVS
O51NJcf7pBUQErP4S0oD1btdOWPAQ+OMNDUHNgAnH7elxZNcaQ8Dro3HvMkKFK+8vTXMLMbBCNwq
9LKHJk+7W22i7zDhF/tMzodexdaYbmcwpoGabGOr27xTDRoZs9QwelpcCX4nd2uARmlZcdJm3E1i
Vin9bMa1OGHJ+pbz399FvZU/4O+EOgTRwrtKQK0PLqYJJLAwRX4H13traUiaqeKJksFE2y9aX16F
wR0tnb67GJllnWfsnaoxrR1b9/amoiPtFR0Q8Dfz/fhkpbEeAObMaw77gxXUWTbu2bhHO63GX0Ev
3UnEzs0wtDUcJoeZM8PMdOOmE/uuMscD0HIPQp6dgQqFYCRw237SeCKQUL2CHRe7UJ6tAfoQIVJy
sH16H5vNndZhY8VPHXi5dWXvkW9LV31tlZTHIq0+zWt9BF7Ot0I2+Q7iDoO9IjHOtoX6ROj7nM/f
tIiAZaXTSrH04sXqPaLgsxce1DhoNyNN9tuwV1HArPSVxbC9M1Qx7TRUcZr3Ivs4E63/ZME4BN4r
W4RLrJ8a8UzK50+SLZsPaOoVTl697WXR7HH7Gmx8T0uXXLqii/26Aw0CJaEMOUKAc6H7EpchWm7B
TFElu2xkKm+xFbq6oZk/KNeOjpRJQJPlVHakxmd6KKZ82ZddBtKZB/Z+ySbnxmoGGGOYhJrZCrMA
AXJ8wLb7iai3dtDq2b5FtI5LfmBVa42C9Dk+VC+odc7F93M4msUFytFt0bhfMFPaW8dZvKeUXeGO
NrcMBmYS3s+mm9wxun4vLYVaU5MkXxL93VGDTQ1bI7q3tuEjw0VVQaNy48zQkyO4YXNLiyjfDIWV
s7+L8/uZZdePJ9Y7uhuhrclyflt6D859yPpM2rO7JPM0v3nzBBWPxtT6sW6IzAtSDJFbFncVaAg4
0B770vvIDkntK85ETEssNnu5PeAGXNLqqLIBLmVSdnRfqdK7dqn8oSr028iAMjXGbo6ogFGpBjPP
sUo5ZVGFGysp+omDc28j9qvE0Xb6ApfWNbpiN8eAwFjckTOn/lOcz61uHWasraeiFHHPs0Wrv2YY
IWbCSClw8ynmUH6XNW4FU6Wa3EPWI4BcJqtxHiYe2I94Q/iJZCO3HkrVYH9u9aQ5xUsxtz7NYfaX
jrs/2eg9PuKNroXSgpeq5LUGl80hgXTlqTLoSavnUNt1XlpGh7DujnNiRndx3uePkE0xVTUDfO8Y
P9i48RiuvyrXard4PoqDnkTxu8uu3/OBEFOuEuGfuURmg4FL/jRzLSMdbYPipDuawzD4BJ1IhrK0
/ygzi605DR7jTTe07T0e6VoEEm4WHjbizeR/bXJRPt0k/YtY3WZ1I5JXnsnAT4BS3RBaLu7CwfZ+
COqvwT7noYkrNhtetAwnW4GlDas+Y6rV5Wb/NLwlP81v/eqDi1ZHnF0Nx2L1yGE5wy5HkmYdL4Zc
RYS62P3Ur946pKn8m5ZS9X0qegMQvqOS8SGsLecTzxFvq3669BhxYtySUoXUyJECODarpy/jVGOx
GEWk27NyuJ8khx6oD7F2n/w0BRo//YE/nYI5WQHu4tVAaHjFAvWozr5ZeKWxIoOHa/PR4NxYhkcG
VgWwhZgfq6IT9275aRnETu/OvgEzvNjOhidusMOPr/Y4j99DN67fME4Ou1JLOeBqkRdhqKtn7USs
YriHK4+KY7aN9tUSc3s3QySkGQbm6KGXAHoPUhvVmxdNWOnnJeyPSsdUGKRJip/Mw63+UruJZflu
ZXbX1GL6BpzRrCENqPzIbw6GWW8IrCizxQmfd+5tTdmI19DrQmtbJiKbAn3Q7H2fW8k19BSxGXOW
m5KRBbwZ1yKObmJ2RMUbmDBlhrzMY1ef9LhzAkdZIpiH1SBkoL/KXC0bapSsbS2AGTip0W2B13uW
r7fqQe/bLmiZhF9ybSATK4nrBpNM1bGVVlP6RV42r1mTrsm4qG918i9t9TmbQf9sO1h4NcDdevkO
qd+8CQXTJ9NwvlhR7D1LwmTvVdRWOxOfYB6wxGMsm4eMoDhofVZEBrPimEghb7zFkm+D3eQHhRM0
ggpjL9gqzdn8IkfmxF2om588ovYJnitzQhhrGH2WlVEd4LDxr9nSZ+4BhuR8dbOwHjYToYj3waOA
GcudeuN03j3YHvyETToZ4rXHxxJuIzH23Eui7X2gRfo3r2autA0LJ9JOpI/Dz0SOy2fSik67M3H9
n/u2nzlXahrI0KZlXE5m+ZhG2b1Y+uRzXcrbaMblFxcDrEltC+qC4dLceRQte+K2J/EdRF7BGNIG
GnUHa1HzXQywezIOtvLtZrC+0Npn0FGDlfxTac2SsVwxIi7rmqnPG71NBCDRKLptO2PZjljWj/TN
E0207C5YlJnveiH6i84E0Omb4nucGqvPsXckpQxIz/4AnCbInK55jnAlfHGwge+GShC95ttcVugD
BqfYmDJimWYGpSS0kXSSJkotuPNW+k0BBih9Dp/EuLU4Z2kxx5uKsdFLjif3CYEs3ovE1jgfhP2l
YaaDCktVJe6vwttEgj1iMUYnd6FOYVcShDm4iYfRi4rE7HPrSlyFzI2ZAsSJDfVEKcPZMhVdzpmm
q9OI/ePCJ8wvhpUkX8Ml6eB2dR3g8XrYRZ5ZHus8MgMjW14UMbV+oxt68x4xoLk365rhmEj+20T/
77r4fzolezQD/u6UfKl6gnLv5a/u9n/9qT+OyfTF42GnWt3EOoMfnczuH8dkC1sPAgcHZEf/WU7/
P8dk0/zfwnANDDEu/ncatf7/MdngL/Q4OXP2ZkkX1Ob9J8dkc1Vr/qTm6LrO8xZnkS1tCnWwQ/+q
5tB7MvbQT5qjXYaQ9dJU068irhegFYnaVXXqMjpQxHZaTYZPZHgZRBRleNKahPPpGlGSObm1Sjjl
HoTJsDEoYip81820J1cVbSChJSfbSnTeRo9TAEwlIc90DUFCOc0/WQb+SLWGyaK4CPHQWkjPwKEG
mGa4cfVINCPhM205VDX+7b7sp38Iga5a2q9XYM3FExw2UDbxRH3Q2lKc3kM1EAKbGn26x2juURVM
ZtPouvVz8b7/dIv8jbj3QdriiluERgUwJzIKa3/Rr1fc0PCXR1mmjqNG9G+K8i+rdXYN5f7bcPeL
JvJnDeSDM2t9JVqr8I/jZPJ0Zsi/vtKC93BpAd6SUajbwODE73szwy5MQMkjoxRrP8dpeP2PP55E
GFrbbykDR8X89UVTYbRjUbb5sXdi3CDaetBthSFtsLY2bpr//NVstCT0JOqkEY9+fbXIc8ekLFLm
5mK0s5uyofAA5RC7eZ97T79/rY9Viev1ZMLDi5A39zDjfXixiRFkjN0rOdbxlOPTjgFZB3VdVIHb
6BxR8Hrd9U2vX0bSdAfUHIoVoN39U4/SX2+gNTmL/0ggapHg/PC1omnJGUJreqx76MTB1M4t3LYw
fPIcjiv/cIH/eg/ZQtdtw1g7TIF7fqiXa6gJNbvGSdkALstD5TZt0Gn8gtnGZDEzyQTPtSyBXf3D
6/7dh5SOTmMFzkLprMDUP6vMWZSCJ3Yg3JZjPSCm8W2OZj/CmU+Y9v/+i/3wWhbQClRmT0cqZBUE
IvDra1mJNupD7CXHRK+jAOiRZH4jmvkcgdR6/v1rrX/Xn1abn69l440jiy+FZX9sSUuLzgEPwD20
zMuoB1Uoi1OemIMe/P51PgSX/vU6pkM+ikWG29X49TP1Tt42TjUl2CaAdgbME/hQ1lxioR7AG8RJ
Qn33BDSZ8RYzN+hrRRTf/P49fLh31vdA8IOFDq0XKsjHe2eY9SypgcodQ7oPA6a6teFHixbdhOZc
nKrIBUbtmPM/rOc/L+GHS2ywBDH5QYHmMPvh6xwiB8EglAy1EEVeGqajJxDM861Ky3jfmAo0XadV
E0fKeYrkhhTyPBxHp5y+cXaswZMQYToBSgwPkdAwsHC8ohc11R5+f3X+7n3afDFrG5rHkMP58NPK
bDMcF6lpB6Llzpd57q0Gc17u8RXlzugcOLkpUkqpJpFBqzG7YfzNWMyEBnXss8o6s9sPj1Pimree
5rRyh6OuStmce3LY//69/vWudWmmM/GkIuvT8ffhrQoP2hGnUaaDngC9lXEmyQDetd3296/z118i
IwG+MimZVK5ggF/v2kQjYh9qbUKiEKKBl6yh6TKr7HPeWvbj71/r43LO7ekK5g3Gz9wz6tyHDzW7
rd1aU8pyDpktiNxwCEgWgDfnp0LQY0UITNgP9X6Sr1pRRvupsrt/uLC6sNdf4q+3K/XTcH08qtlN
3s6Hz5w3SjP4ZdCIhctvPsrcYDHtvMlUx6hXy4NmOuKLvcIgKBxdc7wqpuAmoW4Oeb6AIwDkLDx5
fT/fdwSaejTQlPqSGisxRrWsWG7yuCU5yJT4uuRm+GOY+vyTO+fLDcFBIGFe3ThrDCQ7GVTsnYdG
sOAS3TCuENWcRydW4tABm7nEnNdAxKpEwxE4Lg9zFJq9n9N5elcg6L3nIezZBWT8TaspgtveVIY/
4AbY6lQWNWGYkmjhYUEEa3eppM3GRxNY9wgVwpBf1ob1HiPFfC37wnweTVPVlLr/rKFARfuRD501
BgUez5jpdRrfRCa/bMtmadGbIfnSxyzeFT3sP6IKsQvPI9vGTRkKTMhj4kU9/h7H2jMXYTMEFq/9
5koG4WVay1e3Hhv3Sl6J+41ff0SFVOXx8iimGnJ4y9rJGVq+LszAgynzohu5/tnWrngbs431qU5G
Yu8yybUnrzLnG54z+ae6nse7n5c3dKDPGGUsHpRZx2TEF5nHR3LOjnky0EBvMo7NWM4g8Kit/Lla
Icaem25hhXLpa3grq4w7shITues815dDnyiu3YzBBVaAEPETTivrpW8EhmKDWsf7VTVZA0L8PWOc
xDdoM3D/apl8aahbK/2waeaIITHcJh88hP2YRqb57JZDY/iawbUtQLN8yaPC2OkExt5TuwZZyI8G
tEVIF8uDPWoT2ZQMZK8Y6ukuma0hDqSlJ2+507E0YZpHgBcIueZ6HxbrTMvtCZBt5phqjWCZdDYw
elEtO6CJ3Euy6JabaKTEB0P3Cvjo2gEajK2BvVs1zqCPV/5KygdofYg+BNpbbrCtICT/Ho+RIDbj
cvcCwJvum5B47KHHeErRU6U9OYT3+B4ja76JtDw9ZW6+9RaNDsTGmu7AMdY7JF+dARfu5xroNwVk
VUMAPk5gqTblmbq2FS2bJ4FjtOJGN8vl1NfCOZjSDp+iTm4rq8/ea6fMbmZeje4mW94Vi9xnCd0U
NbxQlIPUfHVdfnb4VEmmzgQ+M9h/QpuWjcGZb6PTprXzJoZKyFOYa7iqxicvGe6SqJxPqe7t4phk
JdnYCl+mSYJNA7AHS9GDG8jHyjMaczE/5Uhka5pghft2tvXKVMu8iYrkrplQrzHGT8FA6dCGBw4M
yjp5dkIHHbFVxjmnwUBQObFRXTnuMw/2J1DqNW4qnMBTkCoTL7628fwFledd9Vq7TUHaBthxy7Xg
wjhqwv1cOy0ovP/H3pktt42k2/qJUIE5kbecSZHULEu6QciyjXkGEkg8/fmgXbVPtXuf7rPv+8YV
FbYoiQQSmetf61vKqfO1ngKeakNtvxeOe5oZKjMeTa6xn1DI6PpPSoU3VSmi175G9Ynp0DjFecEC
7C57pMLWVz9xnEs/d1QoAZg4GQp/JVW/50w0OoDCXjBfkbhaGzvqfhIyrQ/aqlDkaWYIGYdETnqy
KreyVqERifPg5fxAVU7eZqW0PT97s+vspjHHxNkrDPPERZtbNkpuvBkh0GwyAbQCcEn0jKw5PuqK
inSGIwQcVuAQ9SUjNLDoamLnZoRE0gIRZsp9TIONLPim7KIvbWQ+BN44PohR660zD8N2ef4QjKxq
/PBJ3RR3XS9mgioYM4+u4bIVsDNmDK1mL5IFE8/C0u/WNP0mLEXlSBYy5IkgIikOdcrRZ+D62xRs
83ZUmrj7AexlvW5ru7jtzP5F5DMm9RGzhtvMzNeinCnbpoduki7NPEQy6y7blWnm3ZmooDtfDNG3
Po3GG2eYKIMPx1OKoR2kE+7ldwc4TAjPEP2ZuXdrHEvZxifygAxh7BEheVYFF2bK3oEjQm7c0wwj
toVusVeRvDGLXr0BxA5+9e5EqtYvLWzvhSe+TeMs571JxyimqJF4czWwHyNWdKjnWV4no/GZiXZ6
7VRVvTb6RuCIHCUIKotCi9oa2p+1HQTbekw1bCbnIsCvUrHTMtZzpXV2PURSDLNiP4hc3udhA4wp
dEKHw38au8gUrfVkQN5cW30uT3yo8nHyGDfwECafTajE/Zxms7sXvYFq0JRwxCssWIHPJUDytl5p
SlD2I/PqnU8kD5U0cSEAd9UdxA1nVYRWegzTxl7wOsnGQUttVGjtledxYcvy4iMfrMNC2ncRRc4H
rxHOWUagL9uaxFToNRblQmO1z2m82eVzF3wMi+7LQtOsVTcmzjroqxbbNe7HfaxKO4fZZeHA7EI0
V3NyroMZVLfmjDeTrsLKX9XQSKC2Z0blUv+r8n2eleKNYj9EnKqJbsh1BhVGNzc/akPqnz3H8TMD
geGeXjpslGB1VLc2spJnOlB02gAr5V05sS+QV8atobKqU25pGCWqry9jWuSgArz+Nuim6eA0NKCt
Exkcimluj2NALEARpripGJ9d0qEM9m6kiu8L0BP7ei2bby7EgZ3vp9kv6RX4NmpRV0fm0mhJZHZe
BGWIBS+9bZvKzdfSo59t3QF7/jBrN6Uy1uiIqtULRjawQPM2YJA39M8NNzifoQZX6ZZPPNlmhf05
GpIgA5Y2Uv7SgfsdRfoi5FB9F1apCLOkxiaQPAOhRs977ZHrhsPW31mm6r6nbcaaDZCkIBEg2yyi
o8nFues99+ZQiu4TN3OAzdstp/hXTJ051twup0vH7UuOSb3xq/Hj8jJ5tX1NRm94ZiCtvrttErxF
g2R8UZbkt5iMz8Gir8OIEPDdyqI8GL6rT7adYhYpfAW/jfytmRUESgKV06rbUBiDO9pas4uKrtrW
YtPnDaqG3YRMyfLJ4afqp4NbpubFHZOcoPvIMwOeIjjefBjA67M4xUBdUtoirHBBGbRFPWx6165Y
zjQGzcBJbXJJ4MuOnpx4jFioQ1yXuVyaCWbjKYHFspM02mxrHgp7x6z7Uz0nw2fN2YgTRpwT4ip4
F9ogeQ/t5VJGUTIvsahtAmJ2Ox180wlftGc7H4ZdG9BkhvEcBjp68so5JVnIy07uJJ9pG1AAl732
PazdhO2kKddNlzyzMYa3GvomUfDmwXfgDi+jmZnlNcxDLqrixfRKEyu+8SAUQB4asij0EMHOnelj
a0tsA4TlC7qXY+ROAS7ZKuliDThjE9OFvE193XdqW2MaczknY0jpKx6ViznasHeDP/5kciv3nOXd
ddPacgfMXqyzwj/ZXUE2EtryqvAWCDeJKKLYBqBlLmcznawb7VHwNltQMnjhuBqCva2bbEVDZr6H
wzU9Nj6BHHsIogtc6l9GTdNcM5Ot85WyTwnC7rZDzTolrc4P0kQesCcFMaJuhz3db+b3rCc0zxmf
pw4boZM7VO62o3uRuuoeJkM/pefMmvYZ4YMVjQzTmkO1v+lhKY6+SY2GO/kHr8WTbhYq4GgCI4/E
Cw+IKrybrM5c9Xla74K+g3luVNvaqOa95SfVqmjke6vpamt17d/0NdrBHJlHek4xXxkfie/uKlCD
7FPktSw6+MjN21jMtwOULuLSz5ASLyy5CEaEvG/8dv6VNtGLJfG4UChVs5vGFEPy0UxGTBGIlKIn
luqZ3Xpuo2EjDct7rpa4o1nZ3ydpsbGCPrqhABUsbttvpG3u0qGm/VuM5P39z0KRvLALVO2VZ3Ai
iMZh+DY78+eEq9bHc7trYE2Nay119M2suwgXbxtkJ7fF46W1htyQOHtr3qomeYXqxyS2j89e82wG
anhqgkZu4y55FE4UHwTzRRhrang17DbYTtiGD4ozzHkYWgZTxMO4zbV58pxEvEJ8KvdJ0VDu1cWw
2pLGRx4d0+U4Aet32lcADraMjb5AUPC18RUY7S4upge4dfIHxA3GxkadI+iA4+4Cc28re3Ru+qAg
4rhqYopFcrtdXs9uMsoAEJ1HhAsr7I8RqAK5E2NWtytUTRdDvYktb0c4gIhjxn4IjPEggL6Da0g2
HdWc+CskoqnfjRw5CfWuWzpt3oKIfuEu9LkB+a6MGDxiFS1bEQ5SAFgrjkURl/2woX8DM1K0zDQA
p4Rv0JyNbWg0nDEq2jzSZAbSxzPuJWhCfTEIjsG+xHjc68Y3r6lBocq2X+hQxSBYlsYuddZkXzmd
kMJVP9MZEmjqa6Z0VjbvaK8F2JcB5ooKA5E7grj3YHVeDz2g5SQSzcr8TsTN9y59rJYjr+zhhcde
3eEZVGwdcsM397UFe469PS9NjMXYxhUH9I0Hn3snLMH5avT7dz8v7E3Ssv2jd6y+8+jrzqCaHHFO
pOuZR/7RzjoepJ0TnpzYQxToOOSTZUIjWCY1X99P1a6x1ZXfHkMfHCXnBAA5sMtev/4JiUj7wfQ5
9n+RQYXnzQfGpPVHV+B7XE+tjUoQOOPtSKMF7RjmMuuZS/9RZryZzF898rx9s/sSioncMkaZqmAz
ZOjGeZHUmHkTSngMyY9YxIDDcHKVe7/wum9V0vMLUPRWgDWd5vsO4eWO/nTrlRYzPvUyA+UajlN7
bL1yusumpdsYg/1hzgZIrrXWPQlYfi/a1sKn2uPY16i4BkWm02bPVo2z/TDkVE/TVE1bUDKjiiBe
shhgvSdVjFGscpVHe0ZINR3XvzkbZ1lF9QfiX0InW4qiGMw3sm07PO+5hHPIswObVhnN1a7HleOe
84ZeBo9w5U2VzkzIZg/xKpyz09d1Z8AC3KmUT8CZMadhYZzv474DPqIIpfDzxbCXjBJ1DQyQO9/n
w/Ke5ANTNov/5bOarpWAMYeNCjYpScKLXVrlvlqkuG4ANCiwZ90C7qEkC/74zne5Anp3ae6RannB
PPUfI1saeDAVjUdg4ja9qIPNVArzFWjfTNDbbY+iXP626nm3LKqKGMw7Ql8UL0TzRCs94juG+RqT
ycRi3pMWTzqu+9hgew3jjQn8l/BEQCT8NVsuolIKZ9aZeVE8fdUHUmLJDLu01XOPueosrTE8KWqB
P8IYfq8OY24dI+YWdp2B2SR1GaewtqqPTHT9UTaT4ax0p3ITukUeWg8cDvgNS9tH/gqjKGMHHELi
lWVinzm3tN8gSfMPCsIqp6HibVIdxNUxozj964a1uyz+UcxF/YGthW89DZ06EWUJjz2SK6bDwOg+
ZnwbEX3c933D18mWYBGL7/fB6xScVuKPdV9/0vwsQTzBQ+5UG57Mnk+n70Nu9ok7MBy0RLEo5b5v
Vb+NKl9fHCTwS10AoGxHTwOs92frJo9s67Z0/PDk5UtZYM/Jx9uULId70/EQPxiLBhtMkXI91khz
Xu0hKXgYftYZPWftaqRB7eSL2fwemSnAUegDOOfiWu5F1XpUinA6xUrB+ihd3qkIR8gTOP/wl6BO
AEdUv1yDrUkqjZBSeEowCYfsA/R8MMQCCg4Exz4KdNTPwOecTHbKml47EkzvkwoW8iAb8hYptY62
MdsKnozYaM5Wp8orvZ3DU2KOwY9aueGvpJrkSXm448jK82Ryk7HZaU+QYZIgmI5KNuFb6i+M0q7F
/7YRFQL3Jq+Tv4C0/4kD/DujgxtQAfiv4gDlj3+yOfzX1/xlc3D/WKh7DkNJ3AToXf/tcgiCP7jk
sZo6iNuLq5+/+isMYP0hPEbFqPCYD3x3mdT8FQYQf9Cway5f9meG4H/jciA38pvIHliOxU9BRyH2
rIBp5j8OFgZs6ckcT8bSdzxtKGbPP7wU9vNqSEwuzhjNik1YpyE8D2A2kQcwKPhxW1xmP3SntWWV
YJvMRP0QkDpuZwq43qWZUqccyYxmYr4K7F0VYtYp5/K98ELnaPqWfdsmPLkhP7fOBTUUgjTYIlKu
ncx9atGCR0F350M7DerWVB9F1WIOwkH/0tNw9FZliTLWs8rh22ZmPX2ABymmVdIZiOuGE9H0N0ki
ViunF1G2rf0m+x5jVwIH2hY0yGrK3enf0Al9UM2E1SmXA3L1ROcMvaAz8dOWw+cWFUjgnXdkyrEw
SJ19I+G8rqY4jM9OKlSwxZmXUNBX5r4DVSKrPuuurt8qmNnXodPmenDy7iaS3fhJ5Ll84+CBgIhr
U99wwmzudZ1GH3YMvilJ7WVnP1DpVtRrHy2NaotgvM70Sd8R+qpoJAymhiFHMYp9PiXZNXCK6d7N
nXm38InY0R+FGGkDb/DDq3KAbu7q/cgO7s5qOgSz1Ck+IY1BDJkKoHSeRTyzT/tHRwPRTbqu27qj
dg7hXFvIIkgWJ6+PxCbVHP6RZUEiMaBoTmoG1IVY7MmITGQjzoFZ2HCVDJ2/OJxyHwc3wzI6WOO8
GjJlvSYiC1/ZZUzHevQoFOdcfh5nG+pGSYKhmrW7HqdwPs+RNXzLM103a08W7XkM2+aGfYX6JaF8
8DzSPZJ0lxO1Vm6Zb2voFummHCWZYYuU6gXffmutJJXAH81Xbwv12d4+SgoSbjbHo/cUsGy+9N82
yMKNE92VAQvpgZlU8sDU3vlmowLfy9njuzGYah8t2nN2QxO7N5ad4oaOhyo+4PlHcdIUGtm9ag6j
ttQDFh2wZdR+vxll1IIcLORPyBSi3fmMj/FbOkhd27Fp5AMJl3lc04lZGa/MFfy72E2whqsApBlE
uTn7dOvKkex4aOiKzLnYSI9Ee1MApuVzzJ4RrOI7MaXdpbM0NDc2sHJrVWNzjsPSBYuho2LD5Vo9
BU5jQtJiQrkxGv7eqiL30iiOqmyji/qakhtLOgzE3OWvU2mlLt3bETNZ3p6JOSTFaiox+U8FA7Jn
Ki6VTn3YEHIy83NpgqlA8uwoDaA8COJKqGhTf9CjcvQp9uL00Iz+nRWkeHNd1FvHQQAFWodoyCRR
bTvGbW9hSIbdykNsomIAIbTOartiRNV5j8PgIZPqxGKU4iIAxbhjry45gnMPn2fv0n++6pi+wpXQ
RCFDlW0DB7BHy/3yEHZAX1YJ1KPn6cuXTyLDTO9EQrec3Lg1qYVHd8aRg5df+KV3ta3GOIxD++Li
Fb43skAu8w+iAA6ZABWV/qVaYgLFEhjIl+hAPRT6njiGTY0CwQKk2wgSSZffjzyMH/I/AwjQ2xyZ
bwWtHxuHnAId7wlxz/hapNwfS5TBJNOg0hN5Wl7JMRrEV2IPkvyDvwQhPBIRaUpap2HzwLCx42WW
2MQSoIhBYx3DJVRhLfEKsQQtEhIXcolejGgnWzrUjQvMUGTyZbXWg/mtXEIb4RLfyPSPtlM3DA/y
ddibnABtJBsLguCOudEz80SSBeRBAgFosSAhQl1ZviXY9GAu4ZGQjTr+9lt/TNO7nnwJM0BS1PpG
LMGTwqweVeIUq2IS/XpcEirmmCn2tktsBQZKcBAxvUtgNXKCw4zfVjNRlwbUyql1upt+ScFoGai9
vSRjrE5DG3FtgS9eZvGpjYSLe26s5zeyxt1FTqO7AxO3srmMbvwlf2NGzOvMr0zO1FR7wyuNPeB+
riayuFf9FePpKjhwARbc+0Zr+eAAEIg3EDvy+2xJAUE4/SGq2DxlSWTdzIVstkZHynbNrtJallmq
KFcBl9+ToJ1o41lehU2G3NG8JJDYO+prvqSStLLa5zmLhrXhAdWwZXLvtUbDLUGeCTZ2R2SEjBPk
leJR5WF4D93OXbmLRcyrTL1x+JgkJutNtiSm8in8iJcMlb2kqewlV5UsCSt/yVpRs71wbv1Tt+Sw
poFLJzXMb96S0fKWtBZew3ANVpySwUx8jnioHwIo2ut5mPSOfazcDaPIfy0zqiuk6W5JhY29S0Cs
xeN/ZY0xzmmfECBr4qJ5oDsWr9eSL3OWpJmHP2Avpy7+dL+CaJIT2FpkwwMXYX6VlZnDv13y0kuG
LVnSbJZl3gm3czdLrutYLJm3PHDkxhiWHNxovXuqxQhsGdljsaTlvCU315PY33VfYTqWwyVYp0x/
je2v3IE6xFztOf7eWrJ4hvLlyetGTRVlMh39nkfklM3+0cgt/09z0X/2yf9un8yOjSzr/zs2e/NR
dh//GJr9ry/5c5ss3T+8ANOeZ9KVxPjOwrb1pxvYMu0/TEyonMSIrlJkg/P4r30yzpS/9sWEZEnP
WqTqMXdZmMH/N/tiNtn/uC9musMsSQQObk28Uv7vxh7UiyBPo8m/KWyOkWvbFxYFyxYRkmY94OLo
G0R28h+I9oVThdeq1MB0W880WBnnHmPxYw5rCZtU1/nE5rcGDQlueAjCwfLZFypQBKLJ5/qaxVAK
xa5oCXaN156G+3hihyoYqbsdgapo16Pq+WflNt1nFo1MlhJBssY2xNqNGazmWPhIaGLyYEasH41g
Bj4/M5xnsg5aCN/9AmWb99jhaQcvJyv31mlncpOIltLkQ94EQ3MHgC97bJtQvqGNOaxK4HOtdduq
tL5h8B6zYdbyFc+NW/EttD9vJ6orkn3NcYUWH10WW8ozg9usKf23hq3oxpDV+A4bA3Ys9+yuGjjD
I4SBXEmVDf6qcmIDQ09lMAubi/yYAol69zuvebU7h+2wVSXys5LBZz7pa2C2KRaUjDJ0/ggvavCd
28RLzAM2Mmvbp45cT+y7+DeObO4HpBaI9lqbSO50pq5IYMliBQQbuKkb+no1Wp7CSTYXdwNJmBca
AghUtBrNexb6Xna2ZuSYLjvuhHEEaQgjOcR5mvzgevDu0wyfwFZVtnELJ4i0r+e3gIVQbMCel0/x
LIBpB0N1ByxXrBXIC8jWQW9fXE/Z3wyarqhdbGzntnIXTR25iUQJ80CVWPNNDsJCMVlzh61ll8OW
pg2wLwASd85IXVfuphPom7CZ3w1dMCPAW7OHdTEfXZoMPtmOi2PcWfXjbOrwOhhNda6MaCj2jGXg
IQ6zryx4PcrtKRhY/fVf9jWYVC6GZ4PzWCcmWRUKNZV0y/aUIsqP5Ym9y5hXG9GHTSp3rLI8OIAa
4hQYqbaYtxR9WObn1zLxnxX1366oeMT/5YoKYnX4zPQ/gAiQCviiv6QHeKYCeztKwhKv+JvyIP/w
kEVZZvFJB2xKWPz+XFEd+YflglUxCVDQPWSZrMP/d4Wlz4B1EUmCXr3lq37DDvwrDIH1u3MSAyrx
D/z3jkPTlP27BxZxL26DOYxODLRpbnYcS9yPFrK+M5b9PmkE2pf5PTVGzo0NsC5in4F8IJDQH1pR
qL3TWM2evTPi+9/exv8phmD/bhHG+ej5PIlMZFGXx89vmsjUoTZmduAfhYJDdCvZEN8GM+NTdlKh
l62sgdpwCxvKNmmxEEWc1oyaMX8B+jz8EZSlhUbvBU27rbUoxLe5Nhgkx83Ys2B31lsRE9ZroSbU
CPXKN4JNjsvEvOXQE3QGBLLeCA6U6c4b18xKuAVWPrrkAiuYsO1zrFWEm8vA5cX8Pm9IOHe53sBU
ZrPNsV2eAqz2i7zBrL6VDMiGmKJoOQbO3Wz5w7Os6nw1tk2hVqzgOVLPmDbfC12YtNU69H4qJm/p
OonZebK5Zae7U6Ed5yewfHm2S5SmnyUF9HBfLgYgzF+kucKXKYyMfZvM7amJUms/DE73mZhxeysL
b9r4aXcDyuZUg6x7EmUygZ+Z9F50Qw8fK1anyVDGJhEzKy5DcP/auI4+l1G8M2grRIgarOoB48+b
6aTdykgAFG7mLI9fKWbCDGwO3ngxOFPfEwckiy5i3W0x9EznSMyP5hDlt60eEricsgTQNPpWtCOJ
435vO1hhso671eTBUeTJbCb+gxlk9YNCil8XYVDceWoW8Aud1souxO475zmNSNRN1OPdznOzBVnP
EFPm45PmUEydFWG0ya+9PQiccleLHsub1frDunNMf+lhsg6TE+JnnKWxcmYTQJ+JTYNGgXGN096/
511vbmB6tthBc/MU0dJ2IhAQnGLck9EmLM38te6t7qkSIOyb0aLPNRsMihO6ZIYFYU9nR5niRyRi
f0cAstmiLUGitFW/zrVqt3ZS9QBjY+Xu5oYuo1Wd1fFHxmVP51Y7rXuutNXMqv9gCmAzwG7UjTd2
w5ZUquToHedbcIB42jDV8Av1DkVxRYt6NjNhbJOYS5qS7nA3qgw/0kxA+NXjRdawK3mWBnLYenK0
PuwojUG3af3Tphn+0pBH3wTT1B6IxiM29nQRvPEkpj8y5LB4tJWftptqdHTMWI+4+54nMEqS8Lou
WNlNIWy0oyanzoGGnk0e5cySOcgYT97ULcNBI2dIgkp0I2uPeP7E+3hUcKnwTFp5fI4yv2RuDQLW
ceFarl21tFooYK3a9tJVGYTuJ5nMERpYPrZP81iXZ5mDLYNq1WQXD+WUEi0JdjJIlrsrDhqyk+w3
1B56vgNvs5fjvShJSe5FVvnHjDSmjMf5u1DztA3Hzj1Kf/Gf+FAgCQbA72QlHN8oaw7aVR34MG8L
XBjWJmMqTagSdKLGbteKd1Jqcth4BPwBXYGyU1fUOPdInxONugBdBWFM1cfFWVeit8k7KXWsIr8i
asAiAuOSqTHYEeafK8VQ4xahbbz3W4U9ilYQxZaU7NItBp4aUTGIaQemCduAsG8BoKjb2b/6LAc3
RQxUCxZFXrywEWroDHb6ajvRrH6h8K05GxSSYwZZlKlk0agEW6h8Yw2JuzEXDcv/krPaRdlSs9de
RjuO7xJ7zJ7rRQELFi2MFBqsh3qEnPwllXldln2mEc1JtHIsYprhtP5dl+jceIU7g9w2Lcqb/SXC
iS9BLqpbv925i07Xzk5z0oU1vsHxRJ1d9DxrUfYmJD6MLAYUtEX3M78kwH5RA2OpUkb3qn30nAqx
MLT8+H7JCn2rVJE8CD0V1qFru+gOklNNSEf3WY6JNe7eK0rEipVLqN/bt4tKGS56ZdzIhvpra1IX
vAMK8ZxBaUwMOuBom8HUp451UT89BZABja5Xv1jfERONeMQ9ATDSNyTfIpLmfAaY4OxSTQ6qzexp
2yyqK2vDdMS+H74CBbD4g4uOdZ6bPEODWGmzWlSYGXgp0EnkXIyW4mx9ibxC24vg26H9IrIgA6se
NklPGuLrY6N+Lr4pOE1Q4OHwSypLbLE5fKYOcsUYYLPMmsl5QcWrj8Q2xJ10YtwSiNE2ciYXopc5
t5NRn9OQpX/28nOkgxClmq5VQSwdUOxE91aBl8wEw11jU7tqD8q4y8GBL5gn+5YWQETWcRHMvUU6
h6ptb4pYo5q1/JEEpvGeLoJ7azvTjes1WN+6OkaQ96T6VItInzme2LQAEPbLvuR7voj5XKWesyaK
jcbvfun9epH+O6C5MXK80944wTI+8JyYOYHVzcLdDtoA1YOsKJ2dbo0ELB1S44uf9n25bZZBhPs1
k9Bf84mIxs8Qiu8yt+i/ZhgBrhnO0sEiMH5NOYZl4AGrPXthC8fHBQTUTdWtQT3Zgzb9x2wKvX36
NTtx3BaZFW+Yc+m+pisIHPZtyNwapT+u3vUyhumXgQwTCj4vwLHMaQwnLd8dOCS8JmMcexnomF+z
HbGMeYKms84dyxl30TIGwrfBRIh9F9OhPIA7uCKzkn1QVfXWGZaPNYNg7XpMZX1K0bTFirvOoDSH
6Uq8HnKmz2R2muIBwHh/rRbYkrtglyZsZ85mgQlETK4BMw1d9xDJkYc1OLgLrGoCfRW32Dmxfcvb
IDEhLI1uAv3EK1z0XwjDm3CBQaG8Nt8D2eAeamdDnhCXIA7TZwWJHbyNpM9jhizVLpCp4Is3JRf0
VP9FoaqTHH7PZGAZXYk0VefGmjEQjl/8qvaLZcX2pP1mpwvhSn3Rrgjeg5P5YmCZXAPhVi5oLJW2
PAnIqpfNAbq3O5E1C2NQj9BA4MfkTvA4Lait6ou65dKTdBO0GQttLBcMa+Xn6aUlKToR1RAFYn0w
vbS2bB4YJoj3JgzSfeWj7q+yJANWYYULuUA05b7pWjAeRlRgaYutmUdGQ6YEo1Nt3VEpGxcniiol
hCMBir003WSdmxjI6iDNzcWfaqyADPvmZmLy4eAQC7RNpdN/jnX/P2Xntkm88W/nkX8qO798YCj8
KH/8/Vj35xf9eawT3pKOFyaalMspjcnxf0tlQoKeMz2OaB7aFSe/v5/rBMPdAKskgpZjm4hof53r
xB9LcNfikChckBv81f/iXPebbsa3R6czOTvRmylt//fIaGkOaVvEGfWRkUVVacio7hxNkX4ueLit
o8jz/s1x7fdzJN9QMEA3PaR/SAL+b4c1jOgxO1FfH6Ypbe9Nig3Wvj/+O7bj70dCvgvyJBN810Na
/KfTau91pmo8Kis0VFE2QFNzn1Ut4XRu5q1pjDlIlXbcMJMyHjqA589/uwb+pzOpRE39xzAcp2XT
XkKjQMZ4b3+PrQ4a/40WPdNKOptIZIBSygUmLzqQA4qG4vZE6VPbUUoqyFXU2PYXW3xiJOsOY8wj
4ykQsBX+3wurYYL/znJzHGpjtgN6zr/NK10AlMmNWYGVS3FeeWGHYtcHWv9qep09OGlAtAT++yFG
xWJHDv+88JHrQrrU9ksejc70yGLQUzUO7VoAHOaD2UzWkw8j9triqX6y8W/e9c4QwvPo6o+ggEq1
5oGqfzHdxwHGcOglH9jYd+lUnkPLyNdtmCDAjpVdMuA0q/c40fUb+AO+cJwSee4wEG0JS4cPUhGT
2qiuNqsjb1VZsG9AMl6HhI6dPX0i/Jqm6GzOXYn9pCuNXWeq4luvmctz5UpGgdiLgOeJpL2vcsWj
SAkO7SBwcOj6MblAZ0oOmODGDaSA9pQNdnOPAZD620FMex+m/hEyGT+O06uXFGfvS5PO/iOfDiMh
wv5b4PL5eoDB96kZza0jYXENjaV+jvuweuP4xCdDD4B58EfJPTTilHL6Up59jpoHyqj0r3Go9bPZ
8iX0p3XffMqtzuEUuRTk9tbTQOrhW9qP5XmqKnkuioB3BBmTya5bjAyrfEDDgLbzetvVIcPwUtnb
qrGzh9qPGTqTu1tjRWg/3ZD/jTIoGZRmUQtwIM0Ad8cdGrZm3M6B0eu9nwz5kQlofdWiHnlgpFhO
O6dsS3YQkA7qLkDgnUkkCdIQe8MKs4eIKifSH3FzJcbvEbKK1M/M5CFV0qy6K3LTZNGwqvdkatRL
KKv5IhvFSwH42decxlfWxG8sR6O+hoiwEAgb79aITEWEhd/Fd1NJSDQu1oqxMLUdcal+ErfWe3Rc
9zZy+SRCJQPK5Wq9ocEEbBzZVt5Xus0+iL14ax7TKemfCU8imeEwfPDNsPkEEz5fyjHWz/ZYAO2v
uBnytsl2SC79DzP1rScOH+MGdgfmV4P3Ft69eUDU5q1eLtEc5vJPjYSwm4Eo4dOY+SRcv9J71+L6
59Ffv+URvch01L+NRkf/QtLSNRn8wsltqlViFD6o37CwUXe9dxM/+yJ+DC+RzbW5so0s2dsmnlLX
pZEnFIowiqgJd3tclIvHbor5oHxh9FRvu/VtTeLsVvajdztAq38qk65+GzwffDc5he0s8PDSc1G9
O4Wnb1LH8B6nYEmUGSlGvqAcq48Ir1u5Thz6fLFoZJuvXy6IuQkYyxsPk65LiFIU9l1GBuPfyNKw
ZYU4T8gu4v2xeis8TXlarP3RTA59ReHpegqnZO+Bxv+sqRrjYyqygeZlTtKvNEDIc2pq4WzpJW2u
vW9Hgf0tyCSUoTdVlWP/mbSD+5ZYZZFFB+XMpXtI+tkot44J8OmimzH0TmPkDO4D3HG9atxJP1sB
BtnKX+o8LW9qAVfMtGgD8MCDb9uSOBt1EhhzyutQcWDpucJOrpHd9WZHNaWZPxjecHWLutixeffu
Z1y4K08QJmq9iFBSeMWBT45RcBNF9hwfCzt77mB3bNkND9vB1d+TgIirq4YfWWwDMi6jTzLvMexp
P1qV1lCfofqPW4B8E1mdqP9hJV2zjZIO7n8T7pAirNM0Z3ID01Gsc+HBmqqj5OrOLj5uWSu9pmLn
5KfBychovEzyBlJ2TbPDkbEbqoQxEbDA0gMjMOPwWeT5r6im6m7lUHu2Z+qr18wBHjSFr1u7MORN
Gkf1pfPTkaofbtgmLaybBNb7dqCIAYIDH6RtKfNokgk7FAKbbN07AeN6AyrX0jOocJvsY1PUa9so
zBvaPORhiKxHp6Di0UfLPFuldPKtzXv/2dXj6K+95v+wd17bcSPZtv0i1IANAK/pk0kviiL5gkFR
RZiACXjz9WdGVtc9ElVHut3PPUabaqNCZgKIiL33WnOFxrIi2VGHtuXdcLBVirXfGnEARwj8W6wf
BAH1x3gMLSw7IcMNL9I5cFFLhPjY72MvZs9jAw92A5KXFbCrbpuVor4HfmOtrE62uxgpOkdw2IOr
MJheAhgRK0LqplM5xSgFcimfQyOq/LWYxLzHfYpxwRfohBEBEgY+uA6Nf6e+43SGD6b3CM5QrK9g
2VhE4FYib2lXivfqys1bdcKou9CqNe2jPSmkHUnCW9VuUerWQM54ArEneRdKNNPnZXSydZNhigva
8jDmG2cwKpxFYnlVoFOP9lwsD4oUiphSNDxMixceiz6ab1PpLJsh6usLSUdoLey84HGXwyonzxSn
JY1cv3Ulh4PZIpapGVFqqGBXG0OxNbQHekRQswHdkz35AklfYM4jTcWZ7INwMHb0Ait8HsVdbhns
5ehXj2nq4JJyh2ETw9d7zIPY2ucpTzwE/uQYDBMl0hi5VxXZRrjxRuO+IIng2qqX+YJG15BjuwaF
S70MyMyN6+skWvzLcGJgtXbHEQ8RbH4PP2cir4iYt44qKbD4pYloTjlpvM891ZlLW5DUCVqUlPfJ
jE10nRFA/qcqNAcXpYAglCAzB0J/avLHC6PZ94xGn4lfSHFgyzS7dFF6vRVOJvA0t+5AJr2FEsp7
DgfTPIyJRMpD4wSnB4xgufMTb/haZVa17vJRnwtUfTdNQDNFPZDfFdAaOtH/BBMfzX5GCKFdJMfG
GZrLsG4rd91Q0tKYr7z0AF0wakkHrbyb2SYca0lK9dVWiK0xrc5S3xuUxPqIlGUO+5C2vWdeSzfS
xp0dlKr7Bmp0VDQI7UruTNmy4ShW4fcyz9Gvz0Z0r7Dm8g7g57/0I1NFm9jT+uUkJdIVNNXNQgzL
vYHoia+bOkTKUGcGm5gB/rrgkJcwp5jU1wmuutomHjfJWtid555T4V+Hrzq1rYfMmttvKvOzYGMD
PeWcXGAeIyaDGDyOoeLTRG3cEtZV1+XWpiO1yUj+OgL+KC/zZiHYyGyBG1RMGbsmQ7tZKHx4m8Rr
2dzDojLuSzI1HlMbTmdccNKAtayu4+X8KcL6yaGBl66Q/OlFGaf8e5dxJklDn+NJWNfWLctg+c1R
oho2BoAUdm2gESJmIVoVZL0irFTzPiEh9pHUHO6dVRtBuTaLZt7HhZhPJgPybdIP4yaO2csrDlvP
jEvhaM76+BuK6tnvpvyIv4+csNi1HoJimt+DWaV7pEEVnIU0xEEzYuqfvYjQgAqY31FS6f+Oq/JP
NYQmzlAvoWxgBfpR60vzQFZxbHSH2LDriyhkMeQ4TBB8zZz7DrUrx3unDjYDN+alnZsAdSU5gpu+
835X0HwE+VPC/PVJUETjkACT/uNn6SsHBWJWdwc35eQPt7j3bnxBfnDc4XiYXQ6EScgv28XYHvy4
KmjEe84BM88LSYo8mCVd29YZ5lM5qvqp7133ZmBS/3nkxL37dfWlQyl/Kr4QSmtlCfmQqKV//LCE
vUh/MJz2YKTaF99i65kVL5ppZXRme546tiIeMBjP1oPs2mBjsk9pa3b1minOzT4W2t8whM4D0h/w
KJRtPiQx/aF8SG0fCt8YJCo6srg9AHXFnhriHNq0KDkIajWGfdP0yYalednODmANGAOcoDJF8eon
+jV1B3lPzkN94eQCZEbkVd9offl3gYjVltTD5RAZTYUCoPOMza9/Ts/6+UEEvxbQvKCodsRPNBuy
d2EfzGNzmGr2NPqrKtvWBSKWCh4Cv2U5bsLE8d/B+gwHMD7gsC37NcjUl7GMnW3qcVwyPKDevSqq
q6Gx3edBqfIqXRx5Ms3CebFdmUxXKlblcGqSJMDTZckNva6FBCZe6IKl5BCHqXdjWona0jDjvJoX
4SUHSPxwkzOf3ITTfFP346bSK4zt9sb9EDfik4EFA3pLbHoru3QhdDota6xwBefesYLvRmr0EcsO
Z3aKZeoS6JnGCh0IT0gDNAQKgD6rT+VS35V5rdeUUB/bJQd6ZqXtymUE+cl1pNqSEoRACAX/Zdbj
00NFSM04JMOjpkUl9M7t/KVxeikuunzxaVZGY8yPlCK0Naa2m7ZeLAly7JUT5RDDHSYDzdqzOwO5
HV+otB+ryLVwnzpKHn2x5PGRpnO6IYeZ/yLiQB9tzBa51TpKBTOllceJ+xQSgPzNz4nYYzfmTN+Y
SabTXhK+cUwsE3M1BLqrfOIo74NlWRmk4a0pp80D1TdLLNDkL2ZGqYlHy1u3HjSRdREqzGoNhVuQ
uOrrnPVy16Rduu8HTlemHHkiscR1m6QU/WOX5i9+Q/0IKUU9B2PupORiaYCD/u1CidyabAJNXfQS
477JbOeImJumjUMkdSQTFj1GSfmxw77/OoEzeXXJV+e8n9tECE/cT6cLmlsq0eByrk1mIyNFv8jL
9ksJboUwUQsfw8Rq1OnarmTqRSp7R5PcXfIJxwQJizuLEMhj02ZULaXvrDg7+XeF0/SPpgUjB5NX
9eq1DQY6lwpLWVTPGyJs2AE6IqLoMNNQIoBBXeP/JOSFDnL12kUluTFBR2UUuUwSSDFceEdaPPMW
82j+R7wH9Rv5PvwqBdmYLdXhiqy85VAm7Im1qunKMbWFeRzqLTRBh7zzZgKZ8VDWT+PsB5fWSJuF
+Uh4GSOhvEhnv7wUiKj2DRvovgRFvq6CcngM0IuQaDCn+0B3gJgxqutC0h/yU8rkYCyXd2ys8bJN
g0U9E21+O0y++oqhlXLb9Ai1Ll0mryMxMohSsEoZ+uCsP/XkajhIkFY8GFWu74EzgjLUr+qk13cT
Tj5xbWxTXj31u6kpMqEjakmqGVI6I7p4TSeTAj6Z3PrOLBvuTJVxFDnvxQQtlpHu9czMffBq6UMv
fR0Hcy2NVb5d7s+nJcaDNg10186Poa2n/TzetXmYelLe3JiOh9PO9d2541M6PD54M7ABWHROkOvn
R4K4UtRaHKjyQASXfUQQxrk9YMQGP4NbU9nScOSn1428JQ3mnVQ0hMiqekcbM18tvG5oeBH0R6tx
ohcWxHSvTDXJ+1q5E3NEfG/UKRzJ+gozbN0PNOfKjlscj4y2p4VvZAo4NoxteAUrZu4PdgS4itaO
CcWmx1nONIN2Bo27cVsWvDHxVHg3thSahWeaDY2voQV20tARXFxZPy2MmXJUuGP9FiPk2wJQmT+X
wDtXkd3kR0M3V+DDsKxR0WO11Z0a7bleBRw1AGAsKX+nwqbZUy8scY7F5c/9m/MmOUl6t2WVuJBy
jD9Nc9HHZd/g9uUFh6W6NeXur0cTB80OlUB+LCsrujetvLxUlS03tecGl/jm66fKooeGn5qeWq/P
ymPhaO8IlRZ2xY7F3bDbb1UeVi9TzGGnMevwcvRZZ6uRNItVwjD9zSwdboiUKGpayqctOXW0KjBt
XurnuW70MtxGVQuILacjGaY+Z17Z8MfZRLH5IAR9SHTXm3OJ3gUo0F6sgEfCXfr2W1/j7EysKL7x
IZpBk9LPD7FTB0odmpGCrwPSOj+ej7cB7qNdLEt5XyCr2GnOzQZZqv1w3husjhYwOIPkxmfJp++k
1RGozW/82GCUHI5hcFmHHEPqWdoPANWGdUho01rgoEA4yI1PRGY9KNKaV2nPjQxpEB/n3CwvF1wV
lx5BksdC3wNY3Oq5JaNF7Zql4nA+WqxmgEge55FjspL058wqtx9gw7HYso49VW2gngGu4vvVQWXn
luDQ0bQMbDyUMVpN7K8cP1tWE7WmzJGkXU48IdXE4QRt96rgxd53WEgOdZXzUszmUL0wJ6RBPdIz
dtKIUqHj4OyIetzYNJcJndQPz3mZnbRWhM4R4DAEl1+o6mecJbb2gkFDoQvVOGCxaNp8ZkKNkxPN
xAwxZuDHNFnekoH3SMI4+WKKQVHjOTxrBl6XibDaFzufivRYMla+GFVOE1EvlY7Jj9IQP3yzBISK
5mC+6XrBg3LqkP0hoWXCO9nQnS47DMTo+KwHp/b7P30Nw+r46CCbUPtDf6EIQR+qvrZFw5GjxsBy
JIqRIkalyQ0ks5dh8PjVICY6R5QZvCqD5DfocpNqaBjrJ04lMLyR94Pzyc0q5NzSe+k1RmUW2RFK
wWNVRZwg54E4vJ4bPgdyuZI2LfXzfzy/mHORscUYQITePEJO7xWbyrFcuul2so15R8xcCi+h4oVO
OVXGvsciM3g82ShvF4/BfrpcKbFQkY3+vJta+d67SyVAN1DAnhvFmk3j2lSmcN8LyFg1JRmK5n5P
I4FvPEIAzMZDH7jPgCjAsOtJDJEAatt7+HdXEsjHRRd11ep8XP2vAvU3ClQb0T2F0P+t6b96bdvX
t6SHQNK1P84rz3/yX/NKEf4RIpa00KDR7UJRygTvX9J+39GhV47noQNlVOg5FAp/S/vt81QSxT+e
AO2opbz518DStf6wSdAi/Yzah1WIAei/MbBkJvpDbRdwBfC2DjJYLvbTYC10ZkFT1FDA6PP3hKP+
3giqSGtGxr8epP+TOv1PV7JNE3Saz8CLcvLHKjIv3dLVx9VDYJOWVZjqRZXVtEIU0P9mJvpPV+Ia
OBhcKkQ30P/7dwlfKKGipUHRd+hGzKBRb960AzJHUS+P393w27+qze9B2v9wIRoJtguqXfC1PkLS
Bz+ndGkWmHK8zzKX76jk3zP+/T+5jAfL2ueO/3SPOkZvbeJNipp0DLdhwHBR47vXckr/g5+OZzVk
Sh/qfLYzm/b7n06Z5FgnfKMBgNzlBOwPzJrNGbDMfvOldNPg+/qdBy8QzA9s7hN+lY80Xn+Az4gc
UB2SEeiG6Of7OZ4eLWN+VAM4iF//groZ8NPFHAC1cFRpYHxkucPsqXg3K3Wg1UiTj63kkIF5IRIz
fYUDChrLbZwVocPdv/8oBsJ10CRA5BYcNX98FEVTUQ3TvTzQeqg+9bDrV15oyEcj469+/R0/KgHO
PygtEVYFHPK81T9eaumzfk7pKh2Mvm4OIPbmLarq6NOvr/JPjzxKif93Fd3b+O4B0QqLwWCodzDC
yYNzMT0OBd4IFND/0U/33ZU+/HQjDPOKgTgPSN7PGzFlrwsszvX/x+t1Zs//+HiEmKsIGMQw4Npk
w/z4paqo8IKiUsVBDTY52OZgoAlU7O2LW8xYa03i3sLGQuPseQezmaoNKZwk19RueYEuAuLZSP2x
JR+vXzcM4t7ObWQ/w+yvifi73pfvIDWdY7xYw5Xy4SOC7GvFyg7pMVWK/wvSumJLmW8zHne8gz/V
xd3chPYX6dvV0SNz7WUoOKCMxeQdIsKVV9UMLmTMeJ6lP4mYhivSthVNNzqYNWdLAtbKbS9z4mo4
JX3qjMy9IEl6fKsjVnmrE3x2YXGVzK1OcBmHbJ345CVvZzfHeSATglixGK4NO3Rfi4gvLWH07aow
VjcM8qpN56EWoa8RRWhrwepPtLE7eGURJ+PaZBqW1XTUDTjG68Lk2y0FCxc8zm6NOMFGQMHiksRp
uRWCLQDyrrXr4PJAwgst58ItOEZmnLBPgPgg6Rccd4IQci+KcPtLnAzeaYqt7CUOqvxRjHSU6tZR
z7Uo7C8R312t/JHeiCrcfuEzDVG+SnwVdijhZt71SbjUsySk5o/tCN2YQ3dxBwume4n4aU5JVqsb
0WfvpsU97TNhfyGL4n1qx+hTJ5bqOOqlMWnbSkfc0S9pOG4C+ArR4d1mqZjuM6i7R1b0bo00JN0P
ce6sOAaknEHtvgScAld75fbMKWMoiZCj4vIdFat1DZ6UH7HPvZLJ5Ei3/vzY520MINWMgkvgqOVW
IkD8EvUJfCcX2FlRq/ghWGxdovupfAkXqC9FTSpwhBGdEX+HPG9N9rjI9ylTQnVl0VcKNyKJhqck
Uka4ZWDZBujfQNKuBB2DSwNO0JfAKL0HpjvFO/Ld6oLvOG9Lpq6a2VUf3MwKHysEiQ8Owrls7XFC
B8uFPEai/k6GatdPNBWbSTkr5FLcgi6aJGBTINooL2NpQKsT4WNbN7x2Llyl9eCyxS0Yn6l21ECw
Wj6q5LErjXjY90GZvYYj6ki4BcMVUZloetIQLGU7RBPn5nB4WppF7j3Vd+SYG42d7jLleMt2QbxT
r5Akj/0KVJj1dQlV+81eeLdcg8HfJh+99vNAMsMzgT/eyZ9z1lAaYR62X8O5QIyWMgQcYY9akjvh
JbF8qWO7vMD3UdJAbe01sLh3CpAQ3Q70Zj4INLO4mDfG3FKPJMgXrmPMGVvcGOE+w1+96h22Pkzv
NM8CKnAPyvUnkCCwWhM1JX+WKvQOpRT00wTJl5eu1T+pdsb8A9OhWYU9D8ICFfMCHeh7iwxpVRsd
M0gr34dN/GfXN/4maUm8q23kBcPXPplTEuYEbaIIdh5boX+X9LyUDJunLS2E4WromnAbS95z7HoR
cB5ffgnASZ3McNoVC/V5vEyqWxejbCXSS0yJTpfzULMqTrdJjqikJDv1xuFQyZiOt172uHMGAN/0
ibN5uzSsbjACh72l913l8r3tInsFXhLcBAStY+9ugztn6KzrCrHMQ4Yp5wIOCldjQX3pQ6QTZj5X
m6Hk63vtwmtElmp405X9+NYaDfC3uGXNSVwZ3FmCYGvXhOrisVA2DeuHSAz/bknBGNlNM28iNKPg
ap0+uIsq2dD961nJzictQJo1MNWihwKSsYjZfbURI5cmbbA5pG3QMea3xrfEK4+qzEuYLyTdA8Oi
9E3zG0d11S4ZnYCbUKibttbnapK7TrmleJioPPGkFJa7lkTFrdIopJcgaLScV11Eas+dDKw/TXgK
mDp5Rjxzsa5l1KXXBIjFu4GQFtY4ThIrw+i86yz2di2DlvVQNfhAnIUVsavIpVxE9Rk5UXiz+FEJ
EtRv1i42/nXPHUZNbzbNIWY3eBhUTKytKEtSDfriru1Ze4yY1WMMeenlQJ7JgFR452QeAYrlkF47
kW1+DS08TLRaOI9W/U0g2/zQCnPYZ0kV7oswNq66Jr1xyLJ4MrKsvZmnpLuKsuVLajoj8hVkaMFc
pdgzLe+wwPannYwaWxlNdJvLZ58s8w0D2PcqjuI1CJnPvM+PzWDCyQwqiHhxARzVdNSNO6OBYFsE
yC/cr4ZHVqLts+mBZaedliZw10tW3qZkxTGLAMGSaYGBW7ilxHjqs4VwW7XD6WbtqL2wNosJ7U3g
lrgiCGo8FLbnNnua3SubViyJvy1BifS6cxazjCKPWDS4qoUOJ5I6n4QsxAAxHYS6pmigbtcL5i7l
pAWDUHBwyDPGulipwv7cFnZxMdYO6Rd+Zyr6y8gV0OX3m94qZjunDTZVvjjNow3ejs0nb1j/Cn+M
7mu62SMDgiwB75AORXKB+NxBRw2YawgukNVUIN1F76DR5yze9GK1hI3/3s7EGq4C3MR/Kg+hDQGO
/nGih43YcA4b3anxTBqOE+v6HPgS/G3XdN0t4AIk6pnbh/i5gjjbdippXCanvUUiX2u1L4E0JYqi
Kf80Zs6EntASNJo4XCN2UP48XJQ5TBSYf1/doIdPnSEgmDHvufAZdrbg/WLhGO6wExlXsNQNxGg+
eCPDtec976ntrKqMaXGP/P5g131HTzx6lYkntz5EhK2tRWAoweEDdvYEiAjIxYoOp7kpXbvH4QEz
6JrXNX6LSajqV9JqDVrQIAmz3DCO6YQ1cufHBeubK1i+yfTrcRr6eDBHN8w98lKThgDOEb1oMHu/
i9Q4j6F/OIxqsW2gIVceI1fMpj8eRttlid2+NfMDnSnWG3vEFBP32LeChnNCx9HyenYMaLL2wrlC
hk114oX3Tp1ToE6xwt8Vaj8hsv4S/6KQpkNBsavrju9O/H5s40hhCT00hfXYm/QQJWvq6AMGy/v7
aGab+3WJ8VNlGJoWPDCuhGtCUw1+vCBKE6+IaSVCLuUQVkZ9xAbFdlyWSXUy3Lk6/vp61k81jb6g
7zEogHvgOMGHyqlsOOC4QuYsKOALV6wSFUQoQik2iLlfyYQJt5IggRvhBePtedshhcQS+8QerR16
P2Mdydx7rZZ62E8t+/qvP5/zT5+PbCBUWFr3/lNRrqaU4AoI7oekKNwLYDHFe+XgMl2N3dgCGIb2
Pm1hO/EiJZnVXWuz3YpsTUSOFgdtZJSvHGXKi8BG3TDbVJ5tqpAH53PvnVwbEXHZZA0d/TaEw10z
L+iYiIPMYVV2JgrXresX0SfHNd1XAAjIZkL+ZY/73b9DO8kGHM1T/mimafZy3hXL0gyD9bhIO/nN
b2Hpe/Hh7cBJJnBoC+EhKvvwcMQ96lR2L3noRKaBum21gjVMkofjPtXgWuFTKYRqqGh2HjxKQru7
i1/fjp/qbDzgoOIQvHJLeEw/fIJuFiOxr4y2QurtvYfr9kQcwe+WgZ86FlyFRoUtQOfZvv+xEdOn
/RCJskoPwuXwLGIWrlIJiOSoWOKVkBWgy4zigQnY8PTrL2j//BtzREFdEZCyhVvpYzlMPJM7NPmY
HHAOxREjPDRSBqSql6LnaAw72ZtvQsMLdU7noyQKFX60NwLKHbx43VUlYaWst1hzapjODpIWxXES
s92B8zfDYCRj32rS07ujEbUUrudP/99+9e/61TCoaZH8ol8NxE7/Q6n0h271X3/ub2hC8AdBZ2w6
3H/dExb8Lf/VrQ6tP/5qUtusT3/zEvjLv3005h8WPAVA2Rg04MF4wb/TliY96sOLTiuF6DUWD+E4
IR1WPsj3204Kf8OT5E7oSHbwtTEjbeaVBNdDY6VU6hjydbU2ddhWp48XzPXcFX5obWWo5s+waShs
SOFFb1JJwcg2tGbG6TKyGXWlDJUwsKnnRckGz3abpf1yilJ/7rdlq2zGsgTOhD6SDV3SQ7ACWC6v
z2p6tHxOv65TtDRN4oBczVxH3NcGKcVNxvAqGEcaR3oEfxbto4mNLioPOT3QJ6awfEyEMPgA1asT
Qv1lT2JORY15nPs5s1YicQ36hfms4r75ZHEUx9iGKdtazYSn+N+G2InFbgx9w340hyhOt0UfT5Cy
aNh4z4kZcpbW484uOVWdI1mcR7oD420NGSwhEiQY42t890mwq+RsxfeE44gdyr4Cr3aKaS7Y2e3Q
mRsIyo53tFz9/4yZ6ftPUyMVTObaFKsYBQ8QqzlpCLMhd5CopTEgvoXiGLRAihRARIwB2ErjrwV8
3JvBn6ttxTgbJKY/AyC04jp4WvqpM7alNU5blHZIrcWy6fhPK8RDzNmyerj2gwz0ujRj5wBl0qJw
o0M3RrQtmvwOXke+L5pC61ODnPbQTjUDASZDLupTU+ANdmtF/gLMOq+Dac++llZrYw6ju4F08c9S
efLJ1HGUPmlVa8frEa+m0vvTKKfsPkBBtGJcWW9gNpKug5zh2KHoekZqKleoFDgl+E15BDvWXbgR
xwfLyu8TDrd3w9SVxBAQKQMAt8b5MQIkq6AihDP0h2YgeDsM26+eHt0XyHE2E6Pdo4wFPcCxK06+
mbc4VNxinSxp/rka0AzUhpXs46kK3wTyaHBkUZPdDoaoX+PB8rAOqNm8DucARGeXWcYFghf+FH5r
867RIk7wi8ujY+cPmaGA6yF0I27alW8pu+2jCHipXDbRHfJU9xhL/PuintDvOISGR0SJLHRNtiFB
kjOmkrh7bRbCfZa0OVjJ6K6kGk+Dm3g3OfXfzhkWzvNkT1aHJnblsQLecIVq3Hqe7B6hs18iYrdH
YASZRMDgAj/u3ap9aPsqvnFGrzpgkHZIp5qn6xwv8KGIlXfHudu6pm2VkTedZM/c0Xw/Tb1z6qsl
P/RliVZscfM3RTUbrSMQecQXOMstUYPDZdFx9gE0Du8uUoF/P2cd0RuGAT/UwNV0FdAUhH1pCk5V
Oi8qn5rIWKkgTS9K5LA3fdC3l0PjpF9AKTDBBhtqXik5pODbZf3QUw98SlOhLhwSZLYGzqznyp0z
ClXRnTqvgqw99X52gUN2ITerSMBqmMT0KTp1+24x442ZhcGuqQfvHeJbvWdbnr9MGRKIOCRDR6oC
tVZ0xQAbrVmfmJCcvWlrlfHRDhV5D+a8jkIHkIXbf+vLEZCFLPODGU8AOeAEbCwYy/BJSn9nJ+aE
kU3UXxFx9ieTZB4gWtR3onTHu6zyEJzLYD5UTe/cRfM4P5EEvLx5kTXc8YNEN5ABSDDwZ0t364oN
70lHGNOUoconnx2HuqDP21cwC9Im33PbeVsM4M2hL9U3FMndfkEEDHIkMp3tJHSqedF0t5jBOK0O
xaw9WEOCYMaz3xc7ARKCIbvnUaY0DJGYIgAaruiX36qhC6/tyo6f8H7meyT/9Q7tojGskC2YVyKV
5PtAIb82yIq6m6eBiFBIiuFlVekeWT7d5HWPG9niRb3o+5gyFuVVQfRjNx1TacXwWpD2xYHQYQNO
edXX3YphKksN7Z6TIbzswq5d65OYC89emwwe120t5rckGydY20ZA2k7fZtmBLNb6q4T5N5kZ0Q6T
DLdRXdkvGbqOYw6CYl9jlX6wmgzbt9/516AoKXlRPaK9A/34uS3Js5g8fwFRroxXVfUmO5o13ucp
QTzEprf+ZTmO8zfEfNkMp7imdVh64wVG6GEftdZwTW/PuUDhV4LMquvHkZbY7aRjaVDDLnsnnZI7
djb1LHSGTdCV/vucyi5fia4FuR3G30Y5ZVpWEq4iGoQjTYrTDC1ow9S7WxsAzuQ61AE6gSXJ0jHb
fHglwdkCKmGPsBHEYhCWkbj1Y6QDeSodzROcU3o8HdhTuhZMw3CovwRxKcTWreLiqxPHwb7UcT+9
Dv4ZgpJafSIMKCEVCJQ5DR90LOwnudvl151r0kkPivZK6kyhPmiri7oyaDd1hiDxTnrXY+4PKwNA
8JeA6QUNTh1Q1J7DilqdW6TiNrjENj//aTp93usmK9s1Y5r4lI+d8ZAknnimJGLpOaci4fQiIYlF
W9FX0cFJaBMrNEilc52aUcmyxNCGRLkZhrKOXfLPCUz9OY3JDmFgFhZsNJo7wavUsU1m6rxS/lfQ
fErvU6DTnSxzckBQhi7L4GzfzvVCpEVUXukbeFHnjrVfOmCcc5lqq6N9RV8vO8Y2FUKTlCDYYtv5
7Ou8qUknT9V15e2NcxwVkO0tlB2ArjKFkVuRLDkvZnuHg8p9Q09FqBXYimVDXFj4yfLIYwFxYhOX
2FgPTKSIxCpII7iV56Ase5jIzNLpWbQuq/VoOpfBOVpL6JSt2rSIGxDTRdjZwdZKjfpPup/Echkz
CV0QevyDb2Rq3er8rjKa21u15OpW45AP1HI2wCCvXKOiMdbjOQYsQiz2hbOA/TABqKYbhPjiPSiM
/rnA67uLpHoiLI2A1Cy8A+nTZnw/E/Ir55SWrpEOI8u6jGaZIqFMnMPKGODCs/JJBHlLVVMwZNfJ
ZjYRZ17F9jbLAOlUTEZloZPQIs6mO+j+xak/B6WNQeNnG+ccoDaxCF87SNQ3TDZI1sLHOIwDLJBI
p6+x35U7MMQYVzqkQ0Zq+QcbVdeNb/kTu4JPiJsObl1jNeQAQsZbTxAvOegS+51vYaE8enkME5mW
5S2SIzLiCCqEBuybFcfXoZ23wLjHe9EAaRoXGL7CnMubDlUU74lDEkZsh/43Dr7JlrLMhiHOshL4
NodpGBME2HW2OX4aQC19NmWVf3ZtzoAuuUwufNO6vlGyC0+LFJxWYi86YmMDVBKbIE9QIbGD0VWM
jhSwzbKZdMBe1mlGUDpYac8RM6wOxTmNz/lXNp/sZitQK6wXl9GAmWBCenwBV7W+EwbRhK7bzNeE
ZVqbEAztuotrQgBLeHsxB/+nRQSnzBUPsY4M7MkOLFPP4lu6F4X0rRcM6vYK5EC+riOBl9EvxJMF
woO4Mp9wjTFxNnWPLE05yyu0ia90EO4CHWQYInrb5DrcsK0RNlYdgYemY9Csp9E9USKcSCAptkAy
P3NbAKfTI1uHLQwiJ+dwY+QpUssUEgkJi5insPwMhC6S755vpA5iVDqSMSsIZ8wL2s+BDmysfObJ
cUKIY9kHuyQm1hHX+00yu/ajc858DCbotqYOgrTgHawXHQ4ZSWIiFx0YWZEc6esIySXNnOfZsKc9
6SIKbXmwD3Xk5KTDJ5WOocTJLF+N1t/aOqKyIGrkoJiDXXg2AZbQvNPNEEPgXHS8pQEj/5gqgq3m
tlvW6pyA6YKDY1YbX5c6HzOU2XzjmXy5jPDMdOkK6gTVdGuhkFZ/V7X+g+jmY2cE9YYNwwHFCC6o
gPrwx8Iwidw5T/sgPWZFS1lnTHiGG2LOMDjhBPjkmmX9pjhLQcLukQD++uIfW3H64oAIAEgEIHSt
8MPFl7RsxLyo9GhNuMSXrEEJmeYJY49Q3v/6Uh/7TFwKZwP/1NVv4H/UrKR1mgmwnFwK5X4JtYXk
n1U5x9Wfv77OTw1nfSHXd0OKfnAA4qOTRlYzVHLpx0ey7OYdk0j3KPqzYzvtkPhKbMdDmJjpenaL
V6X7wawqCG2NKNHFdZTw6X79kX6+xb4dIg2m76Xjnv0PtT9RkkHSUWVg3CaT5Ww2c7KRCtrNQ2a1
Zpw0b4wEuc8WhIDztf/bP/pt/+j8NP+qf/SWpPFr+WPz6PyH/m4e2X/wDH0P3fzf5pH5h8vDFXou
TxvKSgFh5G+pIy0nAkBsnGWOoKegW53/K3UkmcOEb8KzQNOV+JB/Q+pofZhkoFmyWDdYNcCEuq75
ceUgHQjDeN5apxLhfEcmJnkH06HxEJpg3ikF5I5kLqrLTFrGyMgUcBRFdQJmqw2V9+qn1CcWTuZM
j9c8ggzmBiQENc8ptnUEMlZKerN1Cfps/+sX4kMzjLQNPnDAT2vSePZoO/+45gVtTwRts0Dcwg94
byWlsfYY813Og28iZJ5RVvz6ggx2fuy/cUnXRLTqgn1EGMVv9uMljTR3lEE9fkLVdkngk5Gt84HZ
xD5zsSSz09dGfbAaE3/sCL5tooIffPdA/sQQ7bw4sapj5MNfWS2Dz69SUsHBYO7EdBuUKQyDqiTG
K9H+gJwO3rJ3o7I6Za0VNVj7S2YMlowaOkgNAeFryPs4jMH98VsbYpjuSaxFNwCb6rUrVUUPrg64
VIicJd42fqSH1tSrYIM5QgRrwR3hpN21fb+LoI2RwgwBpQFTUjM4YHTTOIzSZtcIm+3SKeu6CdDB
rP04JVkBs9AYbxEFTbdm4uYAEpLYfrCwwxB37Ld8t7bB9GrQrLiNhV6lJjsNpq0DSvjZHka5YDKw
6+SGxZxPFM4erT4OFtPnBqTOktLYoaa1s8RqTzaMU/t6kWTE7oQ/C/X0P+yd2XLcyJZlf6V/ANfg
mGHW1g+BmIMMksFBFF9gpERhnhyzf30vMOt2pag0ZWVZPfab0pRiMDC4Hz9n77UNzAfxsZMtz18E
mho5lmsPFyVL40Ezc2P6UnuCGHDT6LhySTvx+8yM/auDrMHLBAM5MtQIDg5CZs8Df1v3JAZvoPkx
AZpUg2lN09M0XsxeKNIqWS7eZjz/SZBmpf1KKnf41M/MzIeenFJai6R5rpvEuYsRKRF42TZcJMKo
uQuOhVT6OYaqUu8tRVjahutIs9ROlqyqhEoBSoqNu/J+VhW3dTBsQ5wiksbjo1puibtcHL9JMu5f
bVYnn7aqANjQAftWwzBexxH58pqnAylAYEVELI5iD5sYfL1NSywkrhFwGAyoHXd019Vg5BtYIBGE
2UYsXvhpfsBl252ZXjDbL9IQB5ai7fcapZ19Pc+R86QNrjiPQ53fggYknwZxzZ5K2/KCxCjd1zLK
hi+1ScomBjce2XjEoUt133kBp36ueJGHZLsak0N7xq5c/4kWXdvdGQkwxbU9uDw2g3S5vGNSOPKG
qEzb3LZ2RIxOUPSNKRT2VC9WJqoTSyNntpi4d4nJkOnHnM4c0Pljkf6op3G6JIWORMbJ8ySg122/
tvg9+gDlhXiAa8TtyTNikVcabE0H0oDKkeG5FRk9g8HLRSIbL2VWV2O4bXVSnp+p7aaLxxIvIba7
XODEqA1nl9F2OtnQO4jOmFr0IkOK5i1deumIX5t9H6t5ujLLnkvvVj2fgsiKhA/B2+ZvQFNxXVx/
MZX3NvNq8soM+ZAppWlPWg/09qozpCZv5wkuArRRk+VXFcgQHhNLL7JLCExuj0dVNojpTPOgiKwb
VmouuJZoEriWkz4ytqRJwYVAwyz3IX3DialTyNtTN6Ctgo8HOZs0blwF10GunWF5KTpJR2M1jVhE
Wcw5Tya9BvUH9XLsPE+51xs3aYiZCfOZ+IAijoJ8co/ho7cEF4IcjtJp74aRTF+kkBhQqUOBlJih
12VfJCuEiMG6APO8qYqydDxmY1rob9w80gDRZoKfpPM4HdvG5Z53uRTnlODX6YvXh032brulYaBh
miHEbgp9MIybgv1HgbXv8ZAewtIgm3EFuVTXD7FBhAcgzUUfqiWRDkZI4WdKIu9cmrr/bA99iAxQ
3LtDNAHbLar+ERCUtsG1HROgVreB2Ufxwcz9EMZTmBCqmQzjSphittexW9h7lEPOyIwlbbQEGSa9
iq2FgKQEu1rP5LrndHXq2tOfWrKJA7PQXzSkQqQdYUbKZhJzknicvL3IjOgtb0P3nSNiCOZFckLN
nat+lA3n11xOd07lRi+2OZSbgk1qzdjQvCDaLl+EFRdbo9SRK7mqIFmSOMJbP6L95NYEGyGMyPLr
pI7yRyNt3ZWvt91WaTTztWECJyixZCJarm+GXBVXNgqZTY9z8Y5lvX5J/T6+HywO1q4+pTvZtNa2
mZuJdNKq3A1ksd5HrZM/joXVRltJmx8ELlVBnjWKJFg/28Iwg8LfjOVibET9kwxm9cCmUz+XdlHH
61S1SwdOr77QoF8ubYEb1XNsonsIVp/OtTOZxJQOBKiEbvsjkWQt5vj794ZKo+2IQ/dsR61rrWPi
h2dQEpQD6yWkE0FfUe28vJkXlbRJIFY8GdvIFndpWNU7fYr7teQ7PmPQQ70EE8k5lMzvh81cuP25
6azwHhS0s9OIYdrahK3SgdAUx77Zcc5a3DUnFux5r5flfBg14R9Ul42buZUy6LBTBw0DLPyXrfMw
JIP6rut5emJEo06ylH7+NyexX4o5IIBolhg4ohEhDG45Q/xJltJUhQmxEfvc1NXIccpFFjiabEKW
hqQQsEl1CnnL97+viz4dyqiKCOmwCVN2qHQ5M306mVihit14tH36bqyiEK9YGOrOoMb4/ed8Omd+
fA6oCody2QBXqH+qvoa4cvrWj8Kjhc6SNVWXrNmLq9meQhaMf/5h6I0AUVAgI+D/dCkF77BGj9s/
ejni22pxn374S7Sk9//mZPdrIcs8E2M0tbhOWvXnQ20T+W6tTbpzNEnKPZd0v3f2iHkcLWV1al2U
W7//an/xecsQW/CY6A4owE/SHuFVvLZ5YR/VFIdPf2xBZUzISGCXiyoXSjKX9/ef+en0yr3jyy3n
VsO0uHmfi/WZxLPOl511xDNMdeXi5E0oS9A6YK1HlYesjH8VaMXAn3U0kdM/fkgRkjM98nSOzoat
f/rSVWk1+pRDReh75nPjyGx5EmN1+v3X/PVV4FNcARHEQZHDyeTnFzAPjbEMk9Y5kv8t93OC2dX1
5r8TP/3Vp+D+9Gx78e38ovdxOtNobI3v8uHccRIUyBiY/xuPie3jTKOrw80Dp/nzd8ka3AXkhtpH
I8SOTUoLD8Uwj3g6sASJc1dPTEh+f/l+Xb9Y01lN+FroA/jYnz+S0HlGa7ljHbUqpCeJdRl5/0Ap
0ufozUoc48bKaRWPyO8/99eVxfNpriDs0U3f+OWN8JGLMmewDeiNvN0hFPNT52C4Uike/d9/1F98
RR4OrHHU4DTPPy+WLmQ2Pqow8BcvjtZCVCfVorAnw5AVeznBTctT8/sP/avv5/AKYoy0kYiZn1bo
AeqBGRO5cUQDgGawwHWT616846Dzt2/6hwrrT2o0XnWf7oQNxhzpi/frm7bI9nXWE9T+LZbkVBQ2
abtM7y/1oCR8Z7xfiOMok6eRug7t+NyehwYC2BYRm8XhokLwDqPiu8AITNWpSvwjXuYw2v79Zfl1
IQRLYtJWY0XCNfrZqkhXfEzAXvGEF0gggyTExL5ELrcrYqd51FKfsv73H/k54+Tj6ri8VYuUDZ/k
Zx1ZlNMvCdnjjpqnUetOnsn5oYMJ9t2TCDYCQq2X5z1NxLnp8+YrRm4l1mbiTxfmTA0z0ahXzZYq
CaczfJL4H28OiEtx3uJzNLl3Hzq4P5UQegNzlVBi+1goj6Jbt9MXEWH2aHOzTHCG63/Xxvnl2cSU
urwNtHJ4RIEL/vzON0m7FP2zOqIJsl5bGDCEsTYlj+m06DF/f/n/6sPoG5kIJX2Wms+7AG4gX48a
fz5OaABu05I2LiwbTjm2XnNK+v2H/bJM8808jzadbi473me1VpFpgrmAPh+d0OZgSYQgTxYvIqfE
33+Q8QmehJWa5XIpHvDDsqV/roxyM04mpgojFYSM21udMxyxgmgQssdQq1R7qtOBTogVgcGIxxjh
eF67pkSLuGyDVTNdYoDhzA1GDkvo1UGzKBcLhK45tLLoepmooZbux0iSrNqNqJ9vuxJUX/FPF2Iy
ZinvaJj6Nubhz6VQUkITdYu2PRoKC8SI6PgECybZRfr8j6suPopngCY/EiT3F4EzEDGjGyYAGRI7
OtCJlO/fVI2/YURUnaxy+tv+4bJ7/WlhRJzCemjw6iMixcD++S6VqjBFI23riIjIeidqaTgS/+Y/
fTREHLelq4O0wX6spsn4m5XO+PyIWIvJF7OvuSgbEU3b5s+vmZXjkcGqlR4FzNRCoaxhyg0aGsqa
aQSk7Xpv4LAyaz1U+BXOfoSbpzRllOxRXWAGIlNlvuh9QRdRZUu/ppHucrDoifdZfXAmZOG0KbxE
kdy63ayV/KQxsfc+ljYUJojuqjs7bbGpLI9XrrEZ7OZOivo4yLluV4bTMugdJ1pjbYj/4JTROMIC
1AwkDnsRLoZrkvQyudZFVtyNdBvO0um03WQlzm01C02hqiHogy42JFPdBbB5RVtaL4PWtXt/FZNg
dNVlFhxSN68VCC9EAxygVXKEDCUCsDF2j7BExIQIE62a2B29b30AamuqdHHl5yKledTXIhffR+ll
NMW1lPfFn+qlGQpOMr4d5ok/L/Py6uBUtChxnflhvHeGjFNR2Sj+VjXufxSfQxbSefHzpa5pat61
uMxt0NolWQ0BUpvFGj3Lyc8OkadNl3pSRXyL0S2vrhCzDN1di3+sWONI4+2uRFFnl0rhiFrLvkM4
gqNgumQ6VvXIcars4tai/Y5Ui28BONRW76ZT9ta1bMTSihpzbjOAJP4hX91+tZEfqvuaURxSfyO1
roYFjUlHA1nBFhFMNm2dGorXmj4InatOxTTCPZRKhOCZIT+xx0mJqXAk+aiZ0l67n6qEj24y4qLX
vo7zhOTR3GwJ6xgHu7uggIgJj+JxiW85ryJMFbMLsBIHqnUYBtm62brvlpTvugS05Bgs4TYR0fWx
ZMCPbsUdE/fKGkIxHogvR6HaTQJHViVzelpe3bdqN+WcYVfI++kyYiCZ5IMobQRZ5L3ygJUx9vyz
lkj2ho86gJ49Tx/YJ1oNsYOK+wjCEBBcSCPEa+i2VdMPv1PhLVA3BK4fLTg77/llzHgSD1Zq2K9J
GJOU2CJvwWr/8Vo5i+tTX9gso2um3mtpJ7TeUJCLBzGJGBU9u2ITGB3enEA6Nk9R4zmLXzK3ua5G
u/TMybzq3zC3j8N2wlt7+8doRnjWa2ibSyGByJB+HPPz10KkSydW0p5f1SnHHwBsdOA/tj/X6Wky
xvSu3CvbZR6xyvRkSreQH3Wie0Bxq11Ra0wa8tniwhJcZBEl4xtRcteWDb+IQL0lt3VutJdSiWZ6
6SfXRG4GdDjLLh7J0P21PeXiwUnT0gp64O3zu6cxydjAGzCsu1nUdIHjmdrY5P0b3YL9mDFAXK1i
2hU8KxbTHJzFVme6XyjMsw6Xg+yAYq7yZKjh8oYhvp+AJRzxWS5buvVzbmJEoYOmPFoSGCaPhf4R
Tk2HvPNokKl+SMc/dvz/Pyf92zkpb82fapZfIyySsnxvq+7150Hpx7/696CUoAoUHXSSwAYLihiq
9X+r7N0PuouOIH6ZhX4I8P89KPX/RcIDvgyLnhBHN5dN99+DUpPkC9+0McZT0fr85H80KCXR4ef9
W/cFh2DDpYfBL6gThPjzFmqiNSo6q9RPpa5VcdNDqHO0NYS9EKK4mOpNZhFsRULTUMvtpNFX2jh1
Z75PU47go0AnwZxpbq+BLll+BRgAv+ekcst6Ej7V1XpsxVvkGdFjgSo2SCLH/jIA9EMnFnW3aoQx
vU2q1EZegFv3OkI8ZQWDM/n1TkvjbC+7tDy5KXQscAh3uezMN22EyXxiGjVBTXeMjlBxoN2PZhb2
7lWrFtFcnzsjSiWrMPvv6cfw1mgnZmMki8Na3aoZ1K4isG1tSt0EhmD2XzEkj8yaetIdrjMzgWvW
EOxWbzPu7T0U98IJTAPT/KbOw+RRxDPOWOZfKpBJSnuVNBKYe4BE7x2rNw4tUXg7Y0q/59TlGywO
SzoFOo/VQFt/lxrJwwwy69ZJmWDu+V/Ma0jJYQGMH/BXV5qdXElMeptOaK9ozKaVpyMhgrHoslEA
DN80HP1x/ELBWtOobOyN4ph5ITTPvh78RS7c9a449MixOPUrP3xShefe14sGSHaz4R3AeJgaiUy1
nYN0s1iZXYLCnweYVBvNNNwADavLNaiHVdNP5dEh6+eEtJ5BeF+MyVLZhMyG53k8dX0XeYEW1fHG
Jen6ghfASvRdGDGdyQR08o642ZXRjfs5HVW5pnmEks0iXHXrzWG4t9DsPtfKhNKoWk09+LmbW8RN
jm6ytzTdy58S6fXlY4SAxNU3PXvspG1GyOdtu2M2MuvtAfQccWNFmtuJeEXAJiPuXE7UmJ37m6K1
AgOQ4FlhxEWYG0KiACxwoHd98eLQ2fiMe4Msq0bSIG25iGwJiosdv4MJAOV2lSvNxM9gG8DpVThA
sEbGVmruQzZB57aNAw6Oa3v20pUibsxNqrPVKPKT7WwHvTA8ohLdllSmj5oW300YMFeSj9lGinRg
WB9fhT6qLSOEcBsO8z3d9PbQQHPdKKdJr5pCI7TItrItebTG0dcYrWSUs5tWwxdeWFNytGglbUev
grudz+qgN7yahpMbj/5svJQdgrVGRO4qjTsNY3U6bKvS7boj4qv0QFX2JqkmjnhlolPDZGKtVKFv
4G/vGJ8hma37rYW4LGPAuE4KrQyiRkOqXQMFRqsYv9uqeYbpAUie6QNmAh1RHTojL4B3BeC2n6Or
chEb0oKtd1At77tEQ+xaJWLFmIHoKJmKW3779JTaMyl0IY3+AwKP/h3K3Lz2YqT7Li/bviGBDwu9
uSojRUBM0+C9tu8bM79kXnKlREhd2utoytVDgva80ltCsYh2bH2wdaowSFabN1HK1Y+cOPAG67Ft
mp03T9epoU1QZvtpK+u82wwhw7QotJ4czPWrsSxIby/y99wCE2mUIwrjPO7vE6289hohAr8DmwdA
mEUw8a6tGmRDWkxMkjxfrAyctnc6oQubYpIlw9Fh5NmqW1FyP5wddQ/6z9jv957Mv6G1RyZg6P7R
Ybk89pKJ2RSa6Tn2u3SPxy5e81aIO7SDd0PabjSPL6Wq8jx5VvqaL6tZ1ocuMkOy1k51bViXxGic
Y1UTPcsNo6SZah+rffysay3ljDH9iDtC/CK35YiS4DYBfzsHNoPLI65Hc9OyrN91JoJSWOP+IUvd
S+jIO8bg+pZlwjtVqTa6QZs53RfWlX5tDG44rGqzS8+p0Q9B02XdTudGbfWq6Zlo2fHFnCb/Wk46
6gatW1tp8RV8qxEwkgMaUCA+BuQ8pbVLImN7aZ2S1QUbNHyvdAsG3uTXq6zX2EpABsfsDk0Y4Fnx
d0naPeRgNLZGocL7MRuva62RwSS69BFZy6MNCHmVa8Nrq/xnJyKLoEcZXhM8QR5LThqCMW7BPR4q
J92RJB5yFRvrjFq22SH6/VYSl7uxscPs9c54qEM34wHOmGQUcU5qaDPq51iYl96vr/I2fkJvDYEW
MLVeWfOKlXYD9eXF8kdGrxYxpstaWmverdeauzZJp8vErYMSMEQQ/h3lvWRhJJ5z23PW0nR51TTE
pYY7XOOs3wxNduR03G3toTFOksiLVTPUCWNzv4qDbM69HSADdYirbt/V6XFIwmwHKTEhOlGrGVVq
WzazPFChj98cuzvHQqu3vlka9wugqeadUYhbd3GxwDxd2VyTFqAF8zhUG5JW4rd6cki/M/qrKSHO
sBzzR2GRM07egz8oNtbUhzQju/uBPih23eLbMJV735ufCWfMNwPfB+FAlQWW7SanYQZbjOt8a8Hs
NoLIthUWCCuHwxw29Zq8RnGyEzvazpo5r9o+Mr+GVV9f6B5l5UpjOFtvvIyVaSjM8jbSBmxblQS3
27Gv1eQO7efKTnHGCJTtfd1fGXBxUXkYHF56HWy+qT3G2rhsz8C2K4ecYw8HASC4J8Qa5Y0e1cO0
Ro5qYbyfVdpfylTzDn6bqeM0mI8WsbZvmhy0aB8WaCO2tjua7crMxShXFi7FYc8+a2xwsXwrtOFW
xC6QBWvsLq1d3o6lpnGA1O6KOe5vYL19aaVJxuzkYGpQzhevtfKHKcmOhob4hcblsDbgab+wvFr7
EdzCa6qE3KCDkgdz0oxNWg3xzgHFufK8OguKzOLLtsNXH5PBptQ97TpCrfQEI2lc4Yrwfjg9USo9
Y/yVHZv5a+W58707aghJeu+rmdkoi73CfQIZmqy10CF40o3TB+DCOnoKmqe+m4O6MCFHTUSzj1tu
WLoiGgOwKfNv3mt+vYgTzKZIv9cye5t1zb34fjl8MdthozOJP0NVsiFnsGW7aS0ALiTSIvy2ltaq
1mV+gpZQAXvtLWqEMroWRr7vsjALgJQDxuz96oI4An8MXJ7+jhwab69cp/miKX9f4bB5GMAqbYWf
+Engk3lxRQrT9ybzvrE6Y5VAsrjmDNc/Jqk4OaXp72ofZIyNyGsDQYcNgsP1ujNg5Ma2QfsF742B
0sJEjWPYzVVKKOYq79r5qgBrtB8rMZEw0XzLo0IE/ZQn5C/Ug7hngWwRjBEg6uG2GeN8Z5URuorC
yti8Wq38Sh64eYqc2d7m1IJPCxRmhhKSewsXYzbvi9gUbzRUnDcSYGPClboIl04MGoa2+Ya+V7Y1
IDKhdQLqAlrr6PZKA3QLFMMkI5ODypJaWUqSyWB5rwsqD5hEyRCRTxwK+pIniUZiiy0wuvc1ClHs
HLkfFOXwJH11gFLxnTGWs2ugna4L5mWbHtIt4pTKWKnJRuVu6Tvu2tFOLSxUnGTXeUXW9mT1L0Nn
AdJRdb8qyW1b2zmcHBk27H9ZRdZaCao2rDu8eCLfmwgNVrFMgYjo4yaU5jmNUxOZkCN3eY0XIIkL
ZIQd86bM9ZGZEV48NPIiiXre6eKtz2MKJvQQm7QIH+k6Fau8MdahZpG+Gdf1urUl9oUUSbkzlxu3
yffEDSPqgvC0YrAmggp3LrjAYY2+qGE5wQeLgHLAJoDvQWXxC9bbK4cCf6t7XGK47o+wF6oNFE6U
QUlxGh3gP6nwENFNlIZo2wiiiNyaPTGvDlVlXXzEJTtMh9/ysn9EVUPAl6PuuoJzitHZ0GPRQRKE
0q1ra45XZm3La01OAzhiPMEM3VrCVIvicepaGijwh0FoE0GaCgmrv0IbEjNQXRlpRWetUI+4p1BE
odMKkipMsIWItZhchdOWp3zKHXx3FmbOyQsfXZFfQS2yztICpNY35Q+KX9DAcbsRqaqCWCNAe7IG
pI5tvFV5XzxKK03WOZwzvLilv8HMUVJ0ezZu5jS/JnTMWM2g/ra+ju3Q8cI3vZURTo8JvAZ+s7tm
Rgrpt44I5tyl6hG1f6PX6bmc5v4M6iUoqmYMVCuXnok+nwHwHDVU5WB9KjNwh4EBvO+OV0x9v1ec
N0jp+Wp46jWqnZ0r2h5jKNuwkWYoa9Qh9LJhgyptl8c/NK/pV8Jp9SvRpvW+yeRtk5gEIcUsj3Hj
BYgX9G1dc7xFTGfuyLzbGRXmEzNNT8RpsIGmOsQ07xE+r7kyE/U6uf23sI/eqirj+anMu767dqsQ
f6/qABSX0YumERDQQ54GgUzYrOleKd979vBvSt+vdhmb44rYL8LfAEuvtFIXV0Qs36Uj1ZnWpnrQ
9YpYHqxKOqioaqQ8027JpBm8VVZMii0hDfm67AQN0oM63s6e1x4kT/DLLON3M4N/YoaEasem0eJg
tCDHQQIvvuZVWlSbJBHFmS0Lg8xUmTkFXgVjzIhleTciq9wP2tQsSLcM44kW4XIxCEcIKnhiX41R
INOj+ckhp24ex94je5wshwNVdQYmMS53ll9a23pW0Qm6nrOVZf8wS4WiuvJvfK9Pb8tEEz/spO1P
Kk6cY216cm/kc3bsCW/a2qMlH6wSk6gnjVfO8Ok12b8c8COdmPpogGhdRVcmHbugJzz0mpYxGUtq
IvO4ApqYDpyWBpL6th1TjbXEIRaaJZqv0rTWEbrBVbEwV5K2i9b0NjTGWzqBej3y4jo1N0achzcO
MuG9m89vXkEbvjBcRLs5V4yi9rrs83Iv0/lgywHZ4jickd9RVrQxQtTMfwHDk6wbz0X3WcSIcmsM
bxZ15XrM+PGtD7CLdydyJso9Tv1by8Ca2k0GpCV6mDFJbAfqxoNblCi182LYslzZG1bzmVtvlxtM
fjC56hsOU96lTzVrx1GYjos5pV+HzPeXiAU9u2arZhcaOS2c59Y/lW3pYSpOCcwIXXvVZ0Tr0vJe
VcJooOS1OjbvPNm3mSUCKWswBF2rn/CadRjezR+NInYOGdZqOVsYKjkLVvfNRDLEbSq5jaAZGD1n
REbm+RhoqMpWTpV06ww992m0UrLPETdmVXEdOe5T5fktyfGiwezO499O07YU+i4a6Xfknc1Zxo7n
JamJH4VwE+Fj966qGiVhdz3Tv8cJFtLhNtEEN5yzDLPEwViUq7GL+Xpw4KG/B2iLWZVtPdzHVY4e
PKttipb5OPKmBiS7o9npO9ZIW0hy5oa3wU2xjdkHz2puJ5TXh6SdjTVHyBNL9FMdDuXW6qcNRy2e
ZLr8QTe0oKREop+V6I0dhi3aKIpNl54vqm2BNx0Pbdpv1OBkASFNpc9BR5VfGkujbTKOI4wGesys
nRdjjma+0dBtMmfk5OWNEG84Dnaajh0V8D8dgbUIk/EYE4i0sq3yrewq/y6NNG6kZ++asYnXKA7V
I4qKW1f5RBbWwiDaQd92rU3yt5SpE1Aoa+R/uDPRqm76UITxuyeac6uMU+Y5r6Yw6Iq/dqLY9Z33
Qw5Y2nQvARsnVBq0hb9u0jIQaZ2uVTP8qDu4EWSMv8SNFm+apfW/EPsyo6poqnj0SlTqR+uypBcQ
C4AGrFovaZXeypgFOmh76UzIfC33Bi6+cdSo6WtktTl6/4FD+dDMkv+JnRzBOzFZet1A9ZhKuY47
l7m+c6oJ7INVGTjpxOxmyvJ+SxcHBU7e26tMCbdhh56bHgimkjsLrpy/wiIhD0neMABhVcNt1wpp
F5TGDRy1iYq8e9AAhmEP9VB7biUWTBmYjNiqk8MZYWb5MHp4lJYvGkJWuEZ2WNNzIE1Dv+qxwLy1
2eRmHfhIfISy/2Pc/D/dr9+9V+fX4r3938sP/kZxwToXd//n5/9s//jv6L1aut8//Qf0z6Sb7/p3
OV/e2z7nn/5BCF/+z//qX/6v9/9SmDSv2N904mG7MZT9uRH/8Y/+sxEPZs3HVOEsrsL/7MLb/yKU
C0vSYjn6f0Yl/V8OZ0Hsf9D/cAAuH/4f/XfT+RcaTQOkiSBSFymE9U/671iTP7ffEe4tAiaqcUSZ
AOd+br9L4cDObSJcEbZOlQlh0Bm6lYXgnhfQsYavelS4mBjs6pLUc3leOuarxsMMEJR+n26Em+j3
aZepeSONKbuJsYQD2dZQafuu3E1+Yh7hZQrajEndrG0PbQ5OPt9iE8B8Ao3Yjk9DPlZXesSoYFUZ
+RXUu+zWrUxvV+h+vAvd0N1ZGb77ICo0srcwX+5UEssDowHnum+XpRZuuYainNk34TBEJ5E3PL5k
5Mbh8kUyH5hxDyhSWyoHUiwvVWNB2Uu0cTr0+luWqeqVtoB3rTIzxM0+eR0FJFPlkVHANgsn52YM
J495tOOT3b5kTh0WzOA+k4b2bcSK/MNdot5NwuMPQJ7lezQZYRPERS1uk7juYcya8mK11nhMM1dn
AI2PlRTo1HhP9YoTqo2HgW6jyTkKa8g50svo1NZK+wYTBL4V+EhGqKopD3PSPA+gYggVW+wSsTc8
xnXX3ft+R04NqdLybfGhPLMqZMBObGpOCCxpTyvLRwLllYjUkBqsDD2BbWD7mUvlLuRrw4y9B9My
fsGXyq7Sl/lbnnTd3ldJtxUwI74pvc+vEl3eaCqyj5ns6qMMlTqRbzwEpe22W5fsYmMtOXfAaZ17
Q3I/o+yZUy8NNa5Sz08rtHZrtGZ+moUbArEuHL7o5LPJirC/Eomt7VNbj3ewFvMHFKbxl6xLcBPD
MTIp4Ylb3hTgMASNAPRF9MzMDOMBzx4ta6u/7i1ftaT06CZkbYFDLFaLKDaiSR+MbRljtTaxn+PK
GX8kNAgpHadFhFXmDLLrNC5vE/w0K4vjwFUkK7Um9wm8p/SK6xqy9ZXBCArqRTHSl6Kvxj5lV3X0
BCjbcGA4RNZbM41WDafGpu7POQlB3S72qlbMvCn6qMO8UpxxE/h3UTjHwehpG2I1OdjPw9qR9jnJ
/eEbOVbZQZe0j8aUpv16aPuZs3o8nZSi28usuCsf/SoNn0krjrQjnfkm3filK77TB2z7VayP/WUg
XyXcDHMmvnbApSjqyqa/E33ZvEjkEYFfj+I1o9lDyTp386XFneDtSUQbyTT38M8nxtyS/mhCTgk7
8mhWfSjMJ3PQ41ODR+2Ngl8njo9RchS4EjhOHZXeS+rq7nVmT7MOhyjzHxRdSnp3DJuWJKV8yNfA
LypSfMviFTGA/0jr/03Tx3rt1NKEGO3M73YtGXG1QlTlJvTC8jmNKDGCXBISzs0q5dfO5Yi3Ym5V
H7yw6siYHpi5ddC+rpbA2TV7/x3iPx/oS8L7zC7cwBeV1sZDqQJAFWqUGvqWllGdrC064Bs1doQJ
VsI92nqLD8yMaWtKOtu7qu9Z0WiFuAE5v/puIG3qYgyavasSPZvWmt+FFvBCqX81shiutMViOhh6
TaBvWSQpNI46P0Qzaco0w1DE+JXZXaSXWFxYt0i/ADhuiEkWdLpZzML+EEZkk5LQM9YvIK0wHlhI
z/aQXiMYwvrc3lit1L5VtkuzvxXpAK1j1lhcFNDYChYF1GbLGrYaAeAvcGfH9yaPx6+zVYprE9xE
senG1ptXpj3LMPBDs8H974fZmqCgggbFGGLx0YCyC72+j7K2XmM8H2n0ygTfWdasndI9WvVMDHxZ
wscicRQjfxIe0oxlsxJWs5v04gG0SL9rJZyCBLUivQuJywQn01wytBicDfJx9V3hMio2gyBCuDJ7
wFRVPOAh1L30ZtJhRfcnK2+csmNQM9bJF6VFnG9mEAaZ/uzNGX1uGjWm6DrSKec2vQkngEqGnzo3
IsXlpUQuLw6B5xdHuNEty+KEfjxTB8ADT9Sp5aVBcXjpRRsaKz1Jw6cRPT2Bpgz9ViUEqeMSavvk
gbNmkRp5rTyglrc6xPFbfLSgZKKCdKQksxB4MUzhjE0LlPkayza7XTAVc3LuDb+nGek2kDvaojin
vs6v62TaVrQ5h7AW7Ravuk/TScjWucJE6NwwnjOubbsMOcWpLry3POkc0iQbH6jlPHQ+A9WxqbT5
Bmp5X+w6ramQZ/1f9s6kOY4jy9b/5e1DFh6TRyzeJudMjAmAIMFNGASQMc9z/Pr+PMAqCSgW1Wrr
XrxnbWVWJSuJyswY3P3ee853Jv/aI072nomTPAb88Bca87B8p9re40smxs2v5q+JFY8wiSttPgQi
nTguTrRUmNtuq5a47IT+T7/pIjFfGO0sj2EEPSYb4tsq7TB+VYZ54xcMbllkE5KEZl9NLQyGKkVQ
kD1mKZ5xV9wGePv26no+1MUoLsnFguNlaXIfE+l1kyR9T0FrDIzWvTl89VsskNFIdbaqqxE7tK23
JBUzlTobST3svcnzjr3omsfaL0i5E3Z/4H1yJobCRU2DSjJHaAZyoVARTfqG4X1INWt61Xkw9YwR
amySqQ5ckCTdiPCuKrVuqDT9q1l647FhY0TMYwzXxD696EXkvYjGNIqV3djVl4iW3ld98BNS17Vy
j+ZUIxuqZ6nh8QvZpK3UtNcEoMtd1MfJLZOQ4Wsp5bBJWuE8GUXk3hhTzpsXqkUTM4oR7edhABpf
14ZR3OeT9wXnJ+67PnTDEpdV1Ym1nrtGyGBh8J4izU/uEWA21a1TN1FzMCW+1dXsOAlZwbGo9EvD
oZ9D81jkeoU9N4zIq4K5Li4LY57u6yrYjJ5J/p0ZOnJXeo5ch1gF/XUcDOdZGMxA2zptMrLAtPCL
XZp29Gw4vOJrTJ66va0HJtu05R1VhlwJMQIb2RcBIQHdiUfWqJkK9TlW6OfKn5849o6fGdvmL3E/
Go8emoAHUQXlCRvtQ5XLaZuZVXaUVVOuZQfUWRbjnZPOTyyA38mrfY5b50l2Q/c7ditOEBZB76vG
7p6kp8UHR7rpbSXS7WBl2iU3BzkaYTwQzNrquznbPXiZskqoY+nG447rIsjC0EvOpj0k05pWPq2p
smYo8eA6Xb3NZmM+hzPnHeZPg51p/zN10VX0UhdN8b19Xwkt1c0fZdL/Q9WTiX4abfW/5z18fobr
kgfwWv9cP/34Yz/qJ6qh39AcKaMF4EOmBBQyP4RMWAx+I66IlgO9tD9qKI9CybCUbQLhPVoVvsKP
GsqyfyMwRKg4IJx1iOTF36qh3lVQZD5Ru4GvRVpFG49a6kMFNQNjhuvTOeesT3Ga59HYnXmFWofR
VNV8/dOF+UskzfJhsErZVUj3cvi5FIZ/9iIG9miRYdkyF8Xm+bS4iKe29x6TqK2dlcOB4ynQESd6
ysf8X/hoVi+Q4cpp8y8qci0RNJ2EdZ6R5j7lXo3f+s25JDuVy+Eq83ij10rr7qsz968//r2tRP1y
Uq+Qh7n4OLlxHz/eMCMSbzGbntMMJCgHI8XV0GlCl6eoUB83ZsQh/vozP+i7f3woj4qFrY/DwUeL
T17CBA9KzzjbuN0fcoJUjkbm4BRBzeY9loTaXoJe4sM74vqafYgS6dUpm2ifag7XoaLDuIdjg++u
0WrWdZJyrWeQzxzrfbvXxQVpFQo7oDIBVg1jx3Azpkz1/sIz8b7If/sZ4J1xthk2vgnrg8bOHaDt
jTI0OPlrPCtdCm4k7ZAauw162jSaigvCUprXX189QCt/Uub/+FR6HqzDvBj87/tn1dF0dHN2jSlY
9OIh11RMhMzD7wANKuSp83hnWxAwbEncJtjb7u/5s5bPB2uk3EC6x3Pz8V3pme8mVTIK4F4otiP1
wkweKJCgr8T1r3+qeO8V+fFZHm+Wi7MPIvGHRcCfCBrS9U6cLeUpYtyBtLePBIpk3zSRhyeW9dzr
aNEDHVjFGlcJL4sWQ2Fb4o9+/W3e+3HevowJWxlVp6Tj8/GpNSw48sQi6Qx9Kl4SS/pI240WS/8q
UuacX3/az14SybLHe8l/pP3R8CXKWI80szfOddOSZD+RhU4UN3aPDkzcRUaCw9FkIHLBps9T7oE6
u87oYAQUhNBvVmqe94ZaCSp7DLaLtL5Neu+NhEK4DxrtnE51tLLdnBY2hKgu/Quzzwd/3XLNJF01
SDRsFUxdPrwicRr4nTt54kzGFEf6xaizPDdjm5VPS5xL6g6sexMXMHNxLwdEh6KqnLzqUE4ZqnAK
AJxkCPCQnQtfb17dGoTOry/2T1ZBaVroKnC6oM7VP3xNDapt75AkfrZxh0CpUpdZlFi2he6Lh0oh
HX79gWoHffcWw1DiqWbP1TG5uNDw37/FWRsYsZ5MzXlQmJTFw+ATyPYMAhZ7eKerPFfTQZvvRz7i
c72nhcLkYPLuI8YjwPbyCURFgZA/1lkBdGV+ohZk4VTPxHKJGnYNh1gQAo2aXpJzJUz3cvEnGJIf
RP/lrxzF/IKPP4tfwn3G1W8ZeIg+hgLOVLOyArpzLjAb0QeZ5noTo9G6Qc03tYeceeGwjmUftxvD
1lJnDSbBD3ceMWIqyQYzHMGppbc2AMhu9ayVu34OtBY/Q8OZPReU+rBQbB9PkDl7gDfCQftUalnQ
bnRJqM9qCGh9ri3Gkc0GwyBvRtwM3ZYtgAlDEqcFw/4yP3c5eG23yWg8ZW5xjV6AiQEuDr2jTkm1
L4x5khtRTOmLnjTAITgHkNcxMZHh+/Xh62QXE6H1E+SGqGX/JpjNzkwlkwZXrYdA/kY8rDjFi0bf
MD6mquyl1MpH+n8xudu+lLQWKyjAVRwwQoP+gPwgs4MakaXjMf5w4Gz+DpSqJtMrwxx3mMe5xXnD
+bo+GtUUaQy7hYXkqcOUWfb+ScepfI+SS3RrafVBfdYG0kkItmlze101NFDWWRiU5S3ZKCmaAprF
/saNB++RgBS23YRnBH46r5xT4GCrspCWw5KTJ+E78e0KGz4Ncb7ROndZbTgCshD3yGju3lz4k6Tm
3jBz1dZu46P1RTyayks3kUnHzixC4aqyqdMllGVwk9OVYxbVpTZ6rtgFU5GFyaqMRveIHCu8ZqTZ
vrjI/opVAPF4Twuh3oCgCa5rw6p3NZq/ooLhMBCy/YWGVHQyenfcuJwDfgegVAAtqhg2klq2M2az
+Jp5jf2lMDUiiJ0yfOVBGb8FnR+3qxlS40bvuD20oNt8XwOr3mRC9lj8g0w3mSPnI6r0SdMmTCrt
K/Z8Zz3aUVA+aLYbJRd97jJAxdqTetmD7OljezwAhFzJTSbJyUR6N+F6Y/hn2R6O2mQljMFAf0VW
NlTwFc7eyQHEjNqx/KJBrjT5uknMwIv2U+buNF0dfmZ7vCuShBuUa7i+dfT3Jqu9Zj1XLuacbUPU
GlMqVO2fRhAgpI4p73s2TdjUeumxrngFa8Ub6olxIpupRbQYpjAhsU7WDXfWETM3NYppLOo6HI7B
G3i8EDNx65OeJRs18Zlh19yu58lR/p0BjUKk47RvETPdMti2n6HleI+DgSu6mWFROJ3DwkMr8FJa
GbLtOqzQ1fKGuuuMSHPkQZXNl6PiIIlDKlqV8rMnkNwuSAs3HirdVv8QSeeXLZYq2g1oUX0USV4G
t160/D/BPConNHhwNCUK1wC/H+uqa3NxaoOdGkWNYovUoYiv6dOyxMC5w2tWEW/nqfrYsB029QjC
zO2yRnKGA2dqs4kiRAVHVLiEXqDoJ0qotsRD03T85fJtM8DTyOIqa7xFxcABhHDq6bZaziIJgID6
Js/IzgiCHvr5zB3picC5mNBTPPRiRk6p3IpdRLlhpjFp6D5u87DFp7eZ1OlxMrj2Ipv4UbySfFIS
9s0rrAMiCtVfvTkSg5jTp5709vPCAPHU8ahMscVWXlA9xQmm8fXIYPtuOSjMSQWbdIxT59kYOd/H
Tcqtrfgyo+HGrxbKEK6FhNRUVJp+rYe80k7h69cAO7ES8hhx7wz1bfOiYuNBRXJYyFO47jiEF8qa
aoukfKIny25OYjv2cV/lUL4REfqClKhj1dR4KX849YoBAFWlQS9bLwecTh1VkjluX9+KH1PtyVPs
4eHDdoiu39KSivy00uksSMoTZuHMRj2MVTjds+3wBUucGvOKBMQh3jIw9n9PtRCXZr68QsK3sTP2
Y62OQew87aYezq41NK/4D7hHJUmNeBuaVy9QSDvi0VnbGJ6ZxySENScmwcFAuXEd7vQ1aCN55OcU
F2avOXfR1E3TSiNKINv0bwwPdtxWPZ52noprPVAOXiDDylfWc1y13HjqrrBmauEhC31qQOFAxFnB
5SKABeM2X8a3eYBbK+GatQAZH8c+kg9x4lbptq10kn7AUTOSwXf3HGYDp9KxzPj9yyKQpOZ4B+KD
q4KMxLtEiGgeK483rHTUx2cDprtYvfVpKwALiAJ2m/L/cdyvDpVvclcjgwS+lI2c6zBwBPXyyH9c
qHkjs7Xn2oUAk+gI17ZvqDQU4URH1g3fZHkSrRE55QXQNPVscEbfijpl8QFGGDS33giO5OgW6gbF
KM2QOxZ+dchqAiqjdh49mkcznF+m9ByK0FtyBjKGILvHNms/o9gSD4ameHkQtNmaRlc8DGbNRTYN
xlXMV2IP0njkQUcPSl70ipQKkFP8woXICBKKFahGDbhfCt55UNkiwuQVDShRI5ZugP2UtA8K8PYA
FY7b0qpT2uwO3KflxLhsm9Os80SVyqxuuiG/fbZL8pkMV1vFnZHhdu2oZBRrEA/O6G3iQaTzplZf
J3T4FUkEWYD4S97XPAy8y5RA2Dt9nkx/I80ZTnGTCpfOacByFCW8XAasOeZ1TW2bq5BHnuY6k1VM
8j7m1qGXFWgXG6Cb7RFJejfWiETJtLDwVGrMbp4ttIXRin+aNCDGAg8pqKpjApq62AKFGNJTRhoV
nOQuNKp7oRsDj4ifcKFntblE8bL2jTjS6VcKFnkldFclOTh3FKgZz8RyAd7WIlW497HBuqAW1jpQ
FL3l2WUsw7aGQQS/p4ym3/Fd++fl+URb4u9jGgHouCoruZKdyyPi6h2jGzvpT2Ew1e6PByIbMvd7
KXskJlnd1wfI7t6WIBb7OYCB87A8FW9cu8TwxbVjAS8RFWPD2FbdhqTRAJ87eY6Ho7VzVqJpJuFU
VgZNiNoGxbyK1A/SBsWNi2pA0rWFWnM/cRDCEysMwl8tfgKPHIB1PLjDRqQBb5Yk/u/OgDdk7jCC
jrddXLDam5G4sSXdUSp1HmpdE+ho2oFFe1kBLWzL2aZgjpWtW19T2zcigGBlyoHXRm1AjOkCcizW
Jbm+DVk5NXPZSnNh/5HhybeNu5bXzKwmPjcop/EumyxKgpJS7dEbJw5+UAvpsky9y9NtWC3OMase
xarmLDTf98IFINh2fR7eIKHUi2POMnpdLyAW26Ujzs6PehOXO3ntD63dcQghWcZD3lxG+5wJML9X
esMt3jl537ljdoPf/yXUfLRCXtwc7BQQqWS4cTFA4fsemKSBSYN0WpOM3IQgTJMXeGR7jMFXM2aM
UDW3tDw9TiiT88iwn+sclaxyhT3M417rYugPsHf6VVAVDBCYgEG+LuMr02LmiUDWpi9uGuMhF2U+
rdOyzMk1MYvv3phyXnCUTRvLJ09Y3RitC/mwafVTpRb/U4zzbV4jwuZMRdoJFUyap0etMOjC0GUD
n5b6g3YfxAa3p85K/rvyBBeJvMvxlg7gsCKUkgWnXvANKiQ9U0c65Ec434OWE95YaahyIT0thfIC
bRxMj1cVvSqGd73m6/nMVB5RWnE+sPyBbzoum4kfsm7PdlQk3wrOmOwuXultY7WHC43hG8NenqCl
MAz0IC9PxM2VLHkta1pBTqZ/QT+tPhAS7F1GKnBzKD1xHSD9JtO9VVG7QC4cMyFbhscJwjljO2xV
yqHdZQGr1cL/7FW667JukgzD4shQxNwuhBQEbyzqpe+5lxkD2mzjl7SvBqbET0kK8rxg0vtcV7xC
bcrDE/laAlnJ3jmBWplxCbADUduFB8MOo29W7+D4JiaYNw6pHMK4pCLj7O2EgWCr09iZsyR3rSPu
Bl0eKdjG9kB0Ubdyu67eF23TEZpiGAyDm9Z+xmMuHlxX0LJDvBGt6fNwSWQMaBLDtkElkTlsLE4/
OQ8hHWtkcIARSnvkfZgDtRwsR2Zbz77jQMJ0xnxa3xHDI92tM7XGjk8OH8K6Gz+NKgo4JK/lU9kF
yabhDWF1ptohj4poaYlQLUNEMFmldltrDgmwHKdzd2vW5ngwAlt76UrTfsVVNX9LOVV+L0jc5bg9
pLhtncmgc6E0zxzK9inNlS8wX5x60/l+iq+gyuNqWxVjhUtwjK4jCYoriJ3oc1a2wb3DGR8QcEbi
b9LY+n5ybdD9Zuljo5HJS1FN/JvsXI8aTsq5F9zOuUbFmurBAKmi1WuG+V7vPC3Nkv9u5dv/dxMe
GvMe6JN/P+G5SdJnegnvjepvf+jHfMezfrNMkDEYzgVnfpRyf8x3dJNRDngvthgM4jS//jnkMaX6
Oyo4ULW2/zngMU30cwqe6PDN1J/7Wwlxtv2+u0vLHJ87Gj1P8A04Sn3s7tZ9QuPREdWJjWfcmBh2
2rBvd2bWumc7JCz0aJM+zF4M5sneJjX0h09ha+O+lo7BWXgkmn5GAZx5kc/Sr5n1QzdV6YWLHzC+
JRG5/trDb32yZyc/hSLA6DzExsZTYBYOzFEG5Ndn0SeBcdP2cX4Zl5VWPOVk2F/1U1cCk5gE4uS5
JzQ7NHATYqP2nvpowoYEwlitnrwRX/ph7NzbCcM/BNYovIyNorW25jLf9QISl557NfbtlglwURdJ
sCuV2u6yRZDVBjstzXRYE0ANwxGZXcQucU3MDtrGHYf7ubwukEk2q3BsarmW9Gwt/8Ap2KzHLeYJ
XctOOYM5FySQ4SMZ3yQdaZ/XrsG4d1j5KdeT8I4p6wY1HvF0YjZ6EMlrAfFEfxmGtCGLIwkBjGH8
zhsbAG0eF3iwsg5DCjq3Luekwbhco6tFig17S+jOlSU2JMpYM45yzsjlmq6JEcoE0wRxXvHr7E9T
Yyfrlswbe9MHRWSxtVt9sDeS0a+vZdZqR53D6C10H59IY42gu97CYtuE+THUtH4f4Fy7TzSHlG3U
zFCXRT6cBUHvO4fO4rMs42Q7pF1KfTmFm4gdYte7WXJZa5G5Lxorw4zTdvsk70l9qvLCWaGR6o4u
SxxReskuy/JiYzphcGMbHibDMB03jsWSbLWcpWMnKA44Sv0zQXTZZz/XSJ9JwBKvZq0vb9LY+YSs
PTgTBd3cImCX57RM+qcwowmF5hIDUhmOZ56HYjf1RfSYNiN52EYxfSbYVQNj1OGi9aXhc3CM5LXn
Jf4jqfHmgf1Bu9FG7NLoejQPS0NtXvqOn4JOgFm+EbJOpsdSeXBobDifKkfk982EVXZFLzUY1+Tu
meM6ymo5rgt6lse8NhxUdNiJsNTl7XEggGk/pEnwaJaFeeHNkgpClPbwgLaZZGa3hBmw6ZI6/S4G
y+EMJjmorIIiz6HrFNSUzFAJYZzlsR7sh7iSmybuLHNlYc64FFMZEM5DHx90Xt31N10QsCmNY3Fg
rtwRbjdxr7u0qc9h6uSPNcrufY9f4ffBCD+LCtUcrST3xJ3OtlOJr21qSjSkRHiffacJT3hC6odA
mPOXzpwzrEfDaLzENG8vtDmXMZucKU9DOno7Ky6/9V7lH2jCV9twTCDGIH+/9xK3+0JUXPp5Subo
szm0kb22Kzf5XLGtYdjgDXO0tt7rUhhb7EftLiqdi6FASZ+5UbqP0azd5F5un4YRZwexHkkMSpqc
QcRRQJdne47DFUkK0W0ONuk0auVYQ/hOiIIX9HBCFLu02Vqt2WDNnbbF0KFT8odQXZd2JWWqjME6
fohmONFNzDfmZBuPFhyem1arP0VzfR+Xmnwd7QKdlu71erKyB4aVa6Oc4wfJeOgiQ7J0qbeoJp24
oXyMgqNnNfJqGuqKV6Nr7mcg2xu71osXp9OxiQxzcWv63vw7Z1AyooWGe9rLhpKzYWB9AhaN4r7C
PaQiKbEt0IG/YrjcPbWYC/IiDciyyXBuJUJA7BnrE1V68NxAfPuW4ileN311STk3bG1nGDdh35lf
jNCPDqYmDST4jDcuFzaohReCJkdrYGlOrFC/htSj7epCaCFmALc4J3HDcbBsBeVdxxGsbyKOxxA8
qLfpfTAYNuig3RWDRcMjCQbzvm+BhiVDRkeAaF6O5kubzPfD6c7SaPUUPaj8TrHNadtTI02tam4v
c5gAaApGDDcEvjAQhQXtFDi70JprGUBBWAUd4kKmhphkmig8FpmLTqok7uWSgq64RlCU8IjaJFPq
4wve1PyONMnpCES8WfMvDdZB7DdHOym9fUsT8VJrDcys5Dm+WEVtfy806xWNt3FJQ7pp11OVTcBo
421FGcFLriVXwxi6V56ZJJehjlpsFc8voQ6vqtLVuGMcPxV6fY+ySAeKXoekc1E0RACvdpEQNn31
2TtXoi62DNdD+jHN0BzoQ12nSR/gfIn8TZ3X4nNU2dY+Dmx9x/v+Es+5e1cZzbAOcT0+BFKwgoR1
SXh9kiG88u30yi5EsLbJ4b4qYH0fUIVDQXAyEA4W+tMzT262IWh6uGVSXr9WY4PnxYBYxrHHch8D
BnInvuG0MYYyXxd2aZN+ldjZbeZr2GgNOogib0nta4hDxMgUXSIGkCvq92LfdmO3sbqxfTII0dqk
bkFYlEy+tmBr4grz9Mz2eAmyIehWTjOENOCqbJU3Bbr2LOTwbY7Nd2H2ybYTU3cf64697an1t0Xg
0jV3oQPQXfLvIzIXrh1dtvvBMyu+RVTf9EFsCqI1PUUcYbxEnyXUjkN3Qe88XNs5XA7dSr+iZ+5I
xHCTVxAuYkvfiPvqul9DN/1Wk+d2RCkp17pMkk1l81fkP3mrCTHCoY9a/ajT8N0wCzd2RhuJyxmy
1IsXuygm01Db077QVhZDmHNM4/tkkI+7K9u4Ah0T4KuuUu9gMpvaSSJVNhoQ031ihP1FBK6N92jE
UgCiRtvoE33+sSz6rSmb/KW1ByojXOtRF+B/nkLnMPQmnUH7araG8pBbWbLSEXbsCmG/VHp57lDG
r/IIR5sVw7yrdQ3kEOO1CP18GDoRbLaZE0aqOwyoi2tZ1mepjOdNxcQ361Z6ltBeCPM7V2uTE0HC
wS6vS6AIHjUfPQID4XN4auY02PlWemVmmnbnkeC+T53OO5DfGWxmMztrSX6LUSbcMa1nNoAFeO2k
09nrO7FJ6KLtmxaHZgurbWMFBe21sBP7vDdxcGrSvAE9j+HHAwwD5Sw6YGYqGB+Ib0SSaVsbrBx9
ITTSRlTabGQJ/tLc7M6DIbyXKJuqrdR4/HDoHpyxz9FNYOak2gtXvc1QE1txdxyz2jvEeaDRUZnd
U4ZDJ43sr1gOPv1vLfWf8hrBHUVJ8+9rqetvv9eMsN7XUm9/6B+1lP0b81I0b9YfEUj/0Mrp1m8M
9CmaXGosdtl/llKWKrJMw0TctRCG/xyOpP8dfRw8mXezdlt3ESqgoWLcThKSzRd7LyFIzU5jgw/7
SzObvT7EZIPcldGiaVXxlF8SVGJNhM7CqQ6/hZ0SNvOoDw+2Ujs3SvecZi4S6Jyvf1UrXTRtTudy
XMTSrdJNG4uE2mCh20Ge7L5YSmFdL2LrXumuvdaNrpkfAadZZNlQMo1tCQh5DVHFvG6Vfhv4YLXT
OZYjENfz21bpvL1F8o1KIHmEIDWcFPC/W41KHa5XA+M/PdSYdLuFd5eGbnZXGy35xijLG1egMVdq
c6ey5ztE7PWdSp/YmUqVTkN63DLzbk9spTNWZZMOoiPGrRVaEi8LmcsPHUCWZymz6kB7xGd9nqER
VlXZ3CLOCz9XWdJNa72Iy40Z9Aa6BCnupV2Fd/boxNtep34hbScfL+tgMC7dqvlE1B6EP4EkEiRI
D55UN8v5IW+7ZK2L8fdkHGuIIX0CXUbro8uKtTCBk2A3XwlJ4rxXcQ8/pUmcXbtDH+60NpxPdQaM
bhVOJrk3vSsV/BDqQ+xr0a3hNfFBS4MbTMXxDiVYAijMxqLJ8P+gD8VwOYZ5d5lrIoJakznuqs2G
6X5S+vQE18i6Rdd/40JDOExGlV/JSh8urSafDiTLmc9EoRcnuB7tPWP0dMTXrCXb3CiBx9QheLGs
xAs0o4jeVUJy5vPT/KwxB7lnvt0+Ab1LvzOv1B8Mpl4bJxnzm6yxtWszkuRYIM3nWuHdIBXOu60a
N/ti1lG/QxaQb9jJdULEE4i9uq3BKqvH12pomhsSTIGXju249sw+qigsJsoLAr29F9OMMRqRLImI
WZtN8ndG8BBby8nDc96oI7HjVS0I+GxeZXqBo5pOAhQIRGNoBS6W9AJ4feW1VXNS6XIdS60xE7/T
BONuFJo3bnvNiy/LGaRmSiV/0BmGfGOdjm/Z5nKeqWC+SSiDS2QWvvbiMiDMVn7QCG9VDQ6nZ5Rd
3UUeORJqITtVRE21or0cbxT/8UskMv1zPcbjpeMl+ja0mu6Klhy1VlFW/bnWgvmpSkvDJo+yHC9K
JAcPCDDsG7eycNCUwZ5KHmuV3rTYZkJjm9hmS5ZqP2ObFSKXuKgqMJkchu2N07SU5w1YGix6ruMf
mZr5RwOIy5E9rElXQK/gAvhjxQzJqf3skWWkvJ1y8rvzoNK3+IDsbaSVHIFDSvF915cIzHEBbWu4
eTdoJYKbOrSMjVMhYEgxXKF3AGzxufFDyXTH7aZ7NPVmsC7zVNvOsQgPtuNnp25GCr/KNDn4616r
7H6Xl5NObA+tLUgweZJdaxARHqVgck97tPDLtVVVPitJRLztnBWvKcIkd9U52XhlzpIjMinwUbKJ
p157DPqmoRVOEoKPaTmg1RSJGI9GjPhhN3Iwhs7kluPZSHXxuW78vFvTy6jLapc6Bf7NK4EycYy4
cUHWkchS92WQeetgmBy8i6PeNfq9j2d8cj4Fkj7qXatskYDMCCXIT3NpQL9bty7ssHJj9UYy3Nfx
GHC8DxI/zOEUpvpgf8pAfFZy65bAPXZa17Xx6yTLUiR7cGN1zcbF5va/PVXeo2//9/88v2YR0qum
raOX9p38nXhMNsp/fw74HDUvJBFF70Xzb3/qx0HAdX5bpLfCJn5BEn2InPAf9E/jN4YEDk1NC9Sn
6p/+cRKgqYrtGFg9f8eQ6A3/2Vi1DOifJgAZJPWGkmL/LffxRzEjOHL0qYj0Tf5tLNrq7/+Jio/Y
O0w6po9vA/w6E+OtLWDUY91hkrQk0f3pAv1EPf+zD8SAjXaeNorriA8HEWjZRom9zb4wbcPdiB7a
/6wUwU7qVodgQk3x68/7qJ1UP5A4Cq4XknXXNT5oJ9nr58bDgnAhi9B5JvhAXC8CgEYFQf76oz7q
GfkobjVNcOoqXZLh+P5a1gDogy4R1gXOVOjIEvm/3c6MexwjYFJFB+RRJjEzIJ9B3q8/+ie/kicJ
W4br6lgTFmntn24j9PoenlZtXTQGUt/cLZW02c4ZGtJu/ausAfG+F4/MGEU5qk3aw4AASeX98ENH
PGeZHCOLHhcGCWQ1THlXQ6wjMOhbyQQuR9oYnsAf0lGBNNM3zJUKpCBAsJCKGflf6Z//9eeTd+Y6
DuJY6cC9/yD9Zm9AOwSr8QKKHT/XYy1F5QoC5b/4WWpIwoyEgxVq5fd3mXpdT0NCdC/MZkCjZWkw
X9tsBLKCVOHXd1Vdxz+4+uo6O2ihObpTLfBofVTPRygcGOl11gWn8u+Nwb6EKET7C2PCz64di5BY
PoxV6sPNRCxsydZILTK+EQPHbk9713UAdAj0DH/lIFlQwh9/EkhIAbPf4hJ+HOO47NL9rAnzAv4t
HZ1FlC58DUUDdOvyya0SVCYqLWoJBpnC1jwGvW8ef31hf/IEOwSkoOlVr6oa3L6/ib4hDN8nyf0C
yoBxMpNcQFRQ4+ZSa3hCEZNk24TYQnp7c4c7ZHl5beUq+U9Ep/zsDliUZoQyc6cpDN9/mSTFopcl
JS9vjxZnmf0vARGoQ/4qG+JnH0VWgosrga3F+PhEkaWEbElW5kWE+f7uLUGRvi1Lvetw9399ld8v
9SzfhMrix8DjTCTXvz6+ZdgWKeUSxnh0V/OKVBi0+ybiwXlA/NnnE6vDrz9RvF+C1UdC61AlrsOr
w2n8w3ZWJjPDSCG9k+6jzrJc8sqZizQ4GgdiBqIGev92UViEboxSK+CVylBkX0g4b8PGjZzqMKuI
lmUFeZPPTTMKNeh6GukDkZK6/for28sW+8crgYvOAeenjEHY5EyHrfH97c/dMbbGjAz7JtWznT6H
866IHG0XiCbpCGrIJnwaCDBqiEQUm5OzZe7qnGsEa4w8SMVrVjRpWXt9myRKOljt64hTlxnOohQy
0IWHG6btKNtsgXRmJQKKmkVIkqrUJIJp2tdaqRMlBtOa6YwBv98g5bZVTgA3sMxTHXMBF2DGbRCl
6DOxAnqPtKUICg49vxIHwfwOY6gM62GTeSEso7SO4HgEXWQ6+zSv+Awl+mMmg961cnWdCtgymGEo
oWMTFjwhpYUsBR00AcEaMgbnNCi/AwiuDG1zLQgpSNKwfUWZXz3JkkrzlIlouhNU+rdgRUDzz2US
RF/F5HHLCNh0lPMUzd3jEuCXt4nznEQGT/uSXzDh4n1tRKl2aNKInjOkpy/l7BuHvpLVXe0QbG8P
SIkYhlj9ivUXntngAZleL4pOzUQ8gk4MH4WP9AtAA1HFWDAeJxp/+8V0tNhxFtVPOxtcHxJP5V3T
BPOj0SPXLT0lscocZPWC0v81yQKDVqXZQi9ooDys3an2Hju4PSrVFUDqW+h0pqRMS3Sx1SkJ7bLL
5ezUjIqdFLBJBjTxEFhji4xRSiX+CR2aqFmOjfsUqoPJ4ntaBM16bKAowqEwblNdU6m1SnRagQEO
N4mJ6E86CVdziuOyRWTlgg3odV8CZFPrJfm5yF0aq8d2Y4zKVGfaUjX1mVa9OvDcU57ggMzgJXUp
1DATbCabof0akTRqMDlZ7DdQPBmgiNzkWe6R0Tw2OkjIvdt2pIZpaOBKoRKfW2rScQeBlUMHPgUG
M6UZzPjG0zlYi4hoj76o7GcHhwI2yCWG0p5EfR+Ys3GYSSiBXkfixde87/MHd46mq7QChFE1YyFW
1NjC3QHqqk9RWvTHIFXy7CYlRBTEe9Ft9MZ3UDzO0bCitUcgi7Tj6ZpoQP0is8KiXMF1A6toN4in
kZKvp3yeHhJQh9uuADZ5SnQmGjnPJIQrvcnPyPDod8d+lyHCqtvvrkW0Ctl73bXn2OSDTmPso69J
WJnWRPlm20Evay6CChd10qRudo09OS/jLMWmUdGk2EcAiitz3AAFBaAGhSvD0qIrrr24FwNIgCb8
GihXgyzaklxs2NNou/0LMbUSCHYzOE8lqsUdpfz81QmG4mRajOSZtlnzV3CzyZa88nndiJ7b6GKf
BAg+5F8hfcl2g1+HkBO9lnt1GG1WcsRHslG2LcZP4BV6Di+7DF6xWphQVhe6f9chozxiESyPMflO
u8nupv9g70yWIzeyrP0qZb2HDPOw6E3MEZyDTCapDYwpZsIxz+4Anr4/Dyp/U6aqpZb921ooy1TK
YAQRDsf1e8/5ztc4qdVWGKnxMEd1+ZLm0l0XM8DzpmJYmrUQD4O8ewsGl/uDnOVNbJdiPcrO2pVN
zQ8KDTS9mEBIZYhhjMFWEdbGD9D0D2uUXyCYVh2GyaTW33yjrql0w4Pt6NDbKpVq5V6icF2digvK
UiA0bnqkzmTmLjo919Y5uk3ut81aVv1u9DCykwr3G1kI9UtUpJDoImva9QZ4Uxzx5j6Kh/KBpxIx
vWTYiGvfbdWqSUy+0QBn1zWaLlAWw9jcM85lURtkOw1vFym2YWfcEr2Wy2/hd9vZFURACmzbmdAl
s9sO70lnsiHVS8SckYQc5rsD7oAuGPHxhePkmVstFUEYg/oDXw4qgGWNnap+jS13ur+oCIO56BCJ
RDyPw9GL0YXbbn31kS5DX7Lp9x/eZnZjCrOmZredOEf1PeO7jS8Rw8nG5dYfBenQ7gTU4nAR9DcN
y3ZdByQvrXL0j/AX2oR6TiA1sZzarrnnRd+Uv3qZCJtvcyNdbdcY4m0RDFCKM1d9xefXMhjMDe8z
w9bo2ImoPxT1nAjyNZN0hPGZiS+9HN4ypKpbz00TJssz28cLxP7ReEwXZAuH0BbhrUSByCwnzbdC
qfaQGf4CErNqPjGbLgNgWa76JL2uPCP7/ga1+2WyXesu16xL9lUdRhl149YdG/s9AfD3vqSpekzG
gG+OO54pK6GDEfLugAAAKdIcmEzRBycfiCVUZFU0Ja1X9vF1PvaJOgzRZF65bT3fEBnunP1lSmFu
0FUGi8i3wBiMfgLwaajZW6Agxc3Ude7dglbijubbeC7TsF0z6O5/c6VRbOthcb7UkS+vBr9ZUDnG
duqv+hA+cQ4cY6VGwGFw6Qq2iyj2AE+G7gkL2Je4MdSjGpIcb/Jo3sCI837NlZ8n664QEc/KysJO
QoP5NkKICF7Ec05GpCJ/JWTSv9kpM/8ycMixTOlfWr5p4GVDP9LtLba8nUExK0kTsW0myQyppp3A
X/3k500DCMxZHptUID2Yx+VhYCYNjTpRr7Dm2nFr9r2bngi2mbx1WONbXIUxQ9BbnwTwZh+JsT9w
yjWus2CpPwHTsmEn5iOMR9sIzBytaahuFU/4b5Zs+5uxaeQeZPl8VWV9CQApEjFKaIvjBfFU7R4h
B9TShsrCWCcykA+JLQnuqbKYYXLPlveaTwNksrnwIJ7bbKOOOYPGJZKgUhu77IjbLmAg3wzBvMC8
jVorBHQUwN5k9/1a2/4Y7yIStNBXo5l13dbeOoW/HPoxSM9kH7WfGCD3zyGBRFtCvxk8ZxNKc1iE
K9dESryalizYOA34/zUqavGO6ZHn0GDOiIMYGBQbl0t1L4HC7mnEBt3aA/J7h+d2+mR2yrjx0gGD
Wuq0zi6kaR4wW6i8XdsHnlrXdgpvc2TtfkP8OX1uQmf4DZ548K78geGr2fhjv8ZQgJI9qwsmGDHJ
Z9+WYWnTTUck/HgIhuabJ6bkvs+waq0WWm4nB8FBTWB51W4EmPh55QYkSOc8ne+MAq+NbfrxsIkS
avaEWHkCE0QdoIYZ3SG8ykfm3IYbyBeBBwirYrJkd2htA3MV0xZGVFMUw6oiCgQYg8O3VtBAcg9l
g6BnfJ5EO8XuBwPhP73Qv+mF2g6Wuj8cbTTh8Xdyo0ZI/vd/3X6Vb+8/TkQ/XvJ7I9SyGHvim3YQ
3ZBJ6v6hEWrZnHm+5x7ZzEDxBKPKxCED84FB7Hfuosd/wmhHq0cf2T26XN95k783HkFVfvAn/00j
0rKRx/6hveIBCwn026CbJajT/lMmoxhcJuxd49wEcR88zzh2jrNjGRCPlsLczKJsW/Co9cm3uJPZ
J1pcxgv0fCL6iv1IrXvtxeZov3hiyW9rOHMA2SaJBM1uWkYoY+fOYNpc+YI1o9sMycxspZltZlMy
ZDSIxAL8qi8quR/VbJ1HDA2vlYzl3dJFVH7aizbCJ+0CcojiTu1SCPEHxFqY3rpcjvTd5mHvR3zE
VSMY7q2ThLSzjYEe5d6d58DfiSlUyYE+1jJupjwzv2QoxlCOzHn+3gZGe8dWL0us4uV0F8d1D7M2
ifndy4az0IrNJw+O9dy5CwCvcWr2zC34r06P1vJEhjEHOZ74Wp1UkaxQclA1TiEfkFNRvBikSbRY
Nh/ssKkfIjdLzkuWy7u2oPjJgBFvFPJHntV9DRVSdcGhjDgmrjMX4QYAqgHTU0j1uzFwmVCtOrn9
aWiaIViajYrNemgPseWl476M7cQJ9iGjn2QXdAQem5spK7vKXKPpn27RI5aVtR6Y7hzd3qpHjMNJ
SzBE5tMgqPJtGhb0QD73TeH2zlliI4Uy56NRCr00ltNt3ko3ircMb7to1eCcKXeMgEKc9w5tdYoT
Mnjiu9iajR1uXguZk8fz3OZijhQz1z2zXLFhJuYH9cGkaRhf2R386E3r9lIvnGDBr01q4c6YMpXD
b/ZVIU/DMI4Nara5zAaHKKi+l4rhU452v7dekljY9vLKoGmuuvdBtUMJnTZfliJ+uNzF/9nw/nbD
Y/f56w1P/ev0teu/zn+cGXFO0C/7fdMLnF8QF9HgYd/7Lvb4ffoTQECijR4iqKdh9QM2yfqF5RUE
IcCWy+yHluz3LTD8JeLHsQ1GtokX459tgYTQ/bgFQmbyTFApHHBCWtmQ8n/sPdktFloHJeMhwiqN
ibBzmIBjdMyvRCy9q8nsWvmYeH2MrjQV41Gm1fCAIlmWeyYZcw4FHOLSigC5FN/a6JDPg63DbuhY
YexzU1RTvQnEu6IRFLXZepkMdZvklnA2FrFfT5NdeS9+Jd8KgJ4JP+pJtrH3OOT18tB30RNYT/jm
VZO7uFUKqjUamxizCZi7GdmvKwTkoXXu/dqBMzaYL1GONoVOY2qfq0rlp74Dlo3IkrK/4YXKD4wt
aTPTbYkFfGMZlnWOF9sgHcyI6LB3hC5wWsBhJMul46TCNoIoMm/eHEnsyqL6aL24fba6XKhLqHkX
iC98/ylhnj2vVpZkQp53S7gPCQOu11k5HheI6msC5nhh7ykOxTYj6wx1Y1RGn2W2cMCpitB8Qea+
3PiNjNZozEm7A8x4wFXcHaUx8u5WiH2e0Jl516dDtFZp7cAYHaKOUIqUttZK9c4CdD4cdXJqYryO
o+M9AgNma/BHx7ruwj4y98qziuc5L8Dey2S0XjqYA1SZk8lPK0ox3YUYUr8tQoElcNr4lItJvBso
0m8bRtv7y+dD9tkdWdkdoUb8ebQBsqPdK3E/0O6s1M7sxmo/YhYkt6RZiPfjIvfhPGyrRY5iFQyp
fZ2EFsLS1TjQRLgmOhS/VlxY+XJAfNA5O0EjCaMyOIaaLgnpGpVR56fFrY+yc6FbkGE27oY0sV8a
AuL8ndXMIbEjubtAzitZC+TenLKx71H7a5Fs33speFCi/OpyKZ47wykeRdPNL20j+uuwcqKnbJHh
Tjh252+YxztYJcbkKm7h32Zoy1HSzt6V0fBlh34GiAM+IxMvkn3W2YIMxVvsvtp7jD5XudeSq0N4
HASyrAGmV6l5H7p9hMvKdr4p3yH+Ne7KsuYgvEw8HmyU4LsoMwdxmxc1PwsHbrPzax/2w9qljICK
KLs6yLYc1PpzXEbzTbqofO3UebpZBjO+Kf0yJQ8QmejeGiILg5hwnosxzPfYDAwaIb4g7WUa0jLc
55bZPw61++INBbEYnvmZR+WcrWdIPwIv6GIsW5kXNwAiUHX2lu/v0nAhpy2wmzXuk+qUxFRpSIPD
jryFor7v/aV86A3H36l5Lu+91LVOI7ww6BUt7T8OMTqNZ9hiu1tOwm1zXIe2ctaq8JxPE6fGlVfO
JNwgqOZGRe+KJJUjaGXTk1kj9sh31SCnrbbLkDEbZwQWq94gg8bhZIem6w5tWX6FXsW7H7yEnCXs
QTqMtgfTAsMkzjD3R+51QQTtuFGTGbwwiEpvYstKfpu7LINSXh87Oq2bpYnyTcWsXBGjUpNiNGfk
Ca9NXvO2tFEbboysI8kqqcv2EXFpk2GdtsR2FJKEQOSjy6fJm000K624lU7TnRazqZ8N35v3dhuY
nPpmA8MpJhjT2NKTpdSQxUDogqh6goEqz+JW9pSFvl+ZG+n785WKKaLEtPSfI35/h7RaSoZjU9ZB
v/GXBPV8TBIfYBCdc8sRmUxBHb67MttxXJMOWWO5q5qOE70tnvwgMdG8FXD57a7MriRW4Xkt0byu
6AYTGeX4dLww5017gf1zrebyjfjldtulsw1buw1u63k0nvKc6InVaDOxwFaRkcBSFQPUlnDpqN1y
OJQVvtVasZkDsGRX6jkBv152ljYfYny0ZX4qMCxtbGuxIHDru6iBe/c4LexRHQ7tjW/A5gbjS4jJ
Clskx+/ar/ZTwvbMCdB2uR2UfbY8/UaD6KZNhX7ZWRcyX26UqSRud2VE1S2P7RkiBY3uTV0vwxa4
9nLThZb3Mc/5T7n09+WShpz971qZ26/qXzdfp/S3+qdySb/s+xnxYjN0fQ8uJEqKH86IJjBJhmdU
PZRFP4hlLg5EapsoZM6otTJ/qJcopRClobTVwEZtXPwnR0bvx4E8O3fE23shBjkOn5H38+y/zdyC
KUKVXXf2mM5vbu16/aqiW+tuTUEoZ7TCs62y+ZDCjymNY22LxuuQfwfVgcx4cw+VdX7vHEDBa8Ns
vDV2dblcTZUffG27Itig/fO7pT1UQ0JUKE+YQs3uo4ESMRwT3UG3G5gjQYUw0JwT9IJQTzAPRXfg
34bggV6/JJy38QeSOx+dioDXta/kYL4SGg1jcEVCLNaaTtT0jE9paKj1FAaAmmXpgS+AjOPlEw1q
6AlN+Chs2mrEoaJUYs+ySCzB7Zdh6++f6Cr61jbMgL+YmD2Y2I37qpGhTYfTLEkSTq00B+Ztthj4
+24XtM187+GBh+g9q4yX+rOx/NpUZpDe/Oe88n8SrZMtjVDnr2/AV0r3n24//aLvpxXrF7oqNjI1
lxn5RxzG99NK9AsMR5ssZUBtoF+1Pv57x4a2jL4pELQHyNX8gPv5O+XV/P9Jqv5RvOABCNQ2Y4+D
FMcfrfb58bBiSb+VpplQ/wHJoqldJd6d06nmdilUuPnDpfk33aGftAuX90IqaWrJHgajn3UqnFpI
egit6hg4qHwWiSIlo8p4vnDxWg0/+uv3+0m4oN8PnqBtByAFaUj9fBCjGLWDJjR5v9JiTsyoD98V
kdfoxibXOVaDBrQ4kybV+Kn99Ndv/vMpkDfnGOi7nAKZe+lN8gcRINQmJqB9Vx2XjkTEsii1HMeS
4fWFEHoBdMW2+Xe/8r+5xACAQ8f1ab8R28yy+aP0cOiHrFNhUB4vqsPLZF/C6Ydpl3YQQmmt/801
/tMbYkgnuIVFpKUWaCR+fMPMNCbktXhnYIog+aCFQ5OPUXsZOsavTvwdRfC/dxj/dF0DDymKPsZH
XFzEKT++Ib1o+oXxJA8jDIUcwXHc2xTLeg73IVSbYbvfhkUFeIJ8iHMrveq5apoAo5yfL9UqCfrg
TFS3Pa46/D+wkfRRxZqi6YWc3b9ZBUiN+Dx/VKLwvMB7wL2PsJS2xc8CxqqMwiQrh/HgBU7iPhkl
ycxXfVLgykhqyl4i0Sx1oiSeoUcAwgBAVCXzGewFGBtT+P4p5cFwLGcN0XF6RAvCL1hLQP2BkC6h
dTulohQnadpIVwhFsm5LW08vUX2hrqGlitvV6JigqtleUDN4k3WLsQ29yag5po0BlsYacGHEqaaW
LJ2svS8hJfZMascySQJgW2akneMhKGWX8DdpCBrwkJnS+ExecxSf246Sl+TzrMWnHvSzkZCxR7as
9ZVVOhEDZ6XYPm4GN5Luw1TN6royBeIa4k7oCmitE6cjNoLuwhudZM8wVNGrjPIW+iJU/+b1ogRc
OhPcl4SDvp6kRNlWOvKeeRa0x6glfHQ9mZnWmXdA2DoYpR/T1lLGzauDAv9stIb15GkBRLqk3psX
gT8+QqefXv164Bnuo6hkMqylpEAe+U05+KpVyQS5XV9gW6QcIuYZQ6SoF9truECrizWODlvffF7C
FuxeuyCXuKB5E6RQraM8ZzcTyRauo8lAmHFRpH2sVZElQOyEkypsB/lEGZLV9A1czybub5YMiXsl
mS0b3ZyLUxTEaQkaymjLAf0rgX5b7HDis5BoXcKG/XQz5CPAoQ/KELx6963uw+YV6CQ3/4W0p7Uv
TJAZd8NeYmXQhyG6XKPdOnwwKOz1JJoeA/oW6dtcUu7u5pV8PIbOSU13ZidplCO6EZZzHAVYoJVq
NIZYuYBamP93h8v1RydDZsAYuluRB8EmCg1cSW0VmbeXvzPEhLaUSNjYNxZxMPhdH0QwyI1Komg3
tj0LWOjbwx9yfI1MxWMUFThK0Af0aiTdbgqjs4M7vKNLRS2Fq51uT3Y7tH7feCsoBPb02PgV6o1V
XE+x3BUZc68YTyfTR3JjzaOyhkBiqid5HQdjP6TGfjZH4KBtYszxGTKRB2gB5ib4RTEO8bW9RPOr
H5HUKmejlcRa9Et6r2bDVjS65Sz2fcXgoefIqVAlEDRphNJY13AlEA5LqKhJ/9Q4sdhOOkgorqJ5
FznFumWmdlROS3RjmDm3XshUjsDkQxzN09WQ1NOTX45kgzaoCHzbmG/hbvlaqGC99NiMN42YffiW
k0XKqRjOSrQMHQZ6jb+itotc1ldPTwAmx3QlA0MecM8mHDFNrRUw6+U27MbkHQkIdJ0yDU5VKvzb
xqyieDUu7nyN06TkC4doWRMjl2iu1DK8R6lAatQbY5JuWNzRycX9VW0i8Le0J4IgfnYqFDT0A91P
zPVxSnftW2UFpJcXpuceWuWwZcMmZ9EhdWZJXWCLwtK6Z/bl6cxjjrVsx5VIYQGAASajId3P/dC8
evRinnWqM/zBJCy9lSfldKbnEzOgpLb4EL2RBgceNVdvU413JfN8Nszazp8yw8w+Z6T6gHXSGD6Y
xvCOAkBNYROZONxRhAEjDOsn3yu3S0pKZM+vkewspwy9k1csZvR5AWv+a9kZxnIEsTmGR6fsFket
raafdk5nkRjhgxv7QrSg52+7ikN51MTXYO2S+67PxDEJo6dAiPa5GLq3uZz07p9az0T9jZts5DqR
HcU+7zVWeiL2xP51NMCJrEm7MW+aSAWPNpY8TjdSHT2ciHLjqNaCU2UFTIrqLtxFtHnuphEg3Q4F
53OJHGRTTz0OIwlZdkMsSktkTeF6KFicuLqtAsP9UlgOf7/hidV9Ah9ox19g0KUdSIcmrndLWNP/
IPpqdBk358Y185uRS1fiz1/oEL3MQUi4kluFdyS2mpuMXwm/INHU5GzE/Ws9IS5iSAdf3lHI1nNL
8rW2EcC0lMwVNgu3SDosjv3M2DALbw0NSetKolM3wIr7d7PIIiaEHo/B3F9YNLRioN8mJhClydBL
ifYYnT+hRTUXHGN7IdVkJKw8S4zae3/QOGYAbvQzcPEnq/JCagtCom3ThokajfeKJTg5sP98SFgl
fUQE1EUHz24Wkn1QekmPRVrjSyPauussrHnnjIcJyWcBMtyLpsf3FPq9iwyo7nhjJ4aRv9D2GteX
LTAQGj4ZGIle+gr9+/2gKsRrY6Pca9gktPgLD4Zsp1V/lQOzhLZmx4qwF/R4zPqm+z712KdLelII
AFttBqBljIoQPo7l7z8+llV58DhbkVFJxIYm7wQa9wZSG7bkjElkkNS+iDogXgIMmU/0Rv2qh0lX
uhivYGk5a7OL6ldl09O9sz3Jp07Lht9VyYW3rGhgBWe3bYqep4U/uDVxbSLRvUgVmkCX18nk+idU
aRlG9dabH2OwYq++sNhY547oMdV0WpJRjFnPI8NKnhRnZMK5zcK/dhcn7NkXsYEWtWGemlEY34au
jfYInqJpxWfWGmIDJJs9kcezCgv6CHDfBuvJ6VoeTwltxXzXBRq4mEypvqJtzSoEYspjfWxCZGAl
mtLqMdbfaJY5fE1jqTGnPavIsFpODYO9mB0gaUI2020RMqN+tozZ9VyuE6Xlo++kxvgo/anwybbG
syLCc5GHkc+jCi+sw9wzARm9m3NSfa1PWUi1nOwnNSAbtCg3CrPG2WeieV3HRZluBgUGAEiFvS9p
sCrAPcI85W4nbpEiS9hfYt7yD7N014tORbY0N3z97bkO2VlyKYyXyYjSkzGQqiV7DeSew/KQoOMm
aY486GJUHr9H68N/iOlQBtGVO/fxumW2nIRs6U6XjDvLTKxNt1jlqpsmiCUSo20yFNa5ctlioOEO
9C5oca6snIpk8Mv8m5G63i6UdUwiXl2irGxlvYEVpUj8rr5VBAoaxXwXTa46sq4pDMbWvIuGxryj
Uy03Egeo38/lYRq9dkttHD9O/kiIEw/RDa1ftZ1c986FqXIDMr564NvmuVxNxYknX7kHf2CsQLQM
67D0t0lU3Iy5i/uXS3VnQsWBVO6Pr11tO7e1LLEgwh6lgJzafcGcHNndvVNaZyq/aktImPkNc6R3
cj4GBSXJW8QbVYFy4xCt7/LVa32+EHfkFt55nqPEphw18YOKQDZrgydwv5rJuGYHESY7BM8rdsOB
Uf7Y2sbRd+a2uelBiCJz1aTR1O9YkYvUCbkxRtr+fs4V6jpJ2f03R3F9SvrhVBJyLkGUSWOBKcCf
9PGLtLOIJ15zaC6oQspYcA7/Bw/Vn04/gHEtSzP2Ofa7HNx+PK1FMdEhGbrYQ0F4EqDLILCeoA6j
YHYnUH++q48ul+3wr0/ffzr68756outjzHBdToo/vi9H8sLJ6qk5XBDLg1F2h7KfimmnAsH+VaPa
Pvu+YC9u8YOmf2OZoG/z89UlGppTMTc4H4KB8g+ncLLa6J5Yfn1A6oV4dAk7+ynUu24WMH5ZYcHm
T4THHEt05f0BkL1cgP+0zP+2Ze5bf92x42Er/rV+6+oird5+7NtdXvq9b+f9wjEL41voe4FtX4yk
v/ftQpcGuEVvybRc5CwYTf9f344YW+a1dGCwljk2L+Or/y4zcH7hr8KFtp3Iw1DoOf+kbY5Z7adF
htyLIiVCYkVAlOkEWon1B3siqv22BGiXHaZB84etKBfBZukTqnJbdjjnB9mg/AzNQPjHmJhrPIy4
BAlbX5jTrG1FdPOOOWmZb2uvTlqgBrWldOIz4EwUg/DLy5RCDcKFe2xqWMO1B+J8cEeW9KytLAVj
JdQLmtOkMuQ+PMKZ8sPCoC4iSvYV2HXz2pgLN5zMen1SrGAyWcJ23z76FBFHr3VdwQZejTWSpr1N
CFS3pbDUL3EwFq1zaAP3dku5z7CdN1aM93iq9BBbL2jUMrWmc6fdNZqJDLe2mYLuLrGrvD7hAKjD
kx8FOFKweD4VYODpRWiWulWRub5uXCjQUM3YBvJRNz8+vCO2neDgAZj4pCcXb4GN/rOujfHgSOF8
uhitKoeDbu+YtAv8Etl2oh1BqwuNPvM1cZ1QGETmMP+pFCkA+vesS7kCl2SrVMPenVi3rCan469d
9sJSpzvMiS5Z4LVhc734ipRm+pOAoLH0OtViBJe3MASf+K3dnPcMc6d55WzL7x5d6sVRmQ5k5bS8
qkRAvZBTYYUyhims0ukmi1N5dOqIODldtvOw1NfzQwBfTiU9D9Y1/8/HFwpXlIKR+Euqq1F/w5eK
ka+0718QjwKMV5egpym3qZfMHrT5Ax0ufoV6BpXHWsJzsAp7HB5rD1BgqlNfqcDEZOj6ZnYNbx0Y
AWdKtFZkHjZ5KeAx+L3r7AgdY76OPusbRlS9X8qKVnGhzsPSe7gpcN8AwsYZhEIgewgkTkDASfB7
G6u0nyoKlNfLWRDiMAs9n2C97ygB+Em4kfiTBwGfTWi+LvwMDf9W/Ds9CFaD3WneY+QM8JQvR0Sa
+1DuiyDgAU3GK4vPsKl9Y8kwahWoZngP3Ii0DnPAeCVUq104KNElGImQJ2sYJRTuEOqor6tM421z
VLZkg7JESYjR5t2a0EL3EIBcOBqZpOielcPnTpeRWrXUQHGHsTEWD1WyYmJrJH2JKipB/KHJ1FKv
EzpZdMp0UY/OmJ6hN9Ijs3p+2KD59LS7oi3xohyiJWz/yyG5a0ATX5bwpYaetV8VaCOdeb1IY59j
tXJ00oKykSZOCbcCeYKIEQVMlJ1Ni/b545w1wNXGO1SEukGmG4sfT/yPOAkNFPZTXW9faiBke86R
aVb7ip6ahASvISDMH33rySXX99nQrcVVwyEZkUqblLjecFh8hKIsdgimWXgKc3QKyD4wU/eY9hpe
3l4aWChdWWCGzkCBpcv1ubTnLke/DysHfVpceQLKstKBFkvr8xUO6cxPqBtCm1aFEdJ1HINeOPdZ
KzE4GR10R4biS7QxiyY4+F5n7j6OonDxOHgLBK5Tra29zgSYZrf0wIa3ETdFvKI1ygfiGDOdS7tW
4jxjkLkhuTrapjOeageB9jmP2J7DKid3oLQKfo7rl1Dgcwq/bKjtJ1PHIA3glrmCnMvODQudrGuR
t685tq4D1MhkHw/CfrrMVnxmnDE5xDQ5Hnuc5y71NFuks/ALT7m2nhmRtiUWNg3R2FwIm0vqgIOQ
U5WAtsGjYMrVsUajq519UvEtFZqL36c2W7MVz6wptCos8Nlf+Fq7ntADk+hPerAVdL4Wg+9T5s0K
jnFX0hWG/sJ6sXpGA3XFKlWI2LRLD6RzWmOzKRnRkFRUNjolNNK1YmDhSDm5ma6J7STu35MceH0q
PFZ3xFsAX6A1kJJkcOU2wOhHS5OOLmvetV1ehPuHTwk5mj/HwMdXriM+mEJrJLuptz2prHZ4kC0D
2h1IZfY3zoFELAhHr8dIe2mbVttFoFzGv29pWY8pbsOZj4eRF9M6O2ZhT1gpelbodA3yt3vX5+4q
CgDryGm4vA515+WOK2XoPqtqmKz11Hqd2F121roWnNYVEUXPVupU1bNKkjn/DEySfaJw9S5laaSD
K8BkRwUH9WxsywdLjDadhOqd8GwsPE2jHwatqR/OseZhX3JG1KIzK2CzcAfDzGuwOwhRWZzjZzEf
2H6cEnRiMlJCaLooihYf19NVSeuOuKUgpitFIGtUPCwZ2B0zReCGa8tIni+JKtXAoe3kVtqJnI/M
FZjHo8oWbDH0PpUNFslpO/+9rspnwgm6ExLsEQr7HKqJOsTpnih9j3WkH0S9X4G1m5PmimdMeA86
x4y5d6Wz61oUQC0xM7dMhrCuQiVYyzARn9KgpUM7V/Gv7WBvDYxQ6IIjb90NGtuXcQ+sxtIqDVxB
w3zsxdjAE4+6Mr4n4huAXDR8JjZ81zRwaw30hvcNjtSsDM6xDfnr80z3x+A5QZJ7fISXWLKrZtzh
ro+ciY6zvWmYKG5s34aBHDC6IbepdbM1kfblwSIPllght4E+6ObOLq9sGa2CdNmRr6xOmLPyfA1v
B1A+wkUx72Z/LoJDxLLs1kk/QiCyAxFdDY673IXTEJx6olcegnSCnDUZDVokZX1yLVnfGKZf3aVL
Hp5g2bJ6LU68vgjrbRJCjOCcATsvywPwh5OEHMSR11n1hje9FW6dfZqD8pObBW1xXbS9+9DmotqC
m1fh2kUyz1Hekd96pgZfRIj0q1e4QBcW2bb1gnQTou3azUYG+Uq2cjNPQ8nkr5nE2nWhbKG+z27C
ThA0xfXy37MhrHbLiHd4LlKTpDn1KYqyZpenQbcPYvUrXn1So7LgS9JO81l4M/3jAkaQk0OVtQev
e+hNLqsPwGzrTeX0WzbaT9hu45Wl+v4mTMXyUC6zhz9uLHcYC919HMngGnmhuwUT/NRGowEi3acy
2vZlW98MYJI3eU6ugKdEs02oG04joScnhprGwYvq/phHo3tdO9A7uWgVCr4WLZWPgHJq23BrRGg8
MnasFSskvwf9BoM6PBkwWO94CJDg7MpqlzA3OxadMz8ktbN24DkfbDQc+1A/IRxMepsJlOkBBqmA
YTobrz0UqE3WdNHNknkPY1raG+yo5jlHinpNLNrwCWewcT2XTdEyZgh4ncL3/GWQRURdgo79RDu+
3WfpUL9klO+60VnCRc1KOuB2RwsjUI5xa/qtuebJG2zy0N2Ngad7LXl5VGYQvBl5SR9Jd/KsoKDv
2eGPNQKWDQ5oZYJxAO5sgltce8wI12z+wB69ggdRIoYjPNf3RiTu1h6wyVqNWejdyjrOoHvf4s4E
cYk7Ynpxa3tLdd1RCaZmReSSmROn4/pPRHZYt+z8XblNa9xyCJADtP6Tsy9J9tr09jzzpRWWugau
F1irxhlB8rORcNQGn+mZZ6nywtomgGFnavEWdd85jS3gWlZWusUhWHqZvLP5JzuRMUdhmNps8HzB
0k4EgRoEejjxfvCFwcbUpf4hzEf1bOQ9rNzZJ0UMpaYlNh3AqS4TUCb9rr5Je+6L1BnUc4Ol5bj4
THoixne7BVcXckY9X8iCdOfj+vikkilkiTtl7RqnFLujtNlIS/K5Ae8kOhzrFsVl/9kQ0UjiZHjj
wwdf8/CKH8vRRo6rer9bjZxdYO61NBg/934zmgQvIJM9Ga212OOBXSvaIQ4bW8Vs1KBySji4Ya4Y
IoDkjaw5hhBbEb7GLQ7oQ5xlqsEhpmaTCZBnMdXYByQTLZCNCxdCbAImVqFF98zReQ1FyVPXHkkD
wTgcOrhFVOyVVy3t0naX17hnN+bFmy47nJ5bb6QGxTlJtVWpnkLEly7PppT28XwydXjqJZeLfm6x
LludyRPpmek/6w5xdNbhj0D0NTblT2ibUUB2aIY0I1QsonVe1sjTPy/uMsLUAdfd7khJoxqpGQCi
SFY5D9+//gCW1mH8sf/GJ0A+5/I/sDX4FD/1p5TwrXqxh+TgTegDGAX29FxHoOX2LVxjkVBsxs0+
dVKRXA1NvFToz/r4Nqloa4cmoRsus1j5zy8LKhmUQJTt2KF/Fo+ATI1R5rrJ4SPTFgA6cLW0pia9
pIogL6fyGcuF4siQyd+BeS5dsZ+uCW/v638owTGz/djQqEh8HCvSJg/eTGgbY+R2bnjitGGZ8YWI
2SMR3iHy9ykPYuNo6UlQ5RYuUluGD/YdhBv0qSszHxJxGPQJummRFX67jPNVpSNl/vGXiNzDoo1K
r49J88/XS0ZJikEyLA5VLPE0MK3FzInIRKe6oC34H/bOZEtuI2vSr9Kn9+CBA45p0RsEEFPOEzOT
G5wkk8Q8wzE9/f8hKXaV2F2lqr20kOqUlGQwAgFct2v2WbvD1leF9ty3b6TMlvt2QKtoE87yaT13
9yXBrL94Rb+l77ieMB1tASk8XabgMfznt1CzWm1VzA0EFshr+B8uhI+qsh6Jp8esvR1/P3oBMazQ
njJyvqgmbBIHQQKX1te+2c5gvLP//oWZ/78XZrOKAOOG3vz/KKIOi/uu7Nrk2NgxEyo0grpQkDuI
qM1MRWZfPTRJ4coTJYPcMWasnvkZlMmIEWP0qF7YLA66jpPclx9zsRg4xmoph6hYrozv6ea1KKKt
b7rbtB6cBnyzNXj8jKZsvNQViOvh/eehNC0nHB4f8JBqaeZ7EOhYIQiNzLfbHPdG9RHX1tpjt/Yt
BwDOX3xOxu+yOJ+TQzYI0pdEQvR+N4clQqOjlV38wUws7oEQ/bEguGo76nx0gH14NXAjjdpDZWx7
apjYvKwlVevD7Nm8W7FJ4+bOWjWCw0Ts3B1vFn+fnQIuyIc8ZBqbyjx1GSqNmljTH+sYBYxWQQrC
QsqiNyDdZg2zDOCnsEIX1hUuB4L3j8/+byX6r5Xo7bb+b7yjH0p08JbXw+869PaDf+jQHooy4vP2
nYHyAvWJZcMfOrTYoMfbkkH/Bwbxl38UYzfeUazVbHd0jIhI1L/8o9Ynj3sD1m7d4NnDnfa/0aGl
8+dlB0A1R5oOaCI2SRaX8++t3Bggm576KuNyxdYRr4e0j5chCmpD98ulv9JwfVH+yL7aH12KMXxE
8vUV9cwWOyMVx35stEvyqoqWKq2khbatdw71lld1XB2TzlRnkDZOADnEvqhVpT20Vd9sorF2MaQu
U58s7YeRMwdLVW9gfV7ThCeatvbLbeFs92Rz+fXE3kCSrQAhROYhawGR8rpnP7HiIygPenDL7kyK
hmRDG91Na3szg5fY7rG+LBtxbHuiSsCA8p1T2GchowBN0gtYc78rhNpAgRTZlbAwdh3F0FdRF8fh
NJCZHXXM2qQ/gFZoIaOV2KNCrQeosAxAsXEg5Vs9e8uYhX2zZY4KGRZzd0PBiAy5Ww9vnTGghTpQ
7BuLZjuzZI8vStH7vFOSM4HrHZdepfcOngc6c8WKiAqyYaoXBNamGY/xkN10i6fTQJyvrFRTIjAG
nAmpN2aYEA9A3wW7AOx99kcohGdOY1eJYPZjLr339HIKh8g5eKU6NpIobVQY1N55dbeTHCUDI9K5
D2diZyXLZ2sYybwM2x+iyYdgUJQmFosCemFpNvtm9bXsvcCc5/LcAMC4gL2z7GiDC+vV2Wsp4SwL
VBjFJxynUh6+fgtt34u887DUlCfkBjVfa6R9XkwEBo6UVtgjsPqmmue9IeGEEKJcTgZTzKNDROzU
C3cMHGdq9/0srD0cWM4Nsy6DCveGb7ms4BUgiBYtKfRE9qWZIcZR4HdCVCh3hkWjgOq7yTc51LAs
BGfScmwpYOfmWftY9/Znd16pG5ocPx5tudcqjrUYVJOD05Rvq5V9ydqB0oY66lC+pyrUvUw7t4b3
XaLaBkBlQIZkbCb62bcnLgm3i++8Oqv3FJMtm+xV0J4BIsqlz0PCMvPFYJ2wY4ovi1zFDmDRxazl
X9dFzuGMwSfM6OU7WhWi6UpBBPYergWI123gxI08JquEtUL35Q71sg1y0b1o/VAGuTNHAa6PcdfX
S3sQLp9gDVxvbxPW3Edm9tQZdnyFa7Pcm+7X2Ov18xxD8bIaW3uEHVX2HCITGThFmt6X9Ertqp70
WZYny6FJve4RZDdkUsfL71ec8kHfr1cEEou9m+UTHq/E3q8cfAKLYG9YzYIlqaHpt2zEV/gAsK94
2sEjsnIjSAYz88ns2SfBMXaXxu54ZGNzGqzRuOBoogINUf5JWSbvImzEwEDe2NmxNwUWrSm+btUM
OlamPy2R1P1BE1TKjABEhqRxdnS6sSlZ8+oh18zlNuI0dRbIIRat4HbC/kLLk9Bu3InMX2nvVEHW
3VwoGOGlqkuQdyb/oXZZ4ZM61Ll9jfjzNR3tBIQ4p8GxBcOseKwHzsr72bDJODqU1IIP0X/MUQKZ
iyqI88Zx9zN7eNDd9MRMbJ/d1UET7qx7G5Mt0CqzDhNvbv11KuxAYrb0jdb7pobiPmWlxXbgtqBn
iORZKg40lX8v5brsi269QBu7TKet2cipDhhMNn2iqvZOrHU7XDBNsGyuBUp8XV/I9K2tY9qlXVTk
2piPFHvGNIAQbplcNexY+S9UzdYAqaqWSyq2u6vFcPaqNN68dvO8pKTGRgDkD5GRxLvSAba5aL7O
V+0wy/b7SGE2SLklura6zDzohRDnyC3yfVbQPp8vLDqWIQdN4JXuET/ZTV0YX2y7v6QMJzv11vzZ
nXqH+dEeoFmZ9knpafXoeeNzAdshwPT93YZKtBujdNhNcfFIVc6FI4fuunGNc1p3xPvrumCvY0Ph
726LBONfZCaA1Nr2R9cpPUip24JdoeqDpIkliAB1h+00FJdsoroDPUh0VVDYcyyyyqdn54u3YOtb
5HKsi0pcrHam9qOxtPvBLdB4XH7Hal0fEYvT254CskzwEJq1aCZg6PF9piNt3ynL8vXSeti2YRhg
2/RiaftT3IHeHkeThgqEbSxWPF7AadivRT6/TJECFbM477UyWK/FRbJXxjAd5oreHtZGiCvl6N0M
BX7pGBRMK+X2wqerpsX1M+A33pXRPbzAGhJHup9bgGzc0IqTSLRn5TV0Omnzu5k2BvdCtVV4rRQn
p2kH2z2yj9x/03OCAn6IIROFk8teT3WQ2F2SuYd0Na09ACdzbxQNIDfZUOrmZM/TmFqnVXMfl6G/
6PF6++itP0ytcc6AraJNalp92dhib9WOGwpZ6me3YZ1WS57kK3fVfYfkEkzuAnv+K/7AaniS6RD1
pK5crfWq48xOTza0plFmMH3GkVM6fBXxCGeUtXH1le4NZkJvYomXsOngS4bVENrcsTXqdCTf2ZCh
fjIV50eKHZal6wGOW33N3Tv327WZoKdVFEPfw3RD/nmt4Uqt1bkzx97xQPpsNhzi5SB6k8InK7p2
3d/RLFLB6bD81XiNeINC8K/H65sk/XMq8ucP/DFWu/onC/1FZzomoIEZA9PIP+wdII9pXkKa+QXV
+TVWi08YLgw0CgHkhrQi59xf9g7301YEwonOxEXnbOmm38A5/xak87u7w6GVkZCLtaW/iI/8HnOh
xzYek8qyTjizmigwsjW/T4omOtNDMu7oIiO0bGbrnglq3dNdHZ1dYsKvPJjnJxjVzau0s/5Zx4P9
HOPt+ovUz+/2Kl4dDCn2xaAJ4cL+rjN4BNQjMXnylI2yfrMSSYcHJUGXlTUjO7QAVA5eozNNNDWU
iX/6FG9/CkL/q1LlbQ33ov8//xt57DfxzCWtRqJqOxU5rv1hv/ln5wuUFpwnKm1PURy9lHSjs2ZT
qXeVe+SYA7uxnEsg75XN22Q7F7P00ieB/eLLvFbru6N6NhUNfd7nuAA8lNuqOAxFp/IQX6h95zBF
LbsZJfxEue9wKRqz2TMrS5IxaouPldynMbmXN4mxEEdwsDCT5kR8hVNB0kGplfIDF5tq65uDzUyd
2cZrzG6XAiIq6VAVyEnhwg5xKKl70ukViwpZsbMeTKqtYtzQyQ7jHLuzVOrPGkxaIjjOo6IzsGAp
0/IMduymuu4k+pyWbIJuV5vjcUHt2OXUcNA/Nihyqc40tn4cMXw0lHnuSmNeXqpss8trvScurSlj
6OuW4RmaKyCPVCcZ7+simUefDwC528yX/URF4GH2gD1o0ph6X7eN9n7botzhmk9FkAHheS1qCnlr
VnYQLNlGhpOiV2Q/kq2jB4Kv0v0cuTEYgraly3Blkfko4HeG1eBM6uS5XhETMa+G+zlVjHnCnHqw
drbQ92yFI9evogGXC21+rFdDzpjmRTV3OoNJnBqTnyOO+2y6JR9rpskjc6Ch+YVEGZ8s68XJFjdM
LLu6zasOhGRMm7gPnp9HSzfw1I71Wez1LOv23QDnYGEnflgNl0REYoz7XE+p2RnHgG+qdyLJWd6v
JHMIndQqO6+ZmwWuNThvhFea41rqa+gVzUDje1czUaLwwszNKKbAZ8iUths5vYJgzcRFpLnz2XMF
OYlsE+mnhIdQ4VjJdznp442oxWz5aeWU3xGSiJLg+jY5DqVV6XsCl5BPyNkyfdvp7Gwr6HogY0F4
ROWpwledRQCPHkQHvKLxW6eqgdnhOIopBYwq4bv0ybxXGboX9TRddjD0enrHbVAK8hJJCRagIXms
X/Wt11GemhZFc/QqJKabvu+i86pW81ToZja+bPEu73KxjPptxXerdhHFAx3filYbvlWRyoqg84Y2
2dmAMdJwUF2lhXXkLhS8CgrAe90ZRKhGbU0fFrNeliO0DAzcWlRtK/eqK+OgUwSYvuCvIaGdbwdm
pFarYk065Tpo6TjhUTBUl3QFpE3QMhu/9TXq5iZpcqnP1KZja8nv4c9vN0PW3wDA0uomW5Vzbai6
BXBoePxu3fZnWxJYOV20iokVZx9t0qPsn4fUzih8SUdePQef9UiD83pM66lhU2dhjh/pBfI9a2ST
l0x8kcOePa/mK31WX/WMSfKKom5Lv/Yi7DSEqpr6Dc8Exz/W9pAetls5KgDvk2SlGQ7ZBz5GG0bS
fcZKdamppfUun0yA8oc5MgCOBjwJxPJmUaatN2cqD3X+AStzEzHA7DIhg1dbp/GliqkI6AH4WNWb
WoaSS6dbe1Ckq33d9oJXzAqo1vaTYiWy9cU0h5buoRssVsSj7Do1yMSJbGYLGSOz1zVfrJQx/aaj
Pb7cYd+rrYDG9/E0g5mGlToOSXlZkjHMuCWuE9curUUnbCHueC1b2nbQ8a1IBVXfOV9Yt00Ab9Iu
93ZFvFYiqMmx6z6rU7dDjXGmV2on6+vEXrwygBFTw0jUKUFn/xnmU19/7cXwBF7IPo0sk60N0zLd
KZDNRaDlMhoPLs4K6Qsqz9m11yg/0sqivQC4cpWYY8T6VKOtK2GefzRwMdiMgsr6ZhGfQxM2RbKv
pzykUpgOGUCN86UkpHdB7VdyqZy1oyaz5WQ3t25jhe7ciQtTK4aTxwaW8p8+gujBc2blj+wtgfSA
ZvskChyD8GPfU5hTGwYwlIFW4UM1mQt3v9HOuoD7OBC02JJ7GpKJBpVm//y3LvufDY7Wv8/033Tf
sbr8yRksP37kj9FRCPsTor3HwsdzWLVsRQe/FFlDotZSiQLOwuMq/OdEv/0JJ4jHzzm6g+hqMPH9
UmSZKvlaQtlgmmEroHv/zejIuPnn+QiZdTP2M5zpBs9pJtw/b4HyXq35pLz0Nsu5sXg7VEykgi7O
7RsvaqS8k3bb9Ye60CvEnchjPPY5i9m7PBrrab5GDoOe4+TEq8lv5WB0qcTcaH4WykWu72wsXVg7
q/zI91Wfboei1d9LvQEN49NSmbq7TiQuVaJK1Lg1ak5W7nioPQmyKGmzcwn89odJTgsuLeu9r9rm
wJ+pcjo7uWzhmsYsPAanuLcYTA7xWq+B6RX6DcY1nmOcxJTyeYhTdbkWDaCu1ZTak6NrX13Ij8Sh
cHgAnnKu7WRMTyksDzxvMj05pAq/TNvtlXEOAbSr7OS+c9w8Cfp6Xm5HtUZe0BhT2YVmw5+YKW4d
uJNTABaQC0wuWoBJ8ZjGO/g49tcUCMhTj7aTXVvQUgMczs5N2unEdZZ0RisqbJwoAxk/sp7e7I1+
r+MzfHCsgVwkn8TyEi30UmqUBytiOVH8gNQeeT4aHDkgSOLjKbWj5GKdZmwSDFvWwZazfoorcww9
WCbwk3AyiL2DR4GhMDWb56Xj6RvHLVEq1xnLs9ZXmMA1y20UJ/zVvXHzyVEc4iWXRLam3HycOenX
ION21AV24SyvDI+tfcufxNB3BkPBHHjAa4NUVyaPNVZwpZYlP5wOkTCJ0/zYp1Ltp9gEc79xoJjs
nLt2ZTolN5vHgbEMFAbbCOxLjZiil6240yxvCquxJJMmHSShrrPs96nxWP3xpblm17AixS91mXCU
XxiT9m2lNZcy1vES6ZXSneZsEM52G0Aw+MxRB7B0IGJwaGpuZd7SXb9WqZC+bmIqq/yEHgrGvrIn
WxdRTYLzFzO6C7ZSSFMGJUd/8w6CNJ/VKkbngYBbiodXm73mc9GNTotS1G8AU4DZfgdPl6jfPG+g
KCPuaexD4SUu2MTJe9k6S8NSzskd6mSXUrscaY3rsUvOdBFrbno5VkNyYUfV9AZk3aZhmURzuJCo
W05zvBDWQmyrOrRbW0+OlFEYNb4wWQh/gCkvdtMaa8NR70pnX8VpepvOICVoAR6hatW0xvHNjlws
UST40yGAHEpqtInY9V6ulEi2gaEBea8TPs2gGcvt9FJp3Qqrv/LiW7vCCLnr8Ao5V/NaTtdFb+mH
DvsYyw4zpptRSA02mwPoodCc9FpDQBthdMI3xiyi29gpCnd6McBzH4Bxt/FZ6j3R3CFb7zg2fNNW
r+I7RQcPNFYrW6zroTZ7ZuU2AZIfq6V+maNal76Le+pxpSYY6S1quurA/4nRGSLQMBy5Ey0PsvXm
+mRYSGQ7RlSDSgw9MabTh4narJvux0T42FKk+szU6teHMTfG5jjliYBKFi1z4DYaz+u+16/WKDPu
JLtwKtOll5VhFnM3sxSJr3xps8M6m+4509wlD1xqT+bLWUyc41hcrwG/Ex1xbtSHhYgjks58VjU8
6jULjFWadxpdeuPeVEkR2F5mXADb8kLTpZMh1NLN+iyTWTzScZhivi8MPudcxtnXrnWyN+B12pPZ
FeMrJ/ux49AoJd81OY8A01YTt7CtDSfWTZjh8T/1oU13YnfBfyCxOWmbKRQ9o1nwJroYN84S5x9A
oQUmTIM+vxScmtiBJDsDvT7miNXF5OMZY49a26Eyg9mf4sHHRI//va4a5foupZOPYonNz5jzn3Fm
2IP/04HtVbpxtN3JuQPPLoJ4wFs3GEl7Asbv6DjVsWkWmhXFu3pmA19FvbwuSgMGR9nBaLmaurq+
wiZlZwe3rc2XdphfcJxjnASWjS1ApFHBpnvUB/KpYzarK6C6kGQW0d+T5ssoeOf5Fd+JmZAqCros
lnU5lqYzUCuxo2Y8js6YHCf3Wrq52P89T/0n8xROna2R6l8LcQ+1+heJqz9+9Ffiyv1k8Us5ZPZ0
QaqJAemXImd+YqKxSAXIDVK2/Zs/BDnT+sR6m8UzUShbGkh2/3eqMoFeS1e3HKA0VHARA/xvpipY
sH+eqiTCn27pzGf00ZlEGn+bqhQw0Iqug/o4jw6HQy/JSftXVUoSGbLX3q4MqTgMZe6dl5p4s4y0
Sq8ne66DkRJdN2CVjSU+Ss3nj7oeIJTVw9jb0RdYSUTGsTY1WDJX69h0m1fJ4z26SDXSs5BeuVdO
M4/QYABnzJHUpP3okgkFrqWotRyxg/oAtbZFG7ZeymmjW5aJdQJf7DlYx6z60Zd0ApFHWuQ+13p5
k3Cgu82TSO60eh61UG81GomiBXmBj6CCeG0mRoL62LN0oMjmytA6Sj8Hg3yKKk3zPK2uefJmLJvh
XLTjq87XzAvISg/f+V0EmpSsUMoiVfVszpsWDqJD5ffPOA0ihA2wHk0AUjR0yWNKKaMT4rEtf6R8
4Eci/tBmKov8hljT6H21rZb6ZFy+z82K2XMHQ7p/lrT4PleTnt9T3sraCxLOzaSi6pEWmPpm6Ltx
uZjbObYCiVuSKSxxXNzwZSEinmMtDMQ1ady7Oed1tdSzYeQVUVRuMwMbGSo3nDuaIZovInbd26jA
tERbQKeLIMIUwQhXTPXecUsIuqtzmpuyuclF691afZImlxkt1see929PgY53WdgplepJsrlV6Wef
P0gCqVXVD1jF3TsNz/w161JINotrHUvBBreMOtIZKKgnHMHUQxREXRAm65u8a3EGrbJcQtvJBDd1
llyYN5UMUo4F/RFQ+MCfWZh7s0rbrzCu29eOo+Zzoy88/L2Vvfp2uuzfhVbSHjskQFXdafHuZkYY
9hzSezDorLibCQjGoTd3Gvzc0fxiRHOPS4ibOH5kpMc3F985KAjhXTaN6cR7teg88eesSo+R0w7r
CZaMsRzSSGmXBt7aaTehoZG/wPiK1RnG6HBKrNxCzJsadY/IZuWXiTljxneptPNFZ9tPlVjkVfLT
dsrkigfV/WlItT/cqfH8YVXV/jCufrhYlw9HK+HzTVfdfK7Jh+c1//C/0gW6mWFdx3X3cfdhkoWY
oQ3n4cM9S8EaTlqj6fHQWvzV+dVmtnWiWHtYpq5nKI6unLIcL9LNnJvg0o02u27x4dzNftp4jZ+m
3rjUnSpwNrOvZaIlpit+YH2zAkebKVjf7MGDqRendo2nz+lgpIHmJfUVUnGLJWS4zzaLMc4IA10i
M4SL3JlMn207ilm7bdbkajMp1x2rJVRNs2wQo7Exp5uhmf7neK8NIKDerYrXcFz0FPfzqAwVLMM8
X2ggc0610q1g8ar7enUvh6yPUPVFjz+mns9TmqmQWsoilAOjMarXgZlKe8emEbYsWXdttB5ml33u
kjK4LKDkr8lKPZDRi7EcTJvWaX0W3cY0VhzbaLSob8BC3AvTNPyxo7MILRpgh8T8MBZgRFwcgnv8
sLs+s6oLvWr679niXOurEb22XT6x0muLh8oe3ZuMDpzdApvYl0U/3goVmft2cwBOKbYDaa/Xaesu
h0Lqwy5J+mK/iJwAjMZPiRzOdtp1dYPvfX2tI8fakb+4WZvuapjyCIUuoYiJlOehjTglZ7ZGiUsX
TTd2X7iMO/VXpJz2wBHDDVOqcfaYvbIdi9Z+VwuDxrsal0Exjto5I6J6sRQEPZQTf9nUtCAWnA5z
h3SD4anaL4a6e56ydjrqZTw8Uak9cGFM2iHu5h+qs4vDQoQiHLpJPI6ULH4xc4smAPwC8oQsWcL3
cg39pGyEKgxC0rqoSJHuoaqwjGliUlMNGISzG2EWnDXNuVNN4rGV5dGUlaBvBkuWXBX26lwvfUsR
ND7aNAvdNh3uOaBHn70WDo5plRF2G5VcE/Btv1Z1XnMAp87gpSEcgJ420l6SGu6+JOR1qNeR7C+d
As9eF2tkkYkc13R+XVcM9OyzJwL50HTuTP7FFf4x7YbN6mcH46O+Ex6pnLhHnuwM7Pq+modcnK05
iy+9vHQ9P64w1xZDqpxdbpg1GyfGw0BOLF4s+CO70RDmtRkBtmDknTlJcZg7OJyKsOU4+VnrYlTp
JkZFoMzo89Do/TNXHG0qqaJ2Rze7zWZR383roFNsS12CO/BOq4LLQILhppJtN4tEYjvpNryG1DhN
ONl3s5fld1V2mClJkBGbGyJ8Ix3G5HPl8MTeZUtLCzij8VNNP/V94uXuO6Xccdh4rXvZRsYXzVM/
0rSKX9g+zj66pL7rpfVUSUsjqtLDFjZz8EgCg/66tNFT3MnDbGZfIlt9c43WOqy1HAi4wgzn3Puy
jIsXDAUODcfp3tqyyFE09RP0cbZdwmi+x5EzkkvVYHQQEziOMDXqnYGdKFztSNwCmutCjqf5XSXs
6ypGZYfhrsJyMIBpGWgh+CqSbmrCXpTr9Wb8w+vXv6sseVzqgFGK+YL1P+xlcyRwQbwygJ1itAg/
3Fxzq92GmdbdDRIhdeYpFyZVlL4Zef6oGXZNtLLVv8BMxbyaus73TnT30Fh/RPh43C4lc6I5r1Tr
6UFrgdiZc905e0u0Xja6kr5jtq9oSc0e7veZZvuIe2fThIBYOcTFo3nM5qU8mWND/TqugswWT+m0
5JcF17xPZbzYi673DkY2sEHTs0M3Fs25HuYHudKrJtak8guoXlDQ1ndyWnI3mKp+4JwPoKVfea+j
0lzwv1VjCHtqIKnWl/tZwcfpNPdbBGSdkFj0qreWeYNeReDBte5aMXBdWd9KoxSIV6oPmyRtLppq
/MCGfHfKCci5INGOyBEoXhJh9n46ug007l42MkyB/eC1tJMDE4tzD6cmDlC3sz1HyfnGqJzotovq
c8eHXhcdiUr9Oll6ucPpzCUq3BiVY8bTI6hVNpvsCUScfR/NiTpgd7CoSDGq+l4lEMmyHtrKSBTL
BvgneaRfam1vQ6RePw8kSLdhsxXVDVuBeCcn74Ktxw+0EMwVJWQ1Tb+Jpv5mLehGSwZEB6w8GcVl
XeHh7ujnx6lXt40YbgatumJaw7Vlrwvfe0Jiy6Ig5Yw4Cxdy8Tj5ioQVHaf8yJ8daV2y5nQv7bKl
3B3Zx1hY/QARL9dbAxLX33Tq/8yBwUmM1fy/Pvjdfq+qfinGtyr9s8H55w/+OvbJTzDztpJpF9q0
y//6x7lvM2mQ5aWe48NssfkMfjkxDOR0EKcYOExB2ZCFLZmHz5BgGACry4EPcK4r4Etu3on/wolh
2NvB7p9zKa6zFY04QjckrhD7dytGweplLRmcjxCn8yVA1EbbsIrJvGYarr0t5k2raFmmdNhMg916
vtF33QnKHgvstYVdvUtoAfUw4A6FFSRYTzUfDoxiM/qt4SFxM9nQ6MuF25hMidHy1AIpjMra9wS2
FhmsdoHzVTOh0IXY5Qh/GglgmZDUGa2uwqg/E1BHXt3Y+BhU9NDR1vUpMjSCsxKkRth5OkB9RMv2
AaADmH295YkTiHmj73+A+DlHbvKhbQLoRx3PQRlhCVVJdUydNf1OqUf8bVph+8/8zIu11JkKvI39
n3zUAAiHfSc3XK8vmEJpCqi3zgCiTcXFuPUIpHUyXI0T3QJiaxmI9IjCgXrrHkDix+/nxNm4s3hT
dvPWUqCBgOCcVgL48poIVP3WZ+B2vM1Cc4gjgsfXz5Udq7ACwcv9kjYEw+Odl1tDwrR65e2wtSYM
W3+CvjUpZFhWbpKPeoVxa1qA+YJIu7Uv5FPi7A38LsMOx9pV5YhYDyl6mhK/y9HwdhVZYJwdw6Wq
5UtPH/CD6PvKPeCBofrBgL4Av0nRCFF1yvw8F7mxh2bqHsiyZ1RHrFF0RVorDRZTz3dlDSLfssb+
3rGBdYUM8hCmNtYUkmgVylLcO+Pt1toU9JNsDyjet1Iplr+IwuYWDlOvYiNZkaqfb0aGZJrZ7VDr
3WFnfdCvEjhY5kbEItoWAajLqjtLH+RVLo1nKJ12QCgvDxYbqla18bUWBWnL1qzyOAHf0mtBoWee
ZfeRgsylNBhd0UbrYstLPQ2L7VJy2EyUXgfRB+HL22BfGeWHe7UBwMj0fBORp+0RKmGEJQO4MC5y
VpgbQqxfgYlBITBD4VoTXbiGxHds3dVcbTvswRcUmCZ+uYHJAIa+rBBomDEBliWYrnxrg5hNG84s
VoDNhAKNWIAYeWG3Fp+aDYBmFQ0lrBsUjaM+CVoNUFqHHkiQfoOnjS3XzQdRbd7gag3bfl8BmAyy
D/YatiKWuCx575cNzTbGqQTTZnPQBtrmRsWc7nHOTJsXRawSuFs2faDekHk28NuiwWR9MMAFTg8W
eip4OItAtfgsJNdCqFtZemF3unNH3D5Knme5gk1TIivMfeVt4FdEgoXff0yvPXcxcHg1aBQFQNVx
1+FL7UIAtZr1MntmlZ2mjYTvF/UKRHeG1iCrQ0eOdnwY01RO9P18OEHiD1tIbtJJ/5rnQ7dWCEJ5
5dCbZvXGbmlsbw3GHm9QwGUWx6/UP8eEihLB/iPX6pLLkzCBHs7LKtAGRDpvzt5pceIA0yubF5hx
Qx4fl8GVr6qupuGbk3sit6F0MniNfqGG+oxBA4AwTh7WifzDjvJTBvNOYzOjw1Z9rNCqWC60bDt3
xsDczxdLzD9ta39Hkf7CK2maJIT+3ZP6kSf1977//v2ft95//NQvw6T4BAiLtCwGR4df7A9p1tM/
mcIiALQ9wc2fT+9f2qz9ibSfzgPT0NF1kXT/8YiWn7zNXOnxxLdc0/vvHtFkG39/RBvQwIUngTKx
PWeK+PPG21k6EH+TVZ20ES2qOYxoNdkYRto00WlUooj4WyJvuhy20HjZt0sgtiC5w/nn2JYy9SMr
6ssQgZkK3pbwOUeJPLS3QHoc2721mzp2LbE9v5Tcxlru5Zb55m1xdmMLtiuPsk+SnTKkR/NdVQ3x
dxMiC3atOCA11FItSkyeCLiCvUNNO6dBUvSrN/d7C/2IOi6Xx1rG8ktCHAGP1ZcnyoahRaT2XvX4
CvVh1HdjlsY3YgvvV0uKnR3/ChSTXnJ75YtTvyRCtQcDM9WZatVNVgFQ9pVlIHSA+YMUULIpuqrx
/D3lwBgu52zV79XUGUFVOHejEt6VnhF6ccs4/gKAkKw6583j6lA2m6eciqJM7w7QeKrjlIKA3YAG
dVM7pw773t7WaOddOZ/dVFvzaJUHVj3ntxrCg+/AXPLFMrkhpsvaVzkQhQ57aji1Ut9x85KXXjb3
J9Wv2jHSVkTNPNHORV81YW607DdZdwU994wrgD2MNK2rseefJvUowLaGBnbeyzgqrQPu8nJvtKbF
r9qvd81o9FdOqnH4U8ajvUEjFu41YT9hxoycvL9bc05OE7SPvQ1TPtAa0BNyg1AoDhoQm77oZdof
RMP5WI1EtuAdRZ9HN633WRbZ7yyW8+UKlTO7inkCs/Pd+BfzDArDLTH9p4j/R87R3R4ULVOAzuBG
GwQh2A2oAUDD++p21fQjRn7dr1tOBlGN3DDfG5way9STNciap4TnxBMr5OVNwxjJjm619CvKu8YL
V9ss8fgv4I14MCyaGJEb27ob0KHpnqMND2JuoBCYhE/JBztE+x/2zmRJbiPbtr/y7M1R5uiBwZsA
0UdGZMtsOIElk0r0PeBw4OvvAlW6V2JJpVfzqxFNZGY0ANyPn7P32qbVHryxzu9V3ZIviaDglqxd
IKBtSt+B0EZmaSm9YfcwaqSy7Dq8YzIAhAG1ZFkBJjRcdtkPpsmi1lyxFXRi/GCetCv+ZB49CqfF
h4nCWERUYWHg7jGnRRpgPGMXoDI6NGUs5R26tANm6TxIxqq9dI7xXhetG920YHOSc6MXL07auQ/g
0fZoJnXt2KejFRn7Ah8QI3bpT5X/sViglLZxNC+3C5OBu340vPLDr4Du3ljVGFTeMH6xG2Wu+ZcJ
HQxcLE9W1GdbvxtBRBSVf5pq10BcGfXAJRrm8kCWtDIDXDrLGOsb+ehfjGKycrWxqSAHyLeET4LL
7m2v15CdZIa4ZaHkey8l8WyRkzHk2NZxJIhnwjMSCuwN1xbgivsimGi1kO7sWb+vlD9G3zPStWGf
LH7AChckTNnJv6GdwJ1r5wDEynEKfEjzeajkSgwVg599cwm+1g5eJdE42nUxaUHtjWO+kT8Y7euZ
3bpMcbmysokPyJGtc6cIxIH4OgYhg6qFsIAK1/rOWGDI9xxoGJC7M4rRjdRSnxxkBiKEUNs5L7nA
Zkb8obBXm6hygPP1Bb5pMUH3Yu1Dpjbk6AACpJAMtcsY908gU7+qb6ErG7UTzmObmMMZMI8tSIwC
8hW7yoWallTOrYKeu7NXopkQhQTSYvMdhw6sqSeiSIxzR85PF+R1B7BkKf1pT1COc6l8qz3mqc9z
r+xoY+eFNYTGSHYpmMJkX7nS29dJl99VRnGzxIi6gk636xuV2Mk5wiGEum+wEiZonrsOvlP8fWNF
WviAbHsNXt1To2Trs4rhQ4+ddNtBcNF2ZOyIR7fgVOUYFLUhlH8Nv31VXVEP1g+edJ0rZ0H5htbQ
oFVm+ucZ9kJQtJ2+AUYX74eOhl6wLCOuvrJf5o92br+xR3XXNWxjNwE5CFNUnV5giFY8xose7cg3
8L7gsu3vLabZbA5VcSwItLitBw+orzaLkwTo+7HAs7ybI0LJXSc+snRGB9gv4jV39XQDYdx7k3qr
aiDxRnPI7Fad3cVdLpZteAHonXzTTHNG382k7drWqDZjtaMLYwVqEJyIBjNBIJZJ09pmdNvuUDVw
usz9fU+s5JfFrYfjTDYZUIEKqys5SEiNdE4NS490ZCrq5BZaHum2nTK8M8irhjO0iRQW72ww8fp4
3C07MHRmhjHewDvkC5i4liTfWplPPc4H2DXQ3eDSTFbC0rhYryakKfZC22/eiUwaLrq76L8w6ah3
Nhnu21yP9IPTt+aLpng9UiTjTQM0bUeCQbPtqqG45mJqn0eewwsN+O4OUJh/A3e6IuqNdCp6plAK
zURe89qGFmQUzqFY5NfWs9Kb2UqSl4hByjWKdFCVWe9QCZCIiNkP42pdmuLaKwQuYcqTf2dnrtrT
9OjePbeiLeDkeGKX4b7D0lZiOPacY0mDFNFUspz1LK+/TcjWg0aVAldcLY4kyL1E6Ndo/dEvJwEK
kDsRxVtm1BjShA7+uYrE1iINj3zyVKBJ7QG3s/tDjNbMZmPRvib8AeUs2VUgz1A+MdezIKP5GlPO
XiqHfgW+8pBm/5yuVmUy2UsCTx0IG44e89vE5EG146EmD3RDJrr9bii6bgo0IKJ3kbESdKh6cbxJ
plzuowm6CHo0gQtpnDz1ztyk9/8rwfj/kWDwra+E47/uxD0k9fdf/s+xL94r6A2/dveO3//f//3n
D/7WidP/QWo4ZFsqc+p5/3dp4q7+D48cFpyZv2VY/U8fjp/gVLCCPSzMHxwN/tmHs/h1cNJ+mKv4
3/9BD+5XccUfenBIak1hYTkGOAC74CewSQuNvCt9vz5oCEypk5P60c/B+cM488FDGfbrVEp5KbQG
wtXYvBaxrR3FhL6/Hgu6Lqwdm4bxDNm5ZYU3VjwzhoiZjhVtRqeCqKtl1MxjB+cKVLrm7qBmTIBL
3WtD6mFgKP0uAy//7pvlhSTpCx0bcIsYswZIL9iP8NQUEm0UMPTPUYzpFa8rng+3AUhQ1W0gNG+B
soRbhSjtc+2LO0dHF+F30/sqhSJlGielRT44SQGffZHRf0Nst4UkdnVNZq5AO+COVp9+Xl0mXdKO
txOaXeMOPiO153JnZfMZZ2cTQn6B8Ze+0yWkv98uH/ZA9ITUP2rXeW3nflcXmMq7MjFfotY6pJ0H
4UgAT6n7aAkqzbvqg/nK2vruwm7aiXh6EF1+Wb+BgS7XxsqLz6xZ6ZqABXZmwZjHLMECjKutVE7y
KTanB69S4KCwjB9p5n/Q4fP367wMruGZKhxp5orI1aaeL0YI9PjpyVhphion6iSZH6bGek3M/IRx
4b1rM3IybbZVk+LDsXom0flpstLPepjvrIJrNZvDrvUbhPzWmmWLS0vhQMCXSXFi1HxRRsKcDp/n
ENDmS7Zp7g8hiRk1aCX6LbG2fpdJ+T5yPgnEmtk30PEI19dqLP6B1i53Uy/uBmPaj+uK7CHO0KQ4
N26thRhmPk1yALe2nl7yXJ0pouyDV6MwzlI+YW3Nz0s0RIx5nQI/salt8p4XkineoYTg1pvOzk71
vDx3FiesxFZPJQN5NVfIi5JugJKWvlfwb7aFoT68ejlLI05p0HTpNW/d11SJb15r3vpTCr1xAjBh
DIfFhojZKvmE0uMAeBgWQ2ceYtyvyI09oAKDpPM0LmennpPtNHE98TyaRAxxJ7AVDQisSzNoevFc
xfqHb04AB1VXwS4vTrorn9pufLJU8VkiyA0F0y3AUOrJjPQkyNOh2SFa9ZkhavgZCH8Kf3zveuVc
0cG/1m2V7aAFXRvbcnfD+nN8TlC8bC6T6bymbjcfQBJDKdUJSDa05msW0T93s2TedFok703gw5tC
xVEIBIPJPQ6tA7JbeWprWx770vGOSmraLfiBYotNt7xFPTzvCJ2SJyToKDi0wvwY9P7rLDvnRvdg
NnHX1ClIjY4hYbbxiSpGebVM75GLNARkGhs+JWdbPedV9FwqggQ2i9X7aQDvOCR55mpV+VcOxMgG
VAGMgXbWYqabZpi7bWuphCQFlG9Y/SHEnrx6IKvaba9ouO6q2sJ2rVnPtabHIexHeytH+52grO6j
qsgpq9BbbwuHmadLxHWz+M6uTMsRZXUd3emDPTAR5/ZfMuOj1msSptoS9TT9AkcZ+s50EbXyLtY4
H27DNmLOoLCcEqPgjntlcNPNufvqas51NNrpGMnuU5u6s+Xkp99tOn9i3fzJmGB5wM/p+DCSYTpD
K2X9+98hy1PG5+Qr5fXBwkcQoMEZVlX0NbVb9Le68zdGUXaeP85teDWfDc20LfpP3o+5zu9ejdiM
sXJmUkLjVUVX6fnJKEzgkSYL+r//XD/bYflcqyWV0xPjKPwdP0kDJ9dlBk+Y8MEY8nccXjnasflM
yQvcBO9UfeRP4le56V8G4f0Ru0Nw4/qaa72FP5iQVven7zI2Kz/xehox82AnWNLlE+E6RcjJ/jBp
dhGunxfs9pmaMvmbj/svNK8fr+0jyFzxZyTb/dRugys1Lbgqq0NfduYmIwuewwap4ywXZ2S4+UH4
6mPqFfbJScpTJnueWw7jQZfMHwkC+rhazmMMfAwj2MEHAx8ietka3nSeSDMGtMNwBu8WeqPswiEa
qq98UGX8LOwEcYWyriMStFDVtb+37bp5i9GAhpbH8vDvL+yf3EImrUsD+JIubONnJ41RpD6JURYg
IqPfWbW4E/4C/7pr/+YbXX3jP9+rvBC5hi4MJW6ln75Rf9LxrnAYOMQ+jH1GJXezDrJUMHykWe5n
G8b9lyHWy/tCznfuIMp7IA8pduD4s5Wsy2upQuA0Z1RDnWMN/6xPa0zznavZyX3isdzbZBlhDUmc
fasMhNU2urwyNpo1jSw9j6LrH6pcPauObX80UusEX6kEBzFA+67STwp8KBl5wVVUXr1XWvYZ1cuz
R07MMjBJUI15ANJ3gC+chnGJsgsW/xlYSMF5fLmjqWAGmOL0HVlwXzsbvI2rU2P9+wv2JysMGmG0
orBHXAPz0x9XmMXV6tYC/n1YkL+u5YRiZbNX8Zw2mYd//1pU2P9yzdAkW1wt1Dv2yuz6/WrWGXMK
C3WuoLbKB6tPT2X9dwvmjyfpj3Uvscz4/9E968wgf549k7GWD4UQJB37stn1qSK3Plo+1pUeWc1M
EyE65YZ18DXjOkV+siUt/KSp6KXPsm+eIyu8l+iyvCIzDzJjE098VqdmLi8MdD8XZzI5p2LhKUwH
BwhAkGCka3pTpM4WptYXjwFq4KDMOlozpCYik6aAuBeOgj6SZ6MzksD0W2M/KmbSwkg/7YpbsE3z
i1Q58h78Ijg2KVB1RlS23qCXRvmGfv+hroxkCwnsVy3GX66K1p88sVwLiHqCddiiYfHHi1IZzUCP
tKwOOq3jQCZlGqbDSAWP+uOiY80NsOFmiHK8a4mfPIz6DhWwXt7iT3n2cAZtGcPiZoqWCdOBXjMC
F69T1pgbTzAzy6VzjUYX8E9kXxMm/xvStYgcQBq8wWj+LIzpY+lFkLrpIxBDqqqWD9xpap8n4nmm
EAuaKGn2ZjFBSJgeYttZvevcn1bDwtc7ki6fZmWbMipQHtnLs9908ldkyF9+SX/ykLBnrP+hj+D0
9tN3RIcFGtsk6eEDn6XEgcA48XYsJvhRE//NFdF19Bs/PyfID6FSrkGojHt+eiZby5wZ847VoTP6
aqs7gNW8KDtF7FQ+XeCQPGyEhDMHJGmwTGUZFWBcgLqlABzryMEF7hOqBaMJ09tSBil5nEE1e9/6
XL/R0IEWPvipxKfaV1Vtbsym/yiz5UEViCrcdTPmNovN/D2a1ip1MkKmHpd2rDaZqo2QcnUrMVzv
Bi7pj+Ml1jUTITX/0F9T/BDQhlkzyV0TjUNQLENyVIQt/DgERRUiymkgbKQap6d04CDpoewIl5aj
nr1MT90QA0q2fAYpEnuxfge3n0QpqjUdSxWgSSZR/EEr+T+k5XJDNqPc6cjhtutj1Cv7WrvTk4OX
hsSyXON5IrCzaKmWRJRdiMD1Nm7Dv+6YC7eZzSM2RO2Nb6sPcoc3E5JkvGjpJTU5syDXZ8sorNcs
kQ8TXcbQrO2DJLZck8AMSiT2Hej5YBiKE4fiPQL0KkhjyY3J0+FMwwUD9Nekn6pTrttX2RM6aHQz
rgBIQwvhjFPb1WePyr4YrFcE5H+3Hzt/8nhT69i2T7QTd5T4aZ8E8pS1wNnLQ+/OH/DKHuAHXKkv
+PJsHuu1/vpx1K4HX98NPpXej2e+SoYdk5QpaDN+jIH1Jh8qev8g/DzZmS65eTEpA4ZXoXUf50Oh
o2yTaY7MMIZa0FZF/EHAi39pOqZqS8y+OCzkCFas5eHiogTSWGOyYX6WJuWW6MwmdEQ6hioe1okQ
lXXMwZD9MEGuGsLMWF1q49NAfkgA4e+hg10Ie6y4yHF8sGxywurCUVtc8eamnZYzgY14R0pGC7oG
sbOeP5weYWOHQNzldADD0LlKNhEOmeOTSZjvWs0P7m/76/9O0P9ugo7JiXvtrztsv5qc/hXmuVqc
+MF/dtiAedLAAtJL8W7blrPWef8cpP+AeXIyMtGmWC79eVbt33psEDstpopwb5iU/5i+/9ZiM/5h
eavUzTFByv4Ysf8HbbYfAKXfL9UEVOsQ9gQqNzR3+KpWbu3vj0yiZ/WIWu1sWbq8x+RO/KnV2cey
WPKt24z9RjDBezALB6xCDcNGR2B89HSPUXNeT08zHiX8lBgMCdbwuCuFtJkZZ1VItEQWuk6VbOEz
P8TUihY9CLyWK9PGIvNizO8mYjvgoMVEJuQ8FzoBVezP69pZVoCgrRyDYmsVxuNQtRw2GoPuNMva
1Zpk/4TjGz+JO1gbGtLFd6FhqfbMLxxHPs1maBlAj/ezP2OoqB173062VQVmNpYPKRyQU9147Xl2
E/Yf1Zb5XpoLmqCiUjfz5LjHMlY4QsHqnCxEX7uhH1HK5vXiMGEX4spoylDw9+doIxU+oMBVTAqC
WVTzYRGd2IIPwlJgt/aN6LwDVtWHRjCJMlmlLmWun6tIlexGcGwYNIG1SBikt60X7QbRlCE3TL31
Kp0U1jing4ibJc7NLuRileeFjN+da2sutvrMCaMa/9Jouc1OGTFCP1Uh30BZh4snL5bH1kblPs3J
MxYt4wttS+eoLFe+VXptBAm4l42AwhJdm242xJZJTdoxB9ASXZxlFZnLY9WZeT5u06n2tA/yvhiz
BHCMtAX1V59hQanqfgmFXROloVlDSyyknYG+Nivv6sfEWwCHa1EAdcBO2GBQSh5Y79XeLSuMBxi2
3VtVQgLSOOOgmE61MhkCb+lNSesptW+YwgpEytgOtlq+0EWAoYmYOGMyfdVmHPAae6lCObHHlbvS
1up/wtfyX1ls/KIeMlvzK6cNIcPgQG1bCW7d8oPm5vd1usLdOkwZ2XQPeajcV23tuTHD3YVY5h1s
JjEue2tputUfgb3J+TKJsRePmpyhGGw1PytKH3onGkpjx8DHw0BDXm1tC3WZUpDT7Q7sXjWGeiH0
F2JZ1P2kWkqbOatIuwCLSzRlrsV47nXyGUNt7GnLMYfWnpPcTnNsxS5eBwI31SXXBSPCym/x5MQt
ZuTWiB6qItEasmjtljEdmRLPkV3l5VXLZkMPS+zITMknh0xsEkiikKksHSKI2hUSUj051BWA05Rt
LQ7hPM7QcBKwlabWqZc8LXyY2K1jfm0Ty9gUcRnftgSR3jpt6mHzaNj4EhKj97wBXNWit5HNtKjH
qgJezow53+m76hljOEYkt9VX885M1lSADrg7GigqjolH3orXuBoVVD+4AAAGZW8I1hmgu5MLwyWH
CLqeVoaZZJzEgGLbD/gC3OoOCku8d8G9JLq0b/1Mxk9RwbbbYKCysXvEy9uPVf5/N8S/2xDZ2CjO
/npDfPpFvfe/nzWZv/7Ebzuh+Q9brFGIuu+4kE9w5/7PTohwzDQMV0C++6EI/++dkHhFwjz5KxIK
aOrRa/vvaZNh/4PoAvpixDJi3FuHV//BVqizv/7x2MJZxSYZwncNGkDUmsbagPvdXohZQpNtzbB1
ao3uRWqWG6AM+fCUUVwXAO7bRNPxrHDof3An7wI6HxqWzNrHpgZSTTflNILwCFpvHazXo3acI9OJ
9rLOkjuULtr76LoAUJxatAfLi+jMIwqK+7vKtWeT+X6ao0bRMLe4x0XvPOPKqEDUX3rycIg9Z/Gr
zT2QZeSuXoOmNAsFdnwFSNSXQ2kFUZRnFqEjscDh0xDg1X4pPAKbOOyR8aWfwMc6Bl3+yB+2biKs
fpcUltGcBovZLmaYKkd7j0Jnnll5OE7pJ7eejWdrjnu0Ogt9ZtgmVqTQQRvubB+RKNsCkRVNkewJ
VYo2runuuWw3CdkD71kVed9jJ0P6Q16f6tttl9RCMiUiL0U8cnrIGhyloOz3OaeysyfMZWUK+6g0
Mh0704SHv99JQG1yu9R0HzdenR3KmO6fqtKBzOnKHA6ZpjzwuJ79NkvUt+SRJIe0Tx9jCGZcrDG7
tLhXDpkxPWd1Cgl8mLJAL30o4FMMEq4t4+QlVSkqlBl4DGHel9rqzsk0ji99XFYAf/s7s1TgVirp
Y42OnY9BRRO549MbST1MFsCJ5co8xip/VhIg+Qzt9uR51rcY4OzWjPLxcfHGHgGXVu6RjZEuVtUB
5ptp37tI0T2j2iN3fJBL+ozu/5Mc0+G89DWNgTy+oiRyw3Ic3uqyP5Wyrg75APUMeskGXIcR9Ah6
zw3VBbFZy10Sl3WQG/lzQ67UZsTys81L+YuTVs6ldJbobvJrBywNpDJ/XPsP8LpzrDV7S1o4JRdU
YbgDNlJKFcbkfOLiAXsVjUV38YbJ2Lq03o9unaa7Si12QBIyIscV6ZOOhtyXgE++eUmrTgo/+rZp
bY3Kb7YAosa/gKOrb21teMS4pR5hnxR7ah2UBmmTHqrcIRI0FU4AEg5hTWWPu4Fy9Mi6kOy6zvB3
cWljWUo0fy+d6ZfaJrMIFzOidNaOgCN4WoX4wb/V6CxDaVfllkQQ6CGi7FEemWVA8UR80KKBARey
2CKsJ6jSUE+6XYmgK/JnEiqPMLQJNO05m9uD9mLPWBHMXGWnpGXqqzEc/DRHu/s6Li41Ca2LHHkY
4okWpjhG6PwGEvZ4dpyBJx4cbrsxwX4zt3RohUtiZG041p4AcJdJjE0zQ6WDkYvxAfv85D4WVs5u
KYyyYmbDsK9hqrLj+OhtI1SmeFgJTEdGgahkEPoS79OsNmhDxB14D3Pg1bixCESh6/ExFi0p7pGU
d4xfdAga3BaxL0HKeErN39uGRXUbu9Z8Goe0YowxzZO/H7i1VKjNjlBhy7tdCZbT8KmTbpli146A
HqhxTD7Zv8neJEG+ZTMXbTNdaQP1bz1iLvKMEiuBUCpLcU4qv2SUDbMnaTVjLwyqjjbnJDxnzp5E
RlYJRdOlFhhGbYyhNJCXNSe5NbeRvxBiH0dkHnrLq4Ls+uymjboWmfbOI/ViLKkIqiKvAdxj49Za
65oJI990hZGdKy39HvVet0mNJn0uuwwGG5TQ9ELvQuKzGRdzQwuQ3kwZfWkLaFUB8Us42q2iPun+
wATNlDcSgMIDCgXtMbd6990o7ZRDj09gd+l3GfPvhMd4UoaxjUg43OH4FRcHwBP0/AHL7zAMsHSS
mtFeCvFTEzM6Wp5axhzOPQmR5i5qCWDU2iLZu2Cai4TGQzr3h0kHahNE9BvYSxaSpyKnuocU91aN
NG8sWfofNNbuXXQ3E7YiQKCmN7w6c0anTFBvG6Y8AqTxNvmI6RpBXzPQuLeQbmmDdsb9kew8lL8E
wS8ENdQKPCAJ8LvI0lkPvPmaTl5+u2hCXubUh6w1jy59K2UEqqdKla4xbgfLgI/vWwpNkOGFqMHG
oNG7/azF9J7N4eKPrFr0q2cG8PhgBdFkRyA3duBM8LtifXoYPZDnuQcPorYQ0fLZfObXaq/NrX/s
hIywVSt0045ffsxNLbcC2mQ46pqGriPH6FGiawgYlPVPfpqRMeDRWeOw6G/6oT3iVCKTR2s+Vet+
KVO33i6MR3aibyC6z/4C25QjVlIpsNnMsU9a3n7HBH3BaziedVUALZ1Wy7HhVrc068UNdol6W4k5
203pII4L86eDZrt+0DaAXiVYkNCLUXQDDJoRO0ObNsqc9a51vi4L1tmKYSKKueGrUef52W4i3Cwz
h9zIBIbYUIXfcA/0e8haSTjl+Sc8Q3+nmuVr3PBb8wVTNSoYO7pENZlRMGZZ+skQ/UZWxQTbH/la
lBtRmGDkv06WJ9nccZBB+AGmaH9iN/7FGtJiV9gUDFJZL2U3AojN+/a58PhVS2cB4x7V8NmNFt3P
HkGKxSIK3m1K7siBzu59o26OwjOWG5kjBJnc/OtYRmLDYko0A/DsF48sn9AazMc0dapQxhT8mUJt
Mjpp8c2o6KqWDLCPIwEeu0y6c1jBdtrRaSxv6FmTOjEvVijN+VufRDO9YccNJp/3MBGduBX41557
YSx3uQkvjd3UZzyVuKOq+MIa3r4c8uyNxz4fcPRX3lPr2vysKTjPjNHRIao6pKMX349gwO/sIcre
yBR4tB1nCusivlpG3R/M0YsBlidZw4Q14osG7GF9AVExhcrGWIrnZWstkWMg4nNjrrQk8HRpOZul
joR+EtcG5AVVwVfgOgdGo9e3Ul+gd2FqOrjK9r5OeS/eRqE+siYabhdhatlWykQesmYwb+3SkRBQ
MlWxsjY0TEjZQEwh6XXQ8OSOEOVD6/n2AwPmXoSsmholhtEYoU1cxGffmR6izT6LuabMrdfgvs7Z
N41u88hUjPYOOJyXMRzBPG9AOj0iiBlDzt43HmiI156EmW9V3J6KiUA8Jr1Q/NvY/A5q3YbBkBof
epxpZE1AQswD4pjUsZlQ6AZpnmAQVPasPkThFZumHvvHZepgNrN4XvBsFXtCHO8WpzpH+IPdjWQ7
UAe6mxm3syPd71HsliFzV/fWH+z0hfAT66KPqb3pyqnY2hz1Gbs0C07+FqBIPZj1Q2daXYo3WPRX
lRsejdiotol0bkaCCTuPoAu04fNt5RHOEOtdtovcaditquhtw/timuZo+wzFbrlnRJK+sJrlL2xx
42sxKfGIZSI6iMxNj8KeqHij1jm1lcSGkDJwBQ+PMuw5NkjgOEttRkq+JESeEnWDDU7AEG04PJ+Q
fcswKZWeB8qqmo0jsRtyTu7uByBpL8Jbxu8204aD19fY4bJsuLXipPtSm3aX8/zV2bAxscflpY37
i+qKEVE3lHXG8aGfnmIae6BabGv0N4vfmAyWimaW2zTjeTjTXiyxJUQFHYvIW5zXmMxi7F+eYmf1
RsvnQewIhyBni4aRlVsOYuQ8eZPuhGeVUM3HYqlmZMVkqF/ojqVvOC6qHYaUcmXoqQLcSyU2UJFj
L7CsXPOCvpzKFxGp6B4dMP2okuUVKd8jbG0SE6p2/FaVVY3bz0UTNCzxuasoSYtKrq2jUpZPNPCZ
MgrX2E9emd9kNWmtc4n8nsz6Imy0pYC/0zX2bqLtcA8Jqes29kIXLKOBT/C8Pt6U1TIGlpFVh9FV
8Z3RmNH84LlZV9+qmATwjR8r0To5yETHoFgo4WMQ/otAyjCa/jvlZgqlgRyxdrIeidIEvcgyNtMU
6nqsj0npk5cOj/lcKEsL6YPp22Jpqm5j9gnrKLoMRenkmIchcewXEqzR7ixTTJI0DtNG/+Y7XrQR
qLTjm1TKtAXAI7oMPUQ8wRccJWIIGjWsPkNX38hBaw4jNsQH1RJ0W0Ja3i824Es5zGTLTF1z7Lgn
N+NgpjdNZqdhZIzuZwk57kNUKy2lS2GV7DEEPfW5H6VvyDuBQ8JXBjHhrFKCZQFTAVTxF1pT8cEZ
S0pwHdxP2OLEeMZvKLapw+q8xe6b73oE8O+Cwvo84TIICs7HtduIfc2vPS1GO9w3Tdq8JsoqH6ZJ
t09Lk06hAa5xYyc6ZkI9Kc1tnDPVw/1JddCujOMcMGEHvPBqWS3OEd7jl54qcgu2xg/BBGfbmL2O
4rydt8rohu1YuEdAH3JTc3B/oFno77pcGO82KLxDmXdNEOWsTAWt3sDFj7xPY1Nuutpe6YClw+Xt
k+lb4WtyXxjWrakS/zuA1FvJO6EbKIywMYz50OoFwTnjGN+gA/MUfStrJQk57a7xlb1t4dGg11rW
qJ4sRVoXlQSBF2zjEUE9X2liN8EaeHzQUqJpNLIlw2pySOoB39+HmtBmCNCmuasjCwWj72q3g7nM
D82UHEY4VRdFRiLkpsrsqMC1YlvMSfJL0zjWJYrSlIW2jUm1hJKe9yz8Y5OBtUmKcOlIm+/ouLPp
TPM95g//KlUM1xjOxSF3UnsLoogFs6/xagr9zvOgJfd9r+pwbOJ30mKyTVWTxkJh13rXHDogoXR4
5PQisoIMR+/bD3OFOfVkzJVpUr5pTf/WmvTvEjwYlq10QcC6/C4UG6uHDPY4lwC9dQ6eq25/GJne
Yjyd8QQH+MEB+S/Fu+2byVZytQKjUq+NxyEi9jbz0kIvL177jPECziJRb8ehApKuTHMLM4B0lNSP
TsgvMb30KgrKWDghNbNOhm+lsmLbgRgfYxioNzU2He6W3t3rIndDo0POX8Rxfkf/QYjNaKnR28pG
yGs/UG8TTW9s2rX9o7y+OfptW2yBbC8HwG/il6niiJYNmTyU1jBuJq017rOBfnPedB9DooaTW8LY
Fl5OnnMNUjOZG1qdTssGrKFPc0uJHS2JCQZvv3FeoxSbK6ao1pKVx2psZB7GiKleJBkncLaniwkq
7plS6inV2jZ0u8E9Jw5culYtFI51QobBsjJWRq3bVHL86ust+uHZDJLMeK40lrxMApRsHBLvJ9v0
XiBRlgFWCuhmwpModyL7aalzm2F2bpyrOblJteptaNye2LHksXMg+bKS7qaZ6qiKGzj0tfGGP6Q4
mrKyvveE725EjEys0cpnReTGZ9OUjAviynOGgK4HxbdqRlA9TvngzQMznjrO9M3QeNFXKUZwN0pK
FJj+PD2QAr7AS/IiUD40IKad3SNMofiHlWIVyt7no+k/EC6BJLIxbSxHmYzcEVZMMmg8CeXWEXl3
goESTEsaK4460YZL1biXnNn5rXSwTAQ6tmd4+zlJaWR7F0Q+ewyEt6NImivqee/IH/irvPI+jdh4
sLKaxYPs6ROZF/lpttlciTD4iPIGN2au5aSoOiM4GpeYRbtQpyV1yf4W+nPHlgRTfGgAGqy9wKaC
Z+ITM+bqDpQfmwz2iAnAqgOxCAU3WBIc1cnpANP14Mr2K8lMJ3RjWEDSBqxPrF0iH/DWUmDpz1r3
1Ohy2JGX6W7d3ClOjU37r/VFH1aU+iGVqRFGVnvTxfLez/rvGB2546PZZgpe3bdWU21ozLjHysqN
wNWGZM/ZhQbiUmq3DOteGNf05yHSSGjqHERfhVntE9HE27Qu9YMig3TT2WN/rBBB0LkYarwjhEIj
VLofNUEbLprSMKnn/2Lv3JqbxpI4/lWofZdL98vDTtU6zoXcSICBgReXSDy2bNmSdbEtf/r9HR05
WEpgYA41pdpawQs4aUutc7r7dP/7358XUwjHzKKyzqjvgOAvrC9jZ2O82/rOArwfpGsABJPtxMm9
zTtsnzl0XYcpA/q6vMzWJKPgQabFVrNv4szXyLNEEewY+mJxEbirG7uIod/dWzaI2WgbQGgGkA6u
GX22uGSiAnxT+4QZ5FUa5kaSfBIIPUaiQaHxQBmSHlCjWmhhAoHxG0+PtYs5Di8bWoA+L/zFPKMk
xREJ2Ot8NmIYArw68Fxby6r6QpzF1poyCY75eP6bZGuNYTedlQ9a5P4J71yVDoOZll+uSUPf73eU
CJ3I265O0kjf0urplHemObP3twJvlw633jI5Jwu6pCm3oIVnL2DAgovEg+ct2o1SCCdp2oQe5Iwx
TSDa9bF2a4B2glgDZ3ARjTfvq6nzOxGC8249nsJQu66KC/YBLIJZDkVT4H/Y+ow5YlqI+W6qwyyU
z6w3vpGPw+UOhDizyn1IGky6WGMO6drV1iSouabnKx+ui83sihii2J0xBiyhDSFyy0t7hf0ZulQx
5+fTMUAjkkTwBG/JhRHTLKF0WHG4IbzbJikjqtwk+5Cl9vqK2qfPGKvECxgEAHXKeZXOwXpjFz7B
GxxYtxAR6e+hjzbckb8u9x9LYHJDtvGYpBEJavrGVsyetMqUmWysnjW9l9sCeMoqut6naZqNcFiw
ymbllIgJrgdgkwVcDFkhIiGszCcmaHufoYzw2drlvLhIfdjKmYG1Jmj1bZ+xIVq8AXJq7d45ZVqQ
fNIXKfD1Svd5E1rwIa5Z92bTOaNNpmNKeeTUqrfVAmDcicVGO90z4j4ioOfgvTNx0YSgy3S0sdI/
YbhYnVIiuK80wvo9RBKX6cItRk5aMmArGq/vd9ON+XEu6tMjKFVh1Mgc4y5fJ9Baw8Xpv83pdSDi
pVXxLt5rm48arSKXFtzr5XBJQ9dNVmnFx0Wq6bf6cludmyl4MQ6vuXWfA3N+G9BWCkkVNB5XmjYz
vzAaeHFZ5P4GbgsBXdqZJbs0WWFWh0vHX5nEjDNYCh0qwCfelp6JUUkDYT60MlBZt2T4BeF5kFkx
oGizcuBl2Tq86eUcfuFsOh/tFvndfprTkkZXmAn7erJ7r++96eWcttsTqpnVnzFMv5/GRk6gtnfp
WCPTkYHAg+10OJ1H64+l6yRnWw2vO01snBlLasRhJzrVp/n8PNUgHRySGr3Kxjvv9WarF6eMLV1c
pwYcRkT2hn6dAET7nYkwBUMvdky6ht7SPnEzZn1aUaHdp4t1egsA0r9Yzozpab7Zp+d0hdgnVrpg
lWgZ8CgfvO4fZG81nNg2fa8T311nyXp7VhZE/6QzPbI02uwtfH6bEz+Ywr1MLeNkmubLm7IIHrSN
QTOysRxfuDOnGGlQbtwA/HROrDlwyWhtvU5mhn9Hd83u9bZyNoDTPICK7jge2QyVYdEEjDp0i+wy
ZyjODSM4Fte+G3xZ+TvjdDMGhD73q3BaLeF7tiHdH/tz0orGeEmuLKs+aJE1PvMg7z9NTXomNRb6
+WzDZNMNcIDXizwhZ5MsVpVJom0/mlk7YwRumoKsA+xO0/fZpwhA7AlHhf0FRPRgRz0jL+98LyEP
bARxPFo55iZ+u3NgXKlmOJu5I1gE6S1fXGseyASH8g05VhARVTI7M+BmHAbJ/tZZ7Pl/fXyfW7vq
zZbZz0Nzs/gQ5OYf1hRjTY/uaQTMb0SmJAxWNAoFUwoeW9hZRrkW66MVwOAz01gAjreXkOrM3+59
Bp8ktgN/DpBXRgnt31iziAbd+fpjmq/nd7ALQURgXhBYFecbpgt91naUQUxL+8PSYXbS90TIO+B8
5ykDT4bw+IXLYL6+35bre6hW42qoJz6u3RAHwVmsvYEHo4L5CFbdNTzZ1/RAPNqaV97UZO8Z9p/W
kD2AO5sWmWIL0dp0ubumoL6jiWr9/+EfP8RZRmejSc3422Xrj1WyhJSjVbiWv9MUrmuclsO4Y1d3
TZBSohXxAOEyjIFOktf/itP6iuBiSZhP8z0scF8HCJcuhn9gX3QaHJlnBhr3J+rWHUy67usOBPxW
4AjMODS2Aj95VLQel1sDDrz19rZcPk7zmHX35UgbdxJ6fjx9DWW1EGLdL+i0nWQ7K16mO77An5Nu
9cEaBWG0uY0CclqP3/+qGqt9BH6n/M8cFSalWBbd4LbTbaupjNyIndg2buYOxZQ5LFuaacGYK9L8
8Id8zue7qf8wg9ez0CkemjkTehIw6tHqUrf09XT5mEjgzrS0Z+DFzxnLrJ/Tt1JOIp/RqsvrMoMP
377SXWYFx3kwH2fv/bleXbm2lozfV+vibG5GzmWObb2b04xCbYT+8BUMAzQXUtnIOGeYG5dORgao
WAEuOl6uZ4t36wBuzIwOwtXGS0bcBLEFGROTqm9pXmZGGv1e7eLyKh6v4TDdb6p4e0aDfmwtrzzw
UiMH23nrG/BIfdYYrcbUK5qmh0DDshPGGdrWGwxHur+aF8SP77bUdu3VqbWZQrsFRTdpyt2YGlIG
a0n9Rv5nwC7Ng4zCIjyt+6bvy0lWvZ3kJcmTw64Sn9azBd9ToSkYNPmzP/R9QU139V/BZxzrWcd2
fVP1zXxPRhxyz+XjBJ5DD3ZEjgaWyzhGcWFUYgafNx9rng+xIvs10JvPJVnjkZK+pYbvP6HU5/d/
5ntPIA21aD/HltIM0DLGP6sE16bJnPYYZtFIJWARj5UAnnVQ9xwe4Er//OM/JOWqEMsQgEdnrBQ3
+yNP35FwtAQCUFSW4wEKplGai1d8/PRBMNAN3wIdbD9phy/853UQPuJVRxEjvaOH4ti5gql3QVb9
iBY6Mr5qAaIBx/QMTtyu1AIuuaMFeMg4l1r4EHHhtPqlBby/3Jyyh+fJRP2MNTAHggXCBBzXfnrf
HYCJg06d1lR59e7pCVcUl4Blw0+BsQPMLJ+xYwsDgPIcGyDrB7UmLold7NFGoE7QxVP+rC1ECaAn
2FHAX+qrsxIM4lOWiEPnrtwoUut9UgJ9e7w5NWugDwh+hdVrtIB5ObYGfoDH8F2abJulIs1Pj7RA
N4e0UArWwOdUAYscGFm53nnVx0qgm5lhO2LAde+CAtNgbqHiGmD2j2cKGPDhFT9fA+wBaCnNRj29
8wi0uKm6ReJDIMwuI8yDl9eAEQxczq9wespu0N5tBJaCaE5VMgcWc9khm/ChgJBa6AYHeAbPs8B4
NEronWeguVzZJhIhMebegaXixaXgsV9q8lazd08P8Eh01iutAduj7c6lW5R+Z3l1raEuJrriOps1
0LudAGrHV44QyTQRB+suzX0vaSEQHF+GT/zw9SjVrzAZDjDlQJETEY7B5SzwohI8h5UAQ41lEE+K
q3cbgqZ91UMzNpGBoeQarc5p2fM4L7pMKbaap5c7r0exkQG3rapLMBk0GDiOaHJtrrY58EVXLS1J
bDlpLXsXI2HGTVUt2PaAXKHJHx7vODbEGbhi3oZLQaK+ercFBM+Sqk8gRKTbGkaVoIkLOhGyb+Ez
yKvY5NTrq3eLALog0SSu5BnrEBB7qIsTx/Ei4Kgskiri+EDvB1cPz4qkfBQfnz2ApSM1dIiAO2kD
UIWw3gcWXTj92wRQgKnaAEblcDqALeeQFumYAnJHgtefbpfmnNRDLQQ+aQ6lTWAzKdazmW5A50Z9
dbQQiF5V4iaRrq6v3p0WcWWmcmTk4/Vgngi8JpfcMYgBBylwVOTYmshJqr1PsQEGXTk0oqhCe7Hv
Ok22tGMRfAYOQ/fl1ROAxWLo344AxK+qBdsZwP5DqvDoXR97BzcYAHQ0IIjsbV2BF6RsHe2BzaRI
8iNNXaFjF+gLH8AzB4eWmFnWr6MSuS1luyiOCWwG1kA7NvDcgafTmv9UVZJuuEeWAO4aW97U30+h
4hVIjlFYC5rjcMcSQIntgraAhLN3htBkZJ5qZEhoxOA7L+CUKE8BncfHEHoWoAlI5OTnvXOKDeGE
UmhgGaQD6JHzOXfWV9cpBgOL0ho+86u76JkhILuraghtF3cQCFxRcxbqaoEiPKgnTubym/pkCQy4
QFTjQ7IiZE4NhrrLRfDMD5BIt0lVQxPSOz/AW5Ehyt+3hJwSLMeFTJP9Xl8dUwBdGKckukOYl37Y
JD3bBMJSqa4Ci3FmDjmjQw69swrwBw4IBBN3IVdJ//YCXXLKWqC6SsATgMt7esrjyNDjwEzZDWSk
XCpB/3aEDUhQdS1QLyBDgkV4eUeQQeQTaCEAJtVX/yIki/hdVQvmgBjQtAW25PCUrbXgDKixwtR5
wCP0LkSguCToatVCBBJlFu/6yTqyxVpaAG8AjNWH3F9qqX9agNxKNVq20ALclWRR5EOKfOGxFgLO
1RLh3IARe1digzZWfUdY7AhG4YgJOvJqa4HE9QAIEugLu3+HBgARqqvA1ikhgjhowsQ6a3y8Cqgv
+RbTA0gxSfUQSfQsUhAgOkWLAB6R8UlmAMvr01O2tECkALRdUMfLz3vnHQRrraqPtNgLOikCDqMv
egdfrBWqK6DSpBZ6ZxeFFuQC/fuxM8doGydjExrKp+x4B3QzIB7hdNUsux6dnZoBwKrekfm/ASmy
xiYQFR/vBSoM8HibAockV4l0x33Sgk0xVNEiiBMUqSROB4177GihRmZ6QC9Mt3+7gH5n1RhJAHCY
C+F4/jd2Qe0XRfq+QWn1bxUQyaraAvKpALRRArnT+urYAiyiS7qZ49VXi9kv72i5TPNW3AtYRPoR
OECKSd311bEIAYlFnCdl1ye/0TctPG8i/FmsNtllnh0qW6vJKXUtgk7A7NDagsE4aOlHtfADxvOp
G+pkFsWPdR9UNMlf6oT61g8c+n+ef970/tTzJaH1bf2gaIuS3y27gMS/f2s1dtTNKUcfHppV6u9p
fr15wOdf3fquw1Md/vMimmRh9jCr6g+q5jZvwyW9VP+Jwy/hMjzuTGEPEpd9vZN//6t1n0e74C8E
54uOXFGeU5abRftk1RZcdxCoC16Eq7xN3cwITwyyquSTMGYoY7aKWnctgc7KspM4ycLH5HCXYvFJ
GL265NVq8lBED2XREl6DclWFjyZxuA2zybFkCXJUltz0Wr1K/nxF02u5/NJWu0QRqn7LGVqPHlvv
swHoqUo+nyTZtH3LDepLVfIFGo+iY403QCpVwa8fw1lrATKsQCCUlOUyDHWVRPlBUt05KRtllEWv
Hpkd2n5/ElakLDnZdsTWOB1VsVfPbZOEvigLRkD5sKhaSpZ4ElXR10kJxXhXzRLQrSr7JoxWLetB
He5XuJebMKueDYuWkAL1W87z8GFW5pOiaK3ppmivLD96mEXTsN1pKwvi6qLxBbCctFa2KQus6rLz
POIvXIjHa7DphvoV0hNIeTqiRWVYWXSyKjqL25RFV1XJt5MvWdiJnpp+YXXRm7Dtt0jCiEKpuuDt
q4twmeZMxmltTOSLEuSvkH85yfJJy1KZsrL3K4TfTHbRQ8uNIVxAqX6F8E9JtjhIqs8HsgqlLDrJ
itmrkzBjFkLbmzUFnl/zBc+nezXNSari38yitsZliVJZ7CImImmfakxZ61EWnU2mXTKDunyiKvhu
At9WFW/CzjHBlNUJVfFvZ8nj5NXr/Jlvk2l/VfHvkvIbC7HJqP+aL3i+EJtUtar492h/kueTluVq
0sDqsr8xEKgmYXmRL+Up8/y9E/bvRTg7tikAV0W+VvV2P0yyJZ7tIEhYq6brRllyxMmms7wtyQej
KvpjiN9ZTYv21qTVXWRwlYVP8uLVh5duXuZGleVH+UOyyqNW5NZkHJVlf5vW67vL76VM0xN/yvP8
04Ea56VfayfXxE88xJMw++2/AAAA//8=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  <cx:nf>_xlchart.v5.14</cx:nf>
      </cx:strDim>
      <cx:numDim type="colorVal">
        <cx:f>_xlchart.v5.23</cx:f>
      </cx:numDim>
    </cx:data>
  </cx:chartData>
  <cx:chart>
    <cx:title pos="t" align="ctr" overlay="0">
      <cx:tx>
        <cx:txData>
          <cx:v>Percentage Large Business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Percentage Large Business</a:t>
          </a:r>
        </a:p>
      </cx:txPr>
    </cx:title>
    <cx:plotArea>
      <cx:plotAreaRegion>
        <cx:series layoutId="regionMap" uniqueId="{ACFAB797-2E40-46F4-A0BA-3AB78A6B1B2A}">
          <cx:tx>
            <cx:txData>
              <cx:f>_xlchart.v5.20</cx:f>
              <cx:v>Percentage Large</cx:v>
            </cx:txData>
          </cx:tx>
          <cx:dataLabels pos="ctr">
            <cx:visibility seriesName="0" categoryName="0" value="1"/>
          </cx:dataLabels>
          <cx:dataId val="0"/>
          <cx:layoutPr>
            <cx:geography cultureLanguage="en-US" cultureRegion="US" attribution="Powered by Bing">
              <cx:geoCache provider="{E9337A44-BEBE-4D9F-B70C-5C5E7DAFC167}">
                <cx:binary>7H1pb9tI0+1fCfL50sPuZrPJB8+8wJBaLDu2M3aWSb4Qiu1wbW7N/dffQ0uOJY4SezC+uBDu9QQT
xFKLRZ6uqlNLl/572/3nNrlfl286maTqP7fd72+Dqsr/89tv6ja4l2t1IsPbMlPZ9+rkNpO/Zd+/
h7f3v92V6zZM/d+oTozfboN1Wd13b//nv/g0/z57l92uqzBL/6zvy/76XtVJpX7x2sGX3qzvZJjO
QlWV4W1Ffn/7R7L+tpbrt2/u0yqs+g99fv/72703vX3z2/Sj/nbZNwkkq+o7rGX0RJimQSkVb98k
Wepvf69Z5oll6IxRndqbn8eLXq4lFr5Akgc51nd35b1SuJOHv3cW7omN3797++Y2q9NqfFo+Htzv
bz+mYXV/9+amWlf36u2bUGXu5g1uNsr+8ebhZn/bf97/89/JL3D7k9/sQDJ9Vs+9dAgRFb8iIKZx
QgzDEDrVN4/d2MeFcHpChW2ZxOB/Q+QZSX4KyMO6KR7nR4mHu07C71mZhq+ICRMnlBumaRNbf/gh
E0yIfWISQQUxyCFdeZlMh9HZXTtByP3jKBH6HKrbLFVh+rh9/70VM4wTk9k2Z+ZWaex9gCz7RDBq
c26zDYDs8dobY/YikQ7js7N0As/n1VHC80cZDln6mtpjnFCbUWoRY6McE09DCDmBC+K2yc1H7dq4
t62neV6gw9D8uJMJMH98PUpgLu/bN1+yMn7cuq+gNvTEZjY1Ri//8AO12OUAgp+YeIXD12yQMx+v
vUHmJRIdhuZp5QSbyy9Hic3sPlm36/L+8fn8e2yYfaLrljAp45tnPzFpwMYwLdNgxNq8PmEDL5Ho
MDZPKyfYzOZHgc2vSeQucd575z8lzvYJ1xkXBhMHdccGfsRicEtb3QGP27VqE277c7EOgzRZvncn
R0Kcy3idqjV4/e697225fwqJcQJdsHRGtipj7Zszm54YzCacc2sD2URl/niBRIfReFq5Jz+Cmuuj
UJk9qRFmulmSleu77BWxsU4ADee6sXU1Uwqt8xNuiFFhHi+68TEvEeUwKE8r924Pd3d1lKC8v09T
1SfN+lVjG0OH0iC02aqErk+AEeLEYpZlC7Gl1lCqXTv2UqkOY7S/eoLT++OMb9wsTe9vq/C2rh4f
1b+nAwY54YITzhjf2K4pTMjjMAscm06M2gulOQzP3uIJOu6Ho9Six2Tam+z7G1iIWn571UwBzJwO
M0bYJG0DNdKJSW2TbenahA78U7EO43X4UybAzdyjBO5iHab3r6hQ/IQhpWPwR349iUpN+4QSBD66
OMzfnhXnMELbZRNILo6DWe9JDZqwytr1KyJCT/CwTVBq4zCjZmDcum4Sffv6JBp9TprDgGxW7d0Z
buw4Pc8CrC28e0VIqHXCkTWDHmxj0EkQaoFRW4IZ1DqcV3uBQIdR+bFwAsziOIsEy/us9F/Vz9AT
04C7N2xykA5Y7ARFBCYMfcvrJqz6BQIdBubHwgkwy+PUmFNkbcLw9WzYQyEAaRudwTjtptIQdZ5w
KsboZ2O9yONFN2HO84IcxuNx3QSO09VR+vjV3Tp4xaATZQHQLV3Qx7LMJCFACOoGqAkIS5+w5mcF
OYzGdtkEjNXsOMFIkjDNwldM0CDWJMACQf6WU03diY3ap2Uybj3lPHdjzdULJPoJMD9WTrE5Tofy
ea0CdB5U2WsW0cSJQQhSmpbYePsJIyZUP+Ecbkc3Nk5nYsJeJtNhfHbXThD6fJyeZZXehetXLaPZ
J6g/24b1mL2ES9/1MGjYQPgP6B6LOVOT9rxAh7H5cScTYFaXR2nWzmFR6tu4f/S//z43g/YAuHZq
mXzbKjNxMxYHMkIIRrYseYLMSyQ6DM3Tygk251+OE5vXrghYiE8MQcfs5cMPTNauztgWCALKNCjk
/DB5uw7n/Fl5foLLdt0UlZujROVdVofqlY2ZfmJb8CLmj8hyAgxBVppYaBp46oLaBeZFIh3GZmfp
BJ53x+lpLtZln6zTu1c0aMhiwqJBKfZREeaJ0AmaOR5rmpOo8iWSHAblaeUEk4vj5M43WV0Fb9x1
mYFDr18RGYb8Mh4/Jdu4f0oCxmoOgn701GwM2iRH9nK5DuM0XT9B68Y9SgN3HaCf9M1Kva4WoWRj
UgtdZ9uMvz2hBQIlHWJZ+tj69PAz0aaXSnUYqf3VE5yuV0eJ08VaqfVtUKv7qlKvp1QGPUHzJvo4
7KcS5y5LAFCmjmYPZiEi2vVCL5bnMEST5ROMLo7TG326L2WWVo8P6t+zayRxdMEp/pvYOoEcqElN
27TQ+jn+TGj1CyQ5jMuPhRNEPn04Tq0Jb4PQX79mpgCNNsIQNuqcmyc/sWwIeATTbcSih73QxQsk
OgzN08oJNhdHatFCpbK6DF9PXRhCGlMgR7BN0uh0n8ONTVAIRQWhW2wmWnPxAol+hs3jvUyxOc5+
m4sQfRwqq16Rvhkmis42QRfatixDJuDg8IeNWhq6pR93xKY88CJZfgbLj9uY4nKcCZxxh45/8vw1
1Qb9MxSFmx+ZZ3sfGZwgQHs6Rfvatn9tQqxfKNTPINq5oylIN8fpdMABXjX9aaCBBs1PxEZN8+Fn
wgaIDoQMTqg5tt7ssbTnRfkJLI8Lp5AcJw+4vP9Wrp85IfbPDg+OTWk49MSE2Bzc+JuvsU+Q5BEU
PewbzCZK8xKJDkPztHKCzeX8KNXl8r5Zv2bjBk4PMJRq0N10OKQhxIQ944hoEICOP3BEuzrzvDw/
w2VzH1NUPh0pKu2b07XMUWt7zaMdBjsxLRyqsR/VYmLKxsQAVIoiHN2ozYQMjIdnXiTWzzDaWz6F
6vRooTq7L9V9/7iRXyHyRLmaAQTOtsm2CZUW6B4AYcDp700UZE8cz4jT8zL9HKTHtVOEzo4Soas4
QXPHq55dR0uNxQy0DG7UZNq6bqMup4+daWJb0Aan2zVyL5HoMDpPKyfYXB3noelxp17cd+HtKzbf
MOMEaWoEmsaWHEysHNHNEwJ4bGSr93F5mTSHkdldO8Hm8uIo9eYyK//PlBKgPQy9Tz8owqTdQ6AZ
xwJDMM0tflPy9mK5foLUZP0ULfeI0Zqt49fNG6A1xzAZNGWb6pxEp/BPOA06HrJ+dEUTjXp41s9L
9SukHldPcZodJU5XQfiKtg6NbQY6PBGcHqbb6JPGKwyd0k+HRfc80TPSHMZlcw8TPK6Ok79dlff+
qzazoVAK24VmQnNLzvbzOZtmNkSnOHS4ryvPS/ITNLZ3MMXj+ij1Y1PofdT5zV59BUYNTsDGyTWP
jGzic0Y7RpmOFKk54dIvlecwNvurJwjdHKcF+4DjoBisdH//uH3/PTyMY+YTetj0bVJgms9BiyEz
GB1H3WwY94S4vUikwwjtLJ3A8+E4s9Qf7rtXPdtO4OCZZaCz48ej361RY9wAwxgPNLo99SDuephn
xfkZLA93MYXkr6O0aR+rdfCKyoInjqYB5Gm24eckO/Aw1kaghY2aE+b8nByHodismiDx8cNRIvG5
zzDXzn89MNDCATdvItO8rQ5MwdCRC+AYrAasNnzg8dqb+toLBDqMyo+FE2A+fzlKYD6FOKf2qvMF
xuZoQi0bRenNg7f2iZiwTsbhAxzHdDavI02wa7heItFhaJ5WTrD59MdRYvP5XlVvnm7qtTgZGgYw
/xGnPtDY+fAz4WSWjtl2CF1sfet5JgC9WKzDKE2WT6D6/H+pcPDzgZE/hmnO1tV6/jCFc2dm5K9f
fXgCGA06Wbrd7wf52wbl1d3vb4k9Dnz8Mdxz/Iw9Rfkx7Wy65H6tqt/famOBFGcPORoQcBJhLA29
fdNiS40v4RwcprOhyQ1tITgwZ8J6pmPKAPNBUXYdV1kWTsmNr0AGdKw8vETgAMEU8XEWJu4Q68fo
0/dZ0iOa+/Ewtv9+k9byfRamlfr9LaVIYeSb9413x3VMh4FctmUhnw7xxgOU+e36Gm4Cbyf/SxZC
qS4223ckzJOuMB2rrTCt1UElJdPPs7yxqHSjQlRDvYypTKT+ucJJMzKP01yqD1Qa1VA6OHym03lS
RmXeRq5o0iK3bkIzzZVZuXWUhqR287Yz0oXB2lS6aWr3p5HWtlrgppxS2azKOpGqUc5Q1WmVX6RJ
H6Wzpgkt5dhWnr7jXtSdZZps9FUUmv1Fb3jeh4gV+VmqmX9pKmuWbdYI39U7e2bzKH8XSRUuZdTV
xOE8ph8CMxxSNwzqVnNs2ca+Y5WNPW9ZUbSzpBz8zDETs7se4oav9Zx6sYOH2lyEeuCVcxpUbe2U
TR0Ojs18PVmmXZMsu6ZMrBm3s3BlSr8Ql7ZdNZGrej1cFpqW4TPzvlpWZdzUjpZoiRtIIz7NvbJd
REMpBkdoKT44NSKvc2XjNVeUe+mXqu3JdWsGabPMqqiaBUo1vuPnPe1c5feDo2JZziJeNH9VpdF/
8oZMmG7pF3m36jKrix2v5LhRw9Nr+peXRMW7lpNkqahZzg0SN3PTzwviKFK+a7OM5DO0nrVz3WRB
7oRxy1emp8QnO+q7d7RqbbUMI6OoFoEq9cRpsNVnGqt7/c/CjOe00lK5ZFXiuWbGu8Fpoko4oYoi
zeWNbISDkWplNtNrgzu52cjTIvOCWec3tbWgbdvO2yrKXOnTxl/0tNLxoP085y5RSftdeKG+Hjjx
FzHH0MJF7IXlXE+Nfi2Rl6MLu5R8WWddfkPSMjiPzSr5K9Mj0/H0hrRurvnVadIEvj6jpbiSsi9n
NQ28eRlkonDzICHYNKQjzdz3k2LRN343D0RpX3W8yJeFV9ZuXRj+WWB7nXAyJuMbM2E8d3hQJ3d6
pGWryovoqpJCzjBowfsKbSgbJ42I/c2TDQmdXlVNvPSrgn7wkrBetaUUC5o0InDs1FM3ltHc6i3X
Zk1vDTPPKnvpQAPCVSZyJt3e7xrb9U2LvJNmYpzFAbe+IAlDl40KTM/haiBkxhvqO4pKjc2UV3zg
RlJeFpY+fEsq6c3qwu8/1WEuT73Bgwpqmm5HTq4NbN7kmrrqsy69LHgUtU6VRVHo0Cb0XK5ia0YC
L/to+kXltJqdrlI79D9XRSI7x6q85Do2cuqqIc6XTSWXVWZhHwrPqB1uxPqfPChqt686Zi+y1KAt
LItHvPM8tyKn5lV+VUrPXihTT+5TEverwsY84i4oIqfpettJveo20kNjxvq2dbkVGqdRYttuZtB1
1/afeVJyN419u5vZDRVlPCsYB46tkxdBXpvvW6V5Pi4bc7PuS2d3tvGeQb3N8r4M/WA7TvrHP//n
Qybx52HY8dMvx2nUT/9C/+RmjPUv34VD/iMtVtM3jV7xx2c9jVUeXdGPGcsT37YZfP0Tx/fLF1/m
FTHSFY7k515xd3zuk2PcrHp0jPB+BKE1h3ejmA03nnp5dIwUCSu0fqNHX7cw/tdAwmPrGBFx6EQg
w4hGS+g2GvmfHCNFZQUfiGPlG7dJ/olnJLjGnmPEYFQ0ayKViZ5ajNoYWcCuY6wGluVFXXeXacvs
edN6sIsZi0TsxqJt/jQ13p9FXZPGc12Pqy9VZjQfY0N1haPstPi88/S222zXTxOwwak0hm5THGc0
dEygMEdpd9y0kfZ5bAd1c0mLlFz68ZB6Ti0yM3C7pspsp2mN+ouAIodOKa2qcIuohIPzBiUMF2PG
0ju7qvQrfEZQz2iSkI8D1yyy7E3u3ZNeI93i1xJTZA7/JrEpTMvGUQyhg15MJA5FAGz76pJ10MeZ
2Q3Jx8ZAG+aiEn3GnabvSDQLhWc5gzB72MhYZ0vZlD2ZlU1W3QWdUsQNtZzPFCa+N04lA71xRMlj
f+5nUfA+ru0zqexAzZD/tz+poDiPk5Z381Bp5kVYBo1c/vqu/g4DJk8iZKLIPxDY1/Gmd2AQvea3
Wp6oy7Ty7E+ZD3bvGDHF1sjTunvfdqV9k3skQSbnh/IcgH/ca7skTRAhCCa+2MjSjv8bxdq5LNc7
38iVn16m1kAuSRzUl6kq3dDyAjD5X10J6vO3K9kYgi4wEAB1lbFGvHulHF51KOAYL61cN9ZFm5XJ
0qusnjpxHsz1ok4Gl+m9lbkR4618btOMm2L/RrFRcOjAGIdEwTpMLo8O6jDwUxleiiLmaxnVfB1j
+k6y5INUc7MEnep1QL9sk6KlThFn4r5KbLVq7d5415ms1F3WRlnsRiKVH1mZUzYLrL6/z7Umn+na
IIULsmaUp5hqPdQbd7CZdH8AJ/J3oDA7FmYD5Q+Kfm9jZNs7QOlmzVPOPe2C1J5ch2WlfIdocZUa
Duv71D9rgzD+5lt2/q4bimBhZkYXupQ04nslhiFz+8AXrpFFzX1YMnHX8DwQaEz5FcQG/xvIYzqZ
ibFEgxHD4P/7UpqlFeplULELMLrcs61ZZQfDsnvw0VVT127ZFfqfjex57QRBINySpCCOZb5MRlcf
J4W8zhMO/y+S1v/cRjJbgeFUTg7C9NEcKYNXpJ5bP/CIsGLgFF6k0st2JBrFSDl8n4B9aA9MhDaB
POVgbdc08t/7fco6J6lFcVmBxVQPfMYcqQ0JewrbYNTD4OitFb1LRhoEfmucBSM1Gh5YUqsHhsQI
OpAn7YFHtSOlIiO5GqLuNldFdVPrGphXKyux8FRRrwyP0g9FQNp46QkNfG0IYu8bppqDxYVpoX2t
R2qX54qu4izNV6Swk7uwyU3o/UgHwwdm2IwksRzpYj8SR4Kc/1XRym5utGWxIA8MM0Es6LtN61uF
24wkVCoGOprbV4GngaESklWncDW0ddORwlqVSP7qpB6c09LObzirQHXtSKNgTHJYW2ZWzpXeRcOi
iS1/oXWdvqYjaVYP/Hl44NLpA6/uRorNRrLdP/DucqTgScXkaQqq7dgPDB3cHGw9emDuwmuFIx74
vDFSe/bA8kvwfd8YmX87BgHhQzwQPcQG7CFO6Jjo3pnxMCTen3VbVFI6fZj0aXkXeAGlwxfVap2Q
YL4lTHl2S3sZVax06qquc/2yiisZd2d2WAzLxq4rbyXLMMydiCbZjS40top6xkZKbiee0xe63QEu
aVmz1PPgD6skbou5Gbe+7pZJRbyroNBNkZ3GvWiDWd8ldvXOVBXDjmq9jKjWreELF6YWRN5VA9Ux
fbewcgsbjsVKLtIkLG0nKeC8vHnXhKareTiBw53eQxDiZsqT0g3suvUWbSISOVceWMGCp74cXGvg
sJgpjY3alUGpIXRSva/eq1CTcp75ofVdqxsR6jM9o9UyNKzauuRgrN5ZykQleOSmnSqG/lQhNCuD
ee4HQs491QwFAh+Vhos+MWV/qislc5fTPgld0fE+WZZhEWouYKWftVwOZMaYGSNAiaWuXSWRrik8
8jT9HElpyxUr7SqZx0FlXg91xdgCYQ0l50EbKJE6IkD4u/TKJk9v4IzZWeQPNF7UOSSYZ1XiD3OL
dIPtWlGftxfS6rG1NahKOfMIqc9Kxnky8z3m1zORNoAzFAr8JB0iNtwnMbPNmQUBJGi+DIoVAeM/
9UMRmy6N44LNwiz0ZkPtxdzR2jK330deGxkuC4tocGQeDdq57iXGguSezyGuLfI56YMhWwUhaf15
bBsBQgK8zyF2aKfYPj4r3K4NtcGpulD7WqZ91mtOCD2il2RIwyF0rMbQ2Ic+aWl9aeZ2n81Su6gu
eJ3CJflKxFhgS1SIFl4YkPTLQJI0OCt6mXQL1fIhPCeVX30wIsrXvPOk51gEm3dRp51gc2UOyCXI
mkRylrAiVq7VevOQhMWXpG3BLCI/am4UN9tveRmw00a0vje3Yq5TJ7U8fA5PsqhbpGVDLocuZ8af
quLkA6k0vKM1NWW5FelFN2+ojMLTsqO0XaXCV/Qq1IT9KdWLcXNGUaGWIlGBet/1RmW5ejEmR4I2
hWCZgtE9hwezP2GmA3a3hJUsZzii1iHsVbZH30dlHcfX1EptY9UZUVtfVF01ks+g797zWDO7edZK
XDrLhqFxOiqrYanHYrz5UfQW9gly5ZJcGjzFXdQFx6MK4iweXDtuoDp54sfhn2kpoPJlDVbg4zXY
VFqlwVVBjL5MHZYHOuBuy66+kFqQKyfU66JbdDrmhs37pqCj0YAyubgjGJDOJiNPrlL5yaPMPrOa
MLQcK+Ax9kXvm+s2ZRCjK6P+mlWdrs590NwIObE0jm4seIulSnVyWdh+8cXQqVk4gRGE9CyzfLs+
94LMb2Z9KYoWBLdny5zisbq6KPrbOIn5+65WenZa6H0Tf26RO1Kn0tPk936wRxsSFkkwQxxgsXlI
+0AtclPanzXdkwvZ5n7hCANmri/b4DrMKnVuyzjiM05L6sPsof3CaQJqfyojrfHnCU2hJoPmMXtl
pBkp7iUMcn+GwTbQjXa02POIa3iiXTM0cziZtjgnZU1N17OTqoGnZY0O6l1EX0u7sT9oPWj62WBX
JbmrVNorRxIimlXYUnxUJ0kwuEbrm/4qByytq8W2uRiypqkuul4kN1GjCscS6tSQXcNPh9YEOLFO
1LDMkzjLLlKzM95plW5k86BIZXPu920euBZXMvgAJqLudDuFGYHpVI0TB6pFmrBtrAJeoC9uEr8g
4V8kG5jVOAMYWP8xr5hm48MUcnmB0GL/TPPy9hvSQlrjJkKZ8SpEMv7PDvmCYVnWhQrn4TBm+0Ja
Rex9FycDv5RmniROkTe6eWGQwOjcHuxGzdsgB2qtlYa+Uw5CwnYolcxJx7py1iTUKpeDVWD3x0bn
i1nv9bpyPaRHi88t78mHKEAaBOoQ2p+w16V6n9rIhixqmtvRwpKB2Tpd/YVadWsRJ44b8ZHTFGnL
lvuVcWF4idVcF56ySzh37Oh5HjKgicAB6buQVXH2TpR5wN7TTk/MlddlNu6r6zT/Ii61vJ1J5cFm
IC9UVxdJ4kH+0o79hQqsOJi1na6v+sKA3vemKUIkFQOBtk+w0m1Gf8udN6np3VzGbmrj/8lMCgId
ipz7DwL/twLDbtl6TNlvFzxmUcbyAtqtx4EG+I4qtGU/ZVGQYNFNfI8Yx+hW1PrGjqvdLAoZQ8qd
usJYctB1pnMiHspS/J+kT6xp+I8ZmWxMnICVgOeiH2w/xsiKLAyy3uov7HTQhhiuLe/7hTRb+5OU
BlvFXQfr3vh+fq64oe5I34fLLjS7932RlqclQs9zmmfd+6iu7bkMSXcd9D1/L3OidOZkSRd6Vuyw
Vq+b4VRK0/Daa030XVq4td1gXMfHwOtsmZ/WkkaO6bdNETh64mlXtjQaeZahWKFsxF4ks76zXPRh
fdqi571rVr6oSeitPNFp0RmC5KK5yRs85BstzQSd50ZAjbkfteVwjmdpsCsrRu5ex2UDZOh10/El
hYX2jaGvrkuJcKRuk/ASPDFYFoIOzG1T0/uQShp8GKqMneKmslky1Nq3NpDhBysySiSmZRD92WX8
surKYjXw0F8EmVevMZsU2qmkFyFPX4auqUfMtbOmT4Rrd4OgKdhZE3LhO0PcdnTetnpTnFMxyJS4
UWp1l4EfN9qqa7O2n8Wx5vc3Wk/qASTUjyN/4Rk5DqAtadgF9bLx9KwqTonueyRMHBk3Rdxdm4ke
lhd5p7IUKMhNCef/W4Sdrw+83f3Svcfi+6jgdNThX9iD/W/ne8quPqzbmgXTPEF9kKHYgFocgnwd
6rdJrqKJbOwMQLMZzkHh29XGBOrWKuAAFAMxwHdBbAfabyuOBHOJGEWbrU1w7NDGF679E8vAxuzC
U45nvCLBl+whu4MkGppF6Zid2MmRJCQqU3BIfm8Rr4Ju09zIURbT8yYcPnFe5/Ha0EquFmnRq96Y
VbTjQedqmad/89PSSDU3o10szuyA9/UstrW0OG1tmagL5CRyrXeyuOP5Nx5XUZfNNNNMoCA+sjXk
XnRZX18nQSeStWXx3LtlkhXmpW+GRc5AYpA5TFxs/1JeBUSv2nTmJ7yMkfptuZTviOgLiOxLSfpz
KlkafddUk2HNDqQHEkn7eUb0lCPXi8yMaYzfEYHHNc0zEhnWgRlY916bpVFxWkkjMU4To1GlOB2U
X4WtO6BgG35PdC+k3jN5OILK8x5GaGhD7wHScDgogsnf9vj6DkaIyixUZMzwLiIxi0MXRoozROw2
1YpoUXatX1YzpJB8I3A0Qxvy9H1rsF5RlxiD2bKzCpVLFTtZVrCSXGJYT4HXfv2MRg+ys49A2hlD
lhItLkhijdtyX8YuCDUalEy7M7Wy0enMH4QvikViGRXTnbSsTPMrYiWvWv36uhNsxusaNqbboQGN
Il09vW5e95nINGbd+YjzlOk0OhLCfwXIIaXIKERhHV6lHr7ntELuLEOb2jM5xjGFuH/byM1iXitF
YwLa3MTEsfq8CTW9C9idJhJRMJe3usnXUCStWmVDKJLLUCMZuWBx0dc3sdL1IXBw1DLBQ/n1g9hP
dqKnnlOMJUXpZjyijzkxEwAqM9SjPk69W88eUl4usyKXXj/XPOTk+2VvlR1Q+fUl/37zODpr4ugZ
+h/GgVyTokIgAlSye728M8wWWr7oiTmAJvOyrZUxRz7cML+WNZ46qjAmmgi/ZgivSpRvwkzP22c2
AplYMjwAfOsEtASKioHHCH/3d6BvDxG380r7hoOsQmqnXRWMCiG7LEANs0aCYjDcUCKCzp0OaX1I
xdFMUN/I3Ix6N9VImd7YMpBlOit4VtJr2YSp+vbrZ7af7TUEhsvqmO2PQ/oCNhxDgPelRF7KKvVi
6L51ZVViE+h1rONh6V3LuIbwljXaTU6RZIHSVG02/hXmfv1PHxbOPuNrBpiOtjNk92Ha9sWwCqqq
XpnZtzThGmx4BOs1tCgD6VXPz5nHYfeVX+PLomTEU1jUMpcl4aeWhhA2dooA1na0/EjqtJBwSJpz
o4vzTD5jVsh0j2GGG7rmKM6YUiBsmhP/1KFBJQdpZd+UR01NzqNK5Un9vhiqME/dtugLCKcJ2eC1
rC9k1s+seOi1mzbPvRVCsCTyXTkMen+OVBYKRU6KDh8PfTBc15JrhPH+IF1kHDqYRKpFPUnPdAT9
+NQ49NqieEZNJ5VMWCpkCWwMbNIJDqfjiwUmFgM7My2atMm/Cp7xiLu5jtO1heN5tW2XLhmQUw0c
r99Yz6Q28Bo4N8xJTjwLL3VtxcxiUbfseYU2plYcgyNARtDHRCgOjvxtW8QdUqxIleRfkeIKy2LO
UD0wLigJWH/OVN3jcdhekwyfZND1vXDqoGyLwIXBb81rvxg87RQMOxo+lVqtzEsrNEeC0IHhJ/Yy
rvkIT6aYjS3UN4I313kZxcOnIUGGOEY8kIxOK8TTB0BZagf4JUMfwPDJkl0H7BiPevylBt2vrFnO
FVMLU9QjdnHnhyAYxcPlbcvXejQ3ZF2Ej8hAHiB5iIABsFY5l/G6UybaohZ2U5LmxmDZUL0ry9gr
nSSRJZqsNN+T3alvwLl+Sa3UMz41ekOwyYTlg2c0RZqBovzaNkxNOJ6+wDldZJEMYeLA9WRrMA81
KWLnydeBSFX6yM3pAomzNouyZMXqooWh+PUVp9YIw/iRCyMPZX347ukVUS1QQStZ+4UN9bgZ29oY
zR9VIobzNpuCm189JIWxCZF1Rf3sQsCwYJ/+WoyxgW7PjaL8ZVIBx4WD5NQAS943RwNr6kKzTflJ
GqmsGHpeaq7dZ0VQwBoFsUrJvPREFr5vlOXD4uQBz1B2tiraZMhciTZBQRpR3nniWeZNx9AF1juq
JWZzXVmaHroFH7rsHJtID5xINzwkqwzPJKOyBzr2YdYEYBcrL4qrUfMbdA5ejd8XnvcOi0vWNctf
3/HUrlnojdDHrnj68HVviAn27zg2vSBtCyU+NnWKWHXOy5KCxDbDuG8NkCzjFDnNDtu2i230xDl+
9cBsNTMftzSro5Z6N15njluaFuEgy9MQ9dXRRBaD0smiSJocLXcD72NondfKkVOT3pLQTkEKqNGv
b4nu92hgxjAaJOE2YdWAII5oTEx1wVI5ZFFKP1pVgE7ARZX7owAVOtNG1X3QY5yp6SGbF/xvyt61
OU5cCxf+RaoCxPUr0N2+x7Fj7yRfVHGSjZAACYGQxK8/D3H2++7Jrpo5p2omXba7GxDS0lrPZeGP
JY5YeYQUo2dsNITHSONjsCX4lQIAL78NlSjSq95BCjnXc3Aqf2Czx7t6To9LDN2YL2dJCkPPGvJB
ujQB+wUu9x8u7Y8sE5dW4WlWCbhkqLRT5Ht/vVurl3ExWBVeaLcdkWo1M6bWPuy9+r5GpUymOqxq
3l9R7x/740hUjBvi83HowmkfczAP54oS616QpRoMhysExeyj245oMvWkwhRL3aCP6GYRNq/6RDuE
tRUZCQ7YryzCT6ixYgzF2KUYinUtOFmbbLACS4JXicBP7+NzhMLjge3/X2H7+J7U/rfq5Y81WiJd
QHZVJFmJsjP6n1Q3dnuah3wmn7axgFTv/J7eJrz0m2xQWUIq8E9h4Y/t6Dhkiv4gCWAr/I+s6a/D
HgmFFFL74tNiY8yQNaAlJoSc+4rxSYVOVXZijii/QCoKqspAWMgmpCwIehglcA/D+ljkS8nEma0p
QFlUIcn2ZGAqwg4wEiz81U/YqH7ftm52E4bSD+WEtYJVdNyOTvrjRhDRx3ipgqi2p0iNCmeSSYm9
CRLHo079+9EGQIeL+6/SAhd/bAIIElACIwv6s7JBOriAg/bhE+chB9OyWkl1w1zExEOe7KkJp5mb
XJd1BaGx4LUxcz/fRIOFxqcGXjWTW9ONJL1nIy9oAwzPd9+jfoiuHLNp3spiUsOPVAy7eRpVPppv
DpSZ+5ACXfN7W4qpynQzI39c7Nm5rNwezAwYDyLaMRrjOxDycdVOk6kAZPnVGlYrD1hd1NDJGoDx
nZcbFsO2GxeG2pNMpOIMGZlNIdlcQ3qog2Pr7EVXjscM+Rvr1uuVF8jMmmIf3L6jrMVU1NdeBmbr
edEiP29V0dE2G4nfP7lcJf2rTYeOtTRdk7gJqE9VAMQIOqyt+gQsT5cN3RWan67trCK337JqiqJL
7GKenDvwcjw6aanG9CVkWyfJS6Ui7z8dCoz1nizrRJ6wYxT2R2by3LzsxdZNqtaQ6fLlIzC+ATqF
HugGKJW0HFVdSUUT3hRmX+byLR5FOf3gQE8332KqhPkneHSggFBuuCUWVyub5qxsUQdkQ35hI5H5
QxWDE5GXLdeQD/CfvJzoilH2EOmY9B5iuA1Teo/NovlHmkdrHp2mKdW6uLYVyM/hbsq8nLuT2LrV
bdAas67vgSSOzmZPbErofJ2LlHflGXMlp7LW2x5hWx+WsndV3ZE0n6FyZmYX4dp1C+H9xfUjdptG
Vi5FgN10b7PPitg8g97HQdzMGkeRtsQPViPrquo10NLnHwbI6PCyvv+S9P2Av8EnnuJwu1rS+W2H
eCDZbkRudJdcxZ6QomiCyKQtLh6y3XGAdnU79sUoIz0up6MZNpVvnoU8qhqR8SrrPoCRcroAE02E
G86FpCTR19KGqtw+5JBH9VU9V9WBSRRmzbh8LTrGyH6bpsOCkSJhRsi+R9SeeXZLKAO7CRX+3MfD
I1S4omQnJxAIupPq0aDANAhZxymFjQwQ20cdD/3cRloKA+3DGpFs+px0yYTjjYdE9sVCZDI3BnUw
RhbUUY8dpIlzfnwJzh8pSz3P1ZHTp3zB1UMKHU80PwvujhGjwyrxoha+kudpLI6Qn25rVwJmdqvC
BNgn5BuXFfprvE+/XypfIdXCFwtIGQvsJQvD0QYeo8ic4v64PfGBn2f/igd/jPOUVgJYErHE4FaQ
SZY8/TnPKGjmM3QfyLQaUF4BQu0e1KwluIOpne3rKibbTxgvApL/wu2exv6+hDwTp9LjTuv9OcfM
whEo/jS/MeKPCZYbctz5DIrH+W2oxmNotg0y0B5bbDk7nMM2LThs8/t6jKF0fgPgxvG7zGuVP8ss
ZRUFv1kBAKp1wWOMxe/ZA8ElFAJtIchxcWwNvwbDYtaY5neOW2V7dvxEl0zeU8Do5Pn3UJP3t/9n
kN/fB6QgkfdFokecQDwRvr3JPte9ufQTDbjoOdk9jtUltOujZxTgHfSg2fuNUvu2Yqqh8ramu57i
KrCshn5wCzloEKswStAGDHgLiMYYZwWYg21VLaNwJL0dgH38cii6aH6r3kdQaawgxLX3a+JJjxqt
0WrKXXwVbHlU59H7rX2fHjmTA8YnT3t84pQVw3HxPg8c87SLzXEY0OY5fhnUHBX8ZSd9ale4Ojg9
hvd9Iu02QLFxwkUe3xL3ZsHn8FAdqMLrZeXHqb8PKNndjh/UQFVanEiUgay/3mHE8vrSHYhWdHK9
VVjTFVgSIB8L/B9v/VYk81ucdxOmz5IhY8XFmw3J7ocFWPbxhcl2vKQbxHsYEYiz8JZxz47zn2ze
cfdih27o+vPUlfhePtO4o1dyCUW83tL3udKLpVqLy+8hr8RmcDq+pxJfgh1A4eBC9xL7/BbPex69
IHMT5dbqmaxT30RLx3DwTHCFkmkdNLDNAYABIBvcJm6vC9UdyxkizQPokcHmojxLJIs+3NBqGby6
WlMVQa80VOkwbjVbOtT5cRVbvJ+v84IXJI3Z8DDOFv+G0QFEyyIXAyqageUPD5tcGUABZwSOHvNO
ba/5xDyqAAbpAmaGqxDKxdnTOUGEKQ0fbHkaRmyx48mTiUGtmVXYqvyXKPcC8aYblJLy6jecLNaB
G3G2fEC9+z2kS0rplRYcw3Ghv9bMrMoBA7YwJ9n+Snmp3PoyU8ddfrW+X7qvugVDRLXfJa5Idm7J
TvkexYhysMscwxd7fcwa4FXHFH/HT8tFOoxAbJPjete+T/BiMMHx/rkHFAp90LADV8ajAuRU1YAs
Qj7eUx0bvCMP8VHDbpldMK/eQZY9hkGBQfAzG5Zcd2yG1Kze36E3hrIcqOEMmwTwUhZLlL5wp0Bh
CBEbgInsdpT5sZ7W1PUA4TtZrgiVNGcBe94SEGmgDaD5MXi2pwdUkNhSAosXw9Th43iABa7yi0N6
xsiNY4sx/UNFxQFSKovt7r6QjObrxxQwVoC4jQkSIEp1OhuWFtAF+kXUBUCg/Gva0RglOTbDCjd/
J+mOq8qn8dg2xowd080kJsbkex9JsSog0bSPerrduB16nuKj3K0jzwbJNFCFXc9V/hXxFvOLOL1j
BEQaHdfANAxd8xnl5YFSDT3yVWTW1aic/gpBOZ/jt9QP+fCQ57MO7JwmalnJv10fC89O2NHokNXL
APybNOUQF+YViKST66eom0XXNSwLlPsnVyC3mX9UWw9l0JeFlYAmLkbabawakuyLfN1Tm6Sqttgd
PIp9EMXIKYsiq2xsMctHUSXNhl+SAqp0B2bKt7+v5P1ezpCbYXjQDzIcl/Ur3AzDdsS/CvoivCD7
PxZvv4zHO6Zf6D2cRMfvQOoTvCN04Xgjo0AnxhMq94Pb6AemsZQ7ZIvsYV9DrE8CC/VYlSC88Zff
UxY5JSIRBMDHn97x8COcEiiEfIC8uI4TE5WPlhedU7WDmhE3OuysSq4d9Lv4UEf2Aw5cwBPhJUVa
tl7Pe4T5nUJCOzwAtzzOXPZgGr/+PlBmKmxpM6YKeX6v2KZe7IWsxaRt+hHqzOP65DvQOKNXDGYD
GeYDhFxMbtK0HbsR/rCaz7klz7bPNN6/OrB4202fdEcaB+ENjlFsw3Fa9teCI0piH6lZBj0dUpnk
oBnbyfljThYMasUefq1lGscTFwNWIwS0B0EAHPgIehJuKnxvusRE3PKEDkX5D8DXHwU9sBzEB8zg
BMEtj/8HVoawEsmp1MkzVyrHWRdd57EanEKYnUl6rKBhA/DC6w2iRpz7P1R3f63tjsPjscvQL7w/
WPZP+N1Yr4hbCkBV76FRAAPGWaAOwEr6+0P9AaBjNUFRF+FYgKzwb36U9f9FHrpSzjAmxNN/5kgk
vVINlOZp+gHd7Y+7X+X8uKm2F7jDUOOnuGW/g+Pfn8tfIYQsQu8u/Hf0UwMdjnme/PVc2EYTwLei
e0aDY4SxHi5ChOhlgdnitCukzv80zv97QPi5ARwcxheAi9UfuKLkJophkmVPs5+wUXQSO/51ESSm
2u+V/fcXGP9pmUAvv4OKOyzECTQofwKZfhBpN61D/vQ7Yji+H6B9yGnIsrNPl3I7C812AzE2DaId
7XTEc2oQGsiyp9iP/uGM/jrTMeYopY7HSNGiymB4/pMWC1VEHASP89Pwvqgc8jqscW8lQ1zvobPE
LeApJORJW1FsDkgtCD9ORGg6W6iCZlT252ykKotqj9ASGoT6GW/H+mDxQx8o6snGvfNZ+j3M/v1F
/HkbcePSQwsFxgQdRWDq+Ou8wb47r4kn2wNf5BGZ9l+JkF6yyX4MpLQpHnD5fw91ZSBA0EUbEq1D
goXHc+V/gLOFRzaCp3LZh9/bnu8OB2SkEFkVxD540MT/2/EA+R8PwcHCQKPO9Fffp/9eo9RBlg0d
tnh435aQJB93o5AD1sW0zMeG8fcHPICz/x9bAj4L7SQm6iFKAW2Ln/86oC7svjd7Jq+KiRiZNcU4
FvRrbrBg/mkJ/u+hcOtK0F7oqoQi889QN7JkDBba06v3VGSDyQCxxifziJe/v6o/uDV8OxQaeDhk
cjxisMrxyO6/XtYUrRy+dF19j6Dx/s+ySnJ5pIqGwtB8tblyg902GlOTwE5hBjAd9YBUdGlWCh34
i4CEjTz/w3m9S0T+a8CBYWIIfj2WEs+jLuGY/OuZRRH4oqLny8XsScSXU5L5QyVh0Wvfqn8v+wSi
HeaFDphvVY9sRxVbr1CTxuMtsghIg7pGSQ1E6i5JgYlEjyODj09dBeQsmXpgvpexDw1LQIV9WeZ5
RHlmRJJO82kcLIwnTaSifBnb0mSAAO+ojxXNH6t3nlHmKJLoBwhO49nfy47D6tEi+cr7GFiNgITk
CgVQ0UMZT4TGFPmdOBUEH+O1fE93UDmU2MTyX+H1vQSSv0YTMroEWwpK1iM9cVtCkGgrtFUYHqbE
YriR+uW2eKDLcCSZ5D3n0iBtcd8iXcYQ/8tlHeO9htEOSuM218UgbP0fKGbGdg454XuC9SuzA+Pn
ML77XB7JRTFvQLxQ88gcgsFS4ZBwtRwZTAQWpe+awY94OsEFPMMghheKdLyiD3lYq1RfizwiB0ix
bAb4b3ivDysXFjq3XNoRcDCQoQLsRy34WirWEKs6F431TKFqSh6rudIw83czgg6M4KHadvUJPMjB
tCE3hVb9AZpxkBufesgV067FPIfM4czNHMeiGWMkw/8OKImX8ibLvUu+xpkPa/kAOI/pj1NVCZmc
xLQQ9ALQCGh+bdDXAhz/aVIB9xaS4WQ3oY4IEJOtQcoYZ2UT0sDcnayWddlr0OSuR5VflQZ8bc+j
5ZJGw+re8miUgbcsRSEw1SN8fObzBESIWLgn8oMK/B0jZ/D0XX5XjthPxHniQw4R+e/8D4D8kb+G
Cc0q+O/qePiVpU7FIFFKmgpKHejHTZSPMSJspwqcBswmcE5IAok7NhdVPuupIsN57DO4SnjXuecs
9JloQ+8YzDobveojusOh5LcrICzqqTB5AmdBxh+Kfh0iYNmb+cQwqa/SLlNLjdXH39AlY/jcRb1q
4UFgqJEHul5QhAPqSqbsFtbLr0piOU5O53e564/eDJzj7kbEnEXh05NQvf2wi2GNTqgW1lMZIjpg
xubjd67tcxKn+takpLsdt2U9ZQugcQhkuqtN2arllSs/FprP0Bvo/ke/zKwduO7qkE5Tm7Fqvin3
ZDwHNoGdnjQaCSA/DlOTiqk4O3zldYk68c14ZS/QY7AfcyWHi/TxsNehEtmZi0g9ayif93oAdLTU
hKruxfm9/DaQCV4zasdPrkz6UwSD2g2cz7yvFSH0LgV8eDawFPxcRME+AtTsoaNaafUjBgWFOivW
8dOWCN6fdZjIKV7G9WnZUgAhCAXtEry9oYsJss5GVzasqBgvP/dbUoVrKCPs9yVJRXxSVq8ov/qR
h3qjWfmzXDM4/Agj5masIJNo03gVH/1GJeq3Ud1myxrPDSu5+haJBe5N+LRvlzw+ZijLDm6329yN
R5p9HxVyuwYqT256SXnSloh+P2Ln6FTvexlzlPOafHF6dj/RIMQ3SR/v35ZFqARKBw1Z474vmLl8
0EMNJZexrd4dHHG57eaujmLdP4QYfraAUg9OQjrQGzw8etA3cG2ac6JtcpsdvRmAQL9mLnyPLGMP
aYzlsy12bQF5Qj/cefj82iwoekqLdXrQPDVfgvbIFSPQ7h28YRLaDNkUfYdOF8TS9BsYc1XTZJgu
CgBGnUTj+tHHk/y48LDCFr+u3cvMw/zZeD3CnOutb1hstKgFzg9McAksEAvPH+YQX7rHKln40Ez7
Jr6JUe81yKfxFc9Gn2sNvfVH2HTLa52YsrEmYjdpP6XfljL3dwI8xAY6BMYggFFrzSyBqaez3V1e
EtXXQyyrb4Yg2WpL5I2izsQyP+Yul2cE+jxvqn4vrtZY8Ufoh6A5cdy8JHCrXTbr44vQW/7NUPbi
UL+/7PO4l5dZp6EW89j9DBiQC18La09IT8PzaqoMpqR0BpMsu7WO+LZd5xW6YczIj+O6K5bqpZrW
6o3CovVJGKbeYLLZf1pM8HYrVAL7hqAwROVJO3u4U5H3kjpz03ZHzCK/7pGaLnSIGRRjgLkfeIhS
7GUeESkSfQmcKpP5VQHCqNHLJC4ys+YFmjOK89+SmziaYObL6fIFeOH8WE3cXMVhqJ7HEfr1bhHz
yRcIuSjP4bue0mi9MTZ1jxOMMp9MWabfqdwQHJI5bA9pGLF4gLV9iOlqb70pHDw/nirgSeV0YfmY
tijbofwEHFNd78SwO8a4+bgnJX8pAel8mfdy/YQNv7vCYivuYc5Zoa3K+/NQsewOzHtMm3Wshrbc
4QTGfDfTee+IepSgBh47j64MDRQr0dk4MX/Rq03hNMv2/c5Uqb2FgEoCtRjVp47u1YiYDf8tLWR5
FYOLbDa9px/KraNgDAz5QRiMOdFdyNK9r5oweuTgbWEBtZd3MqNbsZ4iZeSw1kOl2R2s/90j0J/h
gaRheh1W8w2fQc+VtY9flxEZjLCFePCVgCw003F/UymdfLWEWdcM3EX3kCDZlz7ZtvnCk4GmTcXj
4jZlypTnKhon9DPgpW7BL6doogMeHq5IWNZrsa/VVo+UTQ+KQIdwG8hcYKzzyK3mbq42EFCxNzFs
dOk8fqA+JR8L9GnRTe7h5j/xSpsn0fXbeAIVHfjt2EvVt8RMGZSajMXkUmzLsj+FcjKWX47UI2qr
2asBXvpNK9fJGwmswAxNXCBzabLRsu0eKI5YGmrj7pMrdhUaBXvRHWSELG5djBTxdgVAsL5mPapS
gzhi9JrlSJy6CXKnq23Ni5sMnqRJfNppYMlWB1jPK3uTINhF12UKpuIyH+bhlm9LZp8rAocClEHd
UJnawCc7yIaklX/u4e7K64Snw0cVYrJfHApgcdjtkujOVcJPTWLAL9wXA8JpC+He3iogbjciWeGh
iAt5s5LgF/FhCCSvdorhnyI/tsCP4HmAekwn2fhhXVNRrrBBiXyAC9MuCuuhBO3a2DgkIzor2YHf
SQ7WuB4nwM/NvvoZ5sQxgJAqrJBXU59m6tS5zN3LHvBtK3zvr2iXxmWLvie8AFQnTHwtO6NBk9qs
CHXiwMrna7I+kKzyRTMKli6wAEoKiBBY4musifmxoe1Vi54HIbkoxWK47OEBtEmDFI4T1UAzAImc
gzs2fwokVQUSM1vCm90gkq54g4pIj6cVIAjNZX6Cow0tjmCk89VJjmhRAfNxAj9Kdh+TLbcvIJlH
diXmMv3WbdvXfefdS8f1167SmYAx243PDpqTEyuZuUTYPCIEidyAliv22yEkw4OhvT1v3FSNnvWu
6wLyUV2PYzY+m2nIW2PyUFu0/EF8RWuh72vH9nOhDgNe59k9mM8yamK/uLndsdmkj9XC6XMBYZNp
+w0YFOYDJkwNnZ77ESstP+p5WsrTUhTdHZwr6tnOy9qdLBpRsWug2V1Rk9FX16MScwt/3XCWM8ue
JzgTT9XK1a1kGblPpE/hTQKZqroFpHqFsqhNErZ9m2xhL7tPkqHGwzXhZo6qbV5OOs7VA3SNDpJK
41hdLS7yzSw70aT5sum6imH9bBSEmvYalsDOnwLA9+edmf4HAx8/XwR4P7RFMRHMpEGaB+zy2Pz7
XA5tL5Bf4BTYE3ad/myLKm/spPmr6Lv46+FoOkNMVF1UVI3nQhfikYjINNuY888RmmTACg6gF4Xb
uUiY+KJcsqo6o0p9oREzNzahzKOZmBdl0wO0vWE6wUV3EZD33m8NinD6QaAsudlc3H+XnBZfJevi
zzKm7m4Do9xmelbXFFD2K0iBRB4xzeuaimi+zxmjyFsRHI9JmH5P5VGkh2k8dm2fLG9qK0l/GvIe
BC1AbpVfT9nUq2YxvV/Bge0KIGbhRNzQAXGkzkkvsvtBL8kbWlesskaXrXiqxYB2NI3E9zaA5TAn
eNDZ9ZjbpGhRwm+DQa4FT+io1fovjaqNN1JTGn3FxutMXZHSbVdklXm7akGu+jlLXg49wzneN2nr
PhD9Icu8eLNbqbE9oPI8K8ug0lIso3egFM2tDhC7HI3NEnPnF6vfZALnebMA/kSbiW3w39c1YK1g
UaJOsxro6o8NbNpWgyncTpPY6A3A8w5Srt7vSOYhZ/2ZQtrKzmPB19s0oH6rCdKRtR3YTLITmUdo
kaN9y17XZRi+FHrzjVzo0g4RmaMH64r4GaxfWUGthByuzlfHh4tDUnWD6De5k585F0jlKqSeUJcQ
9UC5i0lj2aEQDGOU6ZPRG5wPUMpgEjUph20tldu523JQPCM6sUgkafCloozdGphz+wQ5NZ3Y/nla
7CQ/JCp2S4uqgkmEtCpXu25MbLshXOBjF1P6IbcUXYJkPPf02wA5K5majZResDOIPOmje8lVrqoG
1bZPdW3RDmKxTYENNwstB69WDmh1gF0+tNMW2ChvQwnLd9QsFgWYfhw2oFa09pCfV/ZsrJ77z10n
U9W1DksF9A5cQnQy9eZnla/nDrnadG25hV17mRe/ZScOXdY4nbIZHOAzrLTghC4aAq51ak1ISSTg
Y9QS9yElkHFZtD6z4CZghje4/J8jqYoI47iIKbSV5j77nJks4c/vIDLRBxGCPjcHZJvEzOtbtHY5
JAXQMRz8DNbhXvzo0OvP5xfovXestzleqv6L1Y4TjnYBAOAIKlsmXI4tAuF4fbUcgEJ5tyKh9A+R
qKKQNrZb7CwvO1g33C1seUKJN1raaRvbbFhtmG6pxeXBPayg/lgaiHHgkn+GZVz3+SmHgBbdISJr
56Cgj0LvF3wnTbv5/KvhWwL5oGol1FH3CURmSN11hYgZqh5JVJle+rUYQ9BAhzcgvD36RKItpIPZ
cvJpP5y0gxIIzmUzqfJuR+pXnhgZcgZ2bmOVtnWczlV6KsJO0wv4yPFVl3Z4IVD9rHWiYIqrU4u1
c4IKZvwRTRJZFlT53MiTytFIqt0M9DPoJ5LMIEX33IZf6n80I+m2R4C42xXw6f5ORYw2MsntvYBt
FWZrOkJEtlUgqDWBub3yrriekcIVNZ10SGs/OTldzBpBXelL7SaYhjb5Q+8Rekwyk8L6nWMfte1K
9/CE3iDOI0EgwwkZKCpEJnSWXUyermPLxtK/oW+OD7qOOzfHT6XsZdY6PFb1u0HXUFMvYkNpANvt
hmrEiJifkE6Y5cqitcH2oyP+QFyQUSdTs0veneEf2xg5oxFFCdFQMqM7BoPxXp1SmNSv4kUVX4Zt
SAFYFizpVANAsc9QoRZheRjLPEJDsSiz62dIMiDnqI2G+q+B1mRGC0QbJ9A7Adx66FB5j3U6Iw+/
9yACfe2oLE5o8THckG5RkNjbDKYPaP70CElJEuzSllNWgSojK7/AT4EbU/iO1BSav6tZD7NoLACz
tx1CCswNVn20BC0VLN/1OY81rMS42S3atpTVSUDz8ZNAVAXwUOjujiAML19RXDr+sRCjObIumvRX
yGDyG5MWWf+GEEnDhW6peFKOsnvIN7sfnYkx8qXbPWR0zAIZ2ffe17qP3EvpM/vozMBxCbDXgbUu
RoVoejS78TKrnmLAh0VbCeWuY4AWfeug2fmXoyn8jZlc0it0ARWQTZrseWadOq/JFH3OzRLXVQF9
JDfDDufAsocavqzwAK9n0reJXTaYzQY0W62rfqvgX0ajLIT5aYdMtWMObRpdNRySDVTDjZ6KkJzB
XIH/jSgMj2230Q2hl8CH0derLiB7pN0Ct3SHxg731Gp716FFVdlGWaeLMwQa+pPzxQo19DrhKqFS
KL6mhqNjDhzNKRo8HRnvgq76U42cGq3dcskqyGTk3PMWG7qAIgxwyeM+AgGo91zr/CQ3CP9aGo39
aZ89PtNlkPlBzjLqdqP6327h0ylhi2/cmoUvBaLFduvXyegWrXnKpyUzq8XhsmxGQdADBRoTdU8H
ltyWfJAF5EsMTTVNzKpbQnjyhkY58sYTvTxCQygaaNOSb3Dr2An8R1GFps8WYZrCpX1orQtiqQeD
dpcny/tyQPw1dLgVcRKy85q77JWgaZN/AHIlKcAANYZ6QEOTL2g10wU0qInNg4LyJToVaPeAoqBK
4LaYWZQdDVUE/yQzb1yDfRNZHfLzllMzl8e45R8cdYChaaLYQzmM9PMM9UdXb3b4QpdRfTYrmqLx
fgL2CKUnBFzoOpJWg/nSERd1yK08aQgyj3tjYTtagLt8nTpLro3Aom5NL4sPq13VzZrN8KCYQt4B
FyiuCIvKVyDGfYFp0OVvGrb1k0+j5WkzAW2w8ATnpBFb6Y5sLRoh6ZkA8RTLUl4tlE95u1do1FOP
feUv6PC7DU9w8fatAbjVGkz1tJlpZk9IX+JbdN7h0Cy6+DNnwX+u2BrXerERLJ2ZPI3lwP4NuXPU
plm6vpRI9y9xyuI39FeRn9GbN6AnkMfAwYrwGV6g8t5DfHDR24pVV9pvEE6vj9pGAd13VhXFWAf7
Y9WhAwhmQzpesB+ge4wtF9qiX8ItUDRy5+bE/EsA7GhLj0IFzQymvfY8Vq+kHNJnwSlM/SlQ/Wut
pxgUHRSgktLvwQL9NyepgQeZN2xQctxacPNwV31GRatG/WTSRaXZh1XwGVF+KctDM2Vm+LIhXvBB
jDO4BhCh6kMaIPEJF5fAQ5K0VEV+5deR5aPYryEwD+sL673LvmdTquSVUOW4pg1LTbSSttwydB1D
8JJQ2YBrg25DVHGfRy0EgfGOtLGMQt8YmZvIX9vggWLWeeKzc5pOrvyaT9OKoDJrOfgBcSzjUdYi
z4N+oiUh7zoIbVJovyCTRhoPtVeARxuLBvJ6tPgNG9fqZzSTUCwtiFYICE+LdkFyMKl9J6Fi0mgn
AHIDcxCNVi4d+klF88eNlitKmP/D3nkt141k2/aL0AEgYR/P9vRGFGVeEBQlAUh4j8yvPyNFVbVE
dUu373ntiIqKqBLFjQ2TWLnWnGPmYg36/rEBhzTLHQPiiH0fVqZ8lddSNsPU7IYFcqezt1sxDd2n
qdCzozb8ljZX2wWoHm9ADdm3m08J9k0JmMpS5pt4QWrH5TEDFRd27yYr1a6/MSQJ/gyNfhisF9Y4
sGG+kGpIymC7QtAO58Pvx3M/T8iZGqIAsRkdGicvA1hj+P9x+kqrLBpt3AtfqqY1Aw1oDUYOIfy6
Z1A+hJk3IUmb7dXCgJFLRnR/OICfx9vmABAKYN4lZJMpIUOhnw8g9xXeKPhan4uXA6helCdVEZfc
cVbDXOxlUvpfvssf+PFsI2Iu/99agF/4LiY68ZdY2W8ciJe/+Z3oENrkATC052lBVvIXzcEyNAef
1/xfzFsDevgL8uL/A7EviHhIEN/A87inGNsahjwU3QA1FmJeETJ4c23xnxAdfpm3EyvFBon3OXIb
ODSvbiYPwFfa0dQ5FbWfbYUGSO0G6eMPJ+WPXiDfQ+gdixjbIHI5JtOviQRjM1sosiN9mgo2PGs4
UA6FMzLtwhv3v/+on/VLLx9FrhyLvREy+a81Q02VrAgFhT4B+xsR29HFJAEl2dBBqihc8vFUOb11
XLXvgaZXzR8+/pfTGaER49HEuI1wyXlt13VLHfnwsLqTrJcHtwrfRdRov/+G3BQ/izHMR/hQbGOb
64bm+efHv+8tNdmJ0518Z3lYffE4xA6GddehJNTdl99/GCvKrx/nuehdvQA4s4cQ5OePE2nnBWs8
DCcPrfV5WlROu21iq6KjnFTn5ey9Bd7TsTlIuxHlo2gks84yJlegKnoo90OT5JvQTZEGZDIqzqYl
jKvt3MwxpLayhNs/DLGsGVE4LaLsDGEu2swzV1bikyuXY8oQ9Gvt0UjamD3YI6/VlpoonqpdYdXi
OoPpsRNZIVBHqPVRyaS/zCEGpVRdYZ/t2FRWDwGb1ne5CnHbVL24ozz3b/yxLu4D34JV7vXVZkrH
9Hqaa4Y+VZzsmmjC8G/7SIJBlp4VUXo14WU/iKr66oXlfZN7z4GO7hg0V9sFI895a68f09nDnlHJ
YG9BIaHnL/WuaHV3LDqfF3YN532Qy5c+i9EXyOymVYG1y2M4oJ5bTXuYPsH1ujK3jK0gOXdT8Rha
TnLOxHTc4v6EvDjPX0RgxQ/40PKdcqS8RredPoyBV27RD29pWqIIaOgzrbyATxq56V6CnLiqB387
ZcnGTiK1XPipDQp06XEtbNNFpfHZGMlpPeRNGD90IfuFLPKdrRvl4WVrS2lf1BjKnUO90td969Wh
9S4r5v4GHh2/J1pX96Ehl+Ci7CEx2cKH39f3Y8VV9bOLpOr6q6a0/T1t2QIEHrMdJCfytmuYOsgF
u+6sJvcwYzZ7pByKdgD/gMbA45s+TLndGca/ci4tICEPedbpPU1EZ/PvB1atrvvbqh8uk1iJl6GV
N4nihFLNuXJWEZyqmnvh2+QKjCZFbiU+ZEXvq02RTyljerGevCGP7zBkyKMl2v7q2xhrKtXOxdh+
9XqU1QToazZYOwCPrn7OoPSveRbinOAWYOaBZmlT4SoJ2RA66Uc5FdkZf+3dOqfnNBG63doud60q
3koH8LA1S+voVfV8MUK32+RMUNg2pMudlSzO0UWcfXJglzBIHr0zvx26C0Vng9Y1SoUb4L+Ryx2N
ymrDmMW+E0mnnmgA2tuSh+ZyTqV1MaaBexQrjZOgxH60kxXg0yLpwl1nd3xaWtBGpnlqCYPsSQ5J
myn2XFHyIYIoyTg9jY94opaLVbLvDRvGZEFsZcdhtoHhFZW1cT32MF7CJLnyCzxJQbmcazdzLld4
HIdEBlC4mwbJSpEjwA+zJ5GId7Gj1T4dR/s+X5V9cmfxMWQQSemevika29s4iG83ItfnuCGm7ZwU
/UZ71ohleSY/gBn9NtASI17X3skuKXd1pz/naTREm8wu1CZK0vkMXO+0dyz7blXTYVyblDwT+npN
3C5HXfBrU9SOb3vHCiuWp8XCxNE3AP0a8TTMpUEEsOsd1kPXpuLB99uYlknRk64QzsPtZLXiiXU7
Osurhdmww5x8ZZizB9/OFfK9Vl8nZTG6G5G06m3jROUlC5I+c1Y22rTtPvQNRET4NTT9oqTZMvtF
HWFnlylj2owXwIYgFfpDaUrvqayc+nqoorNydt8WUNY3buLU2zTqz70+gpsMOXKXFFZ0lSbFF6hq
cqsZa4TI45/Qk7Wf5CTmm9ZjBLrxS549loTgJldyvYQuVJ4FldufBBarXbPo5f039UCWG+AhERRK
bcuAB2hj1av8Ctq4fOcsnf2QhNq7E1rSriwxIiKqZQuOWFqAKs3GfVBzfzlrsH7GMmHdFF1dcprr
bdGH8tHP/PpEU7Ept11fTlvHW72t9Fg9yqgrj5MOvctS5EsHNFTPN9UQWSd82MG268Ln0BGM8eeY
687wR55FMgofygFhQO3nzE9dT23DWeUnoL4uncQ4w33RNBfNOvknf/T9G0RsxSmz0vRj5O+rNFfH
UiEEGeZsfeuwcu3QWkUHTlL5IKLU2fqIOtB6jIX7xutooi5V9W5UhfdxnYPsOugD/W5gjIIYdMnR
yPb99eS046GAj34YVShPXsH8ogy4yXh5fq2LAZQjBvdDkCbDGe/H5WzG+70x89wwuEDix/SNFIBh
eqkr/lvk/6HId2wq6N/U+P9TPn16qpDo/pPW9vJXvhf3EUFQyOYd7+8S/+8CP4r+4aHtpk6nTnP4
N9X19wJf+BAbYTXCdkRnj/KNuut7gS8IdIXeFSNpCpjw0UT5vxT4/BYjMndc28UV/8tuUTqt6w3C
s06s5B7UQakow2NvePjhnPw/lPjmYyjyGfGwJ47Y0/xcJmoH3RbKGOuEKt15KOih7Zg1RDfVAmrn
D8Ld1xUwnwVyBpIXnB0UwiaV68cdONcCK94skpNymvjGDvr5CnUvSiptr7dtUOV/0j9TuL+qgtlw
GZgaDzO7frArr6rgtRj8zuE9dMpVn6BZ6ZrxEnUX1SupVo1P5w42Jnkowj3YEz1Z5i2wro4BA9n6
2PnpRJSSqQ2ntaa7JfP+FDcrJa2Ke/tTjboaHcgQk1fES3XRPdFXgXK3WPPqczqG1V1ZQMQprX58
64xBfQ6Hpj3A6oJLqcb82kuhLu1EWmdHmOrVWZ4OuP3HobpzMXt9QS2pH7PC6x/DNr2yJ5Xvl7AE
o40S56RdUVx5HqXCNpNiuqO8qb5qoZsbLRb51rVzuampLA5+l9V0Wqt5OzX1crKbBHyO7txjNNvI
3OFt7J2M0TBU+uEidMbmmnkA/jd6a092mVon1jhm/b21nDpwl1QGa5wE9Hbc5nmI4PMFulrRjels
2tjdQkO6j7yDPbj9h7yw4qXYrVkfgh4O1YIl8EPsu74aLrO6lYewDhl8LAn3+dbOwIXRHa/qT1Mf
th8kVup3Mi7c+5j2UbZd7CH+LCPYABs8hPDRK1c1BTLifD30c0TJgmsj+1RkZeRvka2VN3bJXHiL
1BYQL/yBC8X47zFSGvILaVaoB4yKT2p0dx7z6xvcfPfZmtvbZJXqPsMqtx8cu/8AB2M+NKs9HqKZ
BJrNCkThc2+4olmdPatetrsUH9JFGkeIWx3tZ6CkOTlZnZRXXVnpd/DMrDsBP+vS1njeNrzXCqQP
s23tilwm9sZqMHcFuX+WQMdAvV4Pe6Hy4tKW6fQ5HYLxU+EoWe51qoN6b415fM4pGLDuB8/dWG4X
5uXXdWkz2wxJxxLrQhvbu0iscQVcnL6NB5qzXdKWR6uNaAciuKArvdRUiJ69hSUQbMJ2vJBW7zGS
HVO8H3Ykn7CZJPxw+FEkE5EeTaCQrQXdfbKU7mUAutxfl8XZRFHocWvz9Kw0nYHg8YqWzvxlrULr
4LNXuYKcoj9Rr6ktV9b/1CJyvKFLj7dEj+N9h89/i2j4Hh9hvp98/d6aenHtamovV+nh2iKmY7/E
wfKGDDuKPCeeD6ry7uqleheKpHFPOUKP2duMiG/Ucx3kKIqTeaJnGUwowMuNilqAtJop3a5IqwJf
qjupYqvKLtCX0VKq9ayMbeCC2wwNlL1JLLqUj8Ww4D3GxTAN7Eu11XS7Sc2DfPBwCKdjucH9GM3L
Q6jGbB87Q5ii7mSwSVgBHpKNTwbCJh6juj4uM8L696vlwWLAmOQig4iWwd7lpaWiwyBBj3tsYEeM
ucWi0/u58A21oc3n9DroUIdtGnTky22KjCISmzbohuwiTqwZ5SWeXP+D2yKuw7xSJ1bG/hDy3aPE
+ekfOoTR4edwRUGApheswHmhIM31b4oKIwBd/XgoPlh+W7yJ54oNkF2zDDdV6J9meywfw0RZxgrp
JmqzTIE4x9HQ2JtFz+Tn+VYWH/1RIJFwk+7SWVf/5FaWHTJ5U4xwKh07Dy5MdrkZOvO/wyRI3ig1
Lc+BWyMvqJ26PSCoEmeGLZxtJjKXcCSU3lk72PU5nfZ4P1YTCYJVlzC2RRHSXHSeh/SLPpRzcIIB
hm+fIwJo43FbD3ZETasyhipJEn9EhldtOxI03ugBnsrGr62Jyda8VHer8Nov9E6iSw4Eym+B6xSx
SFzpHcbyMtv3cIjOkNDGN6WfB09lxRwNPMMM1WgIqztrKUwqFab1egusiT/zrbH6irSxfBT2uN6W
hQygq+iqeZNWGWLlgTLCYfEogonntvxvFfhSt/2hCqQ9FtFL/Pet3qumHp/qn8rA73/nb5o3yG6X
lhytOdsmQ4Sy5AXba4FPJEc0ptAMbDM7cN2/60APBDjuIxvbhrGYAtj9uw70vH8AfMRxSt3mUwuS
pPZXKNz3gux3aaGeMDXKD6YicIh0lAX/CHb/NHy9n8umFsukmyQquwlbeBHbElsNakxwHlu/Cwp1
CptC1IcJeS8Bgrlor1K3tLYlsXqfcVjrBtdr5bZbVI7depYhrUYfhSn1WfduvK/qPPI2XtWqS2Bc
ffku11532YDe+yxFusb48ouVFzugS55ni0X+mFtB8zYcx9A9G1DBzueryPvlqm95NSH+WoFkuSUd
GRUUV9j9vS25TOMG1cwlJUxLO5CYl60ja430WvUf58kl6NPNyjNvXm0FEiZyvlBfT4y0EGgeYuQD
LgAo0+f2giy/Kmf2VhNhRSern/qzualku2ENWO/mzjq6cnJ3jRu/W+oVxbFFDiMZl+QsbpTS8t3q
Dy3aWdGykq+XGeO5/mSk7UQ5LgVs5N3UlJIRfih6f9w4NYE1blP2w5bteKEdmiEeZ9nWk3Obo8gw
9cNwy5hNBhcLLNBnzoi6wH9KO/OBIbs+g3wwWN5F2INJMpqQTestAVyMPmJUtndXd7lqpFfmXnkK
SwVvrT7QnyTAku4kWjpxor7JGtpqQ9HOU3ihKUX7WG+dAbrjSgZCMckMtVrar+585lSoDmnnIb7N
g3GzslOmd5tGsHbaHS0K78MsXOd+wLNxW3YI5j7HddiaFoAzfCVbx11479JyrJw3YUXfMBjzEAcN
+oTwfbugRKQBGEMaSoviPKgn1A+kPyYZL9JJnoGAqQVa5+IO2z5poXnVk0dSLDeDAtxn5znJpOVa
NDty9VL8/o5zHskCWW5q64NGbHgsmuyGTNz1fgwmlBrojFzarD0FbNmN6XkUjSTrkWYriahBVnKy
a/ope6BgvE9Xuz/oWA9PjduWzy4TV3GIcef41LjQeMcoQZGWjrIX2Mti53wQI2wdkZbnssqlc/Lq
6SMqunk0tBv/1uIM+pvGa9OPaY/vJJVedahW3zrOwqt3IR93VQaCyCntrHd1MzpHCG6RvPGcJNxU
XcT7sXBtxhhOShrJ4g4zyFIkbDMKuWtAb9Kl0io97BNSn6PMszda2ubtlz1xjEAm7Mo5gDe5ptCa
it3kBZfI8IAer0XyMaMVfWgqjeBNCm9fdEV9Pjlh+1YO+tqvQ//O3Nk3jHvtXWiLeh90zpWWqJp5
FY3bSLT+IcoRRXIGWvtr4yj7piHj7z3DXH3BZHy5bOaiPA0lcVuKvvxRSsJUk3xI2ESRBAJwazi2
AdF7qUdNHECGu4yK8BHf400tJO9nKwkuGRH7l23eWScph+Wd3zULYEZIa5cAWNwPla/WdTMp3QBx
Lm1xH7ge/b16EF+tMOLdPXI2DoWW49k0ls9Mw+JtnycDzS74IPGmmAPvTSuWNdu64dw8e5FKH8CP
paie6Qp/GqsmP9YMQfgdrXVWRqW7FcjFNt00l2cwnJvzYkWBEdEJ3TP2Xg8CkMwJVhZyz7aeo80E
LeWAQ9PhRp/G/MKJs+lhNCVeyfl5IHnyjtu6uY9cdQndjORdVDcngs7gtUWiC8+RfYGkAvwSfV6D
OruNyyg/zUlTfyZ/KkYSCmho01a2HSA/9tB12M5ZEsj7seqjMyUMTIy7+41jmTmYsyj3FCPMRI+j
30a2dIjW8hFQQ5vKr9GWsLJPtvjYlKkZyUzWbl0cT+5WaNUffARJO+G0+r5Z43zrhf3yjgyXmtmP
bK7cskWONIfrs7XWM+FFYvxKKWptC5++fVPiaV3Z17+nkK9utJPHN/Ma6VtV+83BKdPx1u37lg3H
Yr8JnZ7siYFeGPRAzK77AS/6U9RO/c5bp+ZeIsccIThmgp3rRFoy1MSvaGvtUz3X4Qfhjpr2J7cW
vJKF6OZRzWSypfgy6oaVP2L6sQnZil25nU63PJHi4KWO+zbFgHkRLX523oCiuu0c1NtjZ8+c2ThT
X+gAjG8gvyFg61xS2Aab6n+TYWZjw9cFG8eZ3TP8k2raIu/8UlW5IEoGrJPwETWtspVbS3T9pa6b
5a4MrT0biPiqm12fOZnKs+SMAU9xldlOtwPbIj+Ww+w+yKFsr8I2Um/g+QwUp0EW3+OdGE9zNK5n
zZrkHnJlb9nOWW7f9HNbvKvipntHz7i/racyeWzZrV5Ma7eSDhXpt07vqT2pS/Ko+lkBABq7jR3U
AyMzvi0xvqNrj2d1qdG4pzhfoCTaCjzXUO+s3K8Rj5Lv08FDvWUylQpIt0lzXi+WN9LQX9QF7F0E
xHnvuPuo8QTncVzee2vIfmbOgiOqlTnb0qHX507uBM8uvx8ZfVLnt+mIojyQdvxOaX842Z7mRR/B
PaVLnA75gW1ZcBnmbUufeUaKxayNEUmaYDbYRct6idWtPwytN30nTP63RfqH4hg0BVPmf18b0yIF
r/pzh9T8jb8qYzcm0cJl8A+Zw36pcV8qYxNowXV1CCnw3ZioGUrwHwItAMOCVUAOKfxvo/TvDVLf
ZF3YOPeFwB5Pze39J4Xxq7rYHI4DEgqOAlMCj96OaTf+gDxBIaSqilHIl8zWlDA0WhJh75aFuARM
CqN01aM0yoHDoESJCm+AzfG8JmULwa7xm849tJZRAUNOgWMDMDyxEapGZcHEoLcpsulWeG2gA7RK
mFWs7SxmrMV4HnhjkY4nJzLdCJFtkf+mdmstb7NxQnSPZT0FW+0xC0E1oSfbj45iSLEvbFb6TEiP
ysXM4w71jKs136ohS8Bn/3Ah/0Vf9xWixDNpFlRyCA0cHmjQHK/OToNPFru59r+0wzLHZMikIZJM
ZJKCvmGcIh3Eeu3kdfW1C/pcPYCENWRylzYC34ewkHR9+/tDco3C4Z8bGQ4JOYnjh9BJfOqB+DW3
IZTuCk+1Tz87zJTZG3io0s41ZEHEaJkV5LgIK+gJjiRbDA05muG1LfDh2S2UW+x5hhgcTkz+z+l0
MVfb6yTV006XK5diP446o13aB1AHwY4VJIxoXTj8WEXb3GeRRGYfxn/oaZvN1w/fidrJ3IOIYNgB
xQHPws83IeUtOYZFWX+xFyR6b7DJWM19VSaNvv392ftZIOPxQez/PMgXPuo1Bhfm5P5wtysaELEO
1uSz4GpjM2vLpKBecG2e8FWE0rtZhsbkhShEExCCW6A78z1tKMDDvz+Sn3vq346EjaiwUesI0mRe
oz6Y1CnyP2XweR6iPrj2WyVRLfaVhfz6nGal9v8Uv/Hz4MB8IouJR0QAN2HE7ODVSXbzuiza3Hc/
rw7vEe+LSx86y86SduJeSJvOfO1SBROA7d9/1VfzA/PJEKGR0QQ+40GeqVdnXUJ/LSBZVJ+H0vOr
8ETobP22xL3YwbQDLZq2N2usE7u6bPK+NqzFOYN0L9F8gBauSlYOBq4yqeI7KYMQY0Y21255Wcxp
H6nTtHiQ2E+/P+hfbkmfZgYLrwjpWXDPvDpmy0kt/HqheC4npt+KTXZrYNVzpA0W9D/9LG78wPzj
Rj5vilfjI3CmkDpkMTwj2ZwivZGhCcVLXCvnlvj9R/1yE/gwpciAwf3s2OSAv1rQnJiMUFD59XOt
xp6TC1S0gNDvKAtAbVMFjcCnQYb5n4Dnzq/nk6yEgD4PHDHg4K+XrcRy7LXtfesT0CTHJR0Tn8KE
L4MNPMnXjigxC554TIrwCYAACpMdcmSCg7egi935IYdridYZgLYeyVJyZMwuI3AptCrlsZX5w1mK
Xj+eJvPD/3bhY9pFjDx/Xij8dGn7auqbT1mUg8eBA6BGfTvgSeb6aEWTez7GQwsOG/xtzv0x1MiP
acAHSrFYxoWXqmeuZSW/BgTZ8BvyxDOwzNkhI/vrywIMJ4TVxV9B/rwf0hj1ON7GEBrBZi7Hgatj
ooB4DdfCmbkiGcFpLNHWQDoPShzygKM7tPvj+kErU0JgdtNmW+dKaSxuts4NzdL1Op87tsuw3jEf
9GT1JVhIiaMLMyaDvuWGjv33dV7zxPUw6TlGp5VxjSUJD8x75PKtrPds4Uiy0KMI54e5N0D3QfJ/
IKBi7uOUZFnQcM3cbMXnh/QrywvETewSjTY84ncQfIeSCs+OQmIPSGNYABoAwCGujh/JYdlVwdGf
12y8GzGf8DJT3Wog7QOINbjwMo356L8ojgI+NwFZqWqDa4F3tPvQRTkmp8SbO3pbXh2hPmenUF9k
SLmn8wmTLffSiqGXU5fPOVz8aCbPgSCNhEgqUlrw1bGItBGTQxdHZ93Cpvz+BXw5fotuCQEpyZ1t
J4ZD7Ns1t9+wpmbB/A4JJaLT5K7kYUsy9HYwgOO/fkfXdla/FznIDcJAXcif60Zk2uccTCKHb3Na
24yFWImG70RshjmrXlEsnDmfbR8/sCxjVpzXZT+B/HYyYGXVXlim8aTaxEB9WhV2fD2WLnO7NPHI
W0sA5eSmkWyHq/t69JsQH4ww4s0NZmeXZ2oGisNdk8I85ZqJ1eYXopSkAXMgAriIxLnlrbl67gg8
5Rw2K+Kscuuz3jvJm6iECSZ3OpyicmHPXc8G96lrU7tJIzaDOBNQLfIlZNwGMH+h9NaAoeErcMSh
O7MK7HstvmXS0KHlSHrReXw1RjSdmM9j7Eb8loaNPY/CJEXEf1npGLIaY0EcOSTFt+d/LpM0x+LF
eByCbYBVWj2rqIPht0PaCwZ/ZnzP4dGpikzdlsx2kV8PRmv+Pp88/mMbC2XcDNKLzTnuMNLLr9O6
mEwGHYXmnispAb2THFco59gpA3OLmtJ6fmijmn93CJp4gEOJcu2a0lFTZQBB5TkneFabxcOkAz/J
Tphkgwz+Or+0B3TGlfAH6kacR60j5oeQ8RtnIWuINVEnmrqDrK6MmY1f2PUDgdxbhq6TuatFnhtf
QhFrUofWqMSRs5P2Q5wB8p53TuRBLttCGcoIWw9spokYv1txGAuVejYmYk1gb0oYmL71FSABdxsN
SDq8fVwx04Mf+y1MIvD9GbVZxjyrs7cB4I/8Bqo7jaQNtbq5wnVOJJKD3SEcyGjMB7vMFTbRbmwG
xK7DYC240Adk3fAzBq5N50V54z/Vg2NCk2p8IWnzJmZG5cGKGJp4jRig5gQ97FmIWW72o0glRqG0
nZo4/otuStTRmJ0SIScjQiTP0ivoyi++BVKTxVbxnWEoFJrhUp+tWZZe0h+ly0c4JaIDbp4cfhV3
4rgocjhA55v70iYmh3soIaW7SC8a3Wj+rHPnqSev2od6/Dh0NWdpR6fYAY+z2pYzddd4O+hZHGTd
TVyl2kFbnEHqrxZ+V0xbgZM0cfK5c+0cBPJ8sMd24SfZwnT82dgnZl0q7NloAUZpKkIMFSnLU+ut
AedvzHDUXs+cRZ4Fxx0Hbqi564Vqzrj6JgCG5h13elQOmgMnOYSO59aDWM7xs1zyOppVG/KWxzXT
8uRFXmlesuM4mZCTNfDzxuKl3CvWBxVllnfDNAHWPD7xyvdOLaHTfKWo6RuEh5VrqhWYiYV6rqKO
3cj3fQirvjk54BNFQ5YRs4qO6MFMLsI6I4BDw9OIIpGiUlvqZO/B+eneJC9hJQ0vf4Uidgk54lAu
FmepIZOBB1uS82litXLiSguYPN9u6ypfzJ8pD+eHS7Ig2vZgQ9CLWe4HdJP60bG4K8VehNBdlw1V
b2rzfFppzpPrRYkf4quCZdJeuznL7m6IMfnQG9OOgu9bL2X/xq7W8uGn4IigbmdEas08tc+/pkfA
48m7j2gSAn34d8ERmMxKJsBMVpiYCp9G6ebPIRIlr1WoFCNzjY5r9IcQCS9UpQveHs38+OGnKAlJ
IvJKAHzpqoR0hn+fKBEDjWYikLiakfFLrkQwFlcLI8D28GO2RCqZUPPiC8bwfKD7F22E90vCBMbd
0IBNQheCFaL0U0iD9F/kTMAIdupxM4ZkxmyzRPjW7UvmBI6pXjZHuw1V2+1/jZ7wLG/Qj2PNXb2h
LfbPAIoSXEvfHiP6vHrd2HPYBrv4/yeNQvpiIow9bJtwY7Dto338DzIpmqhARrtzfHD5qCXFKKz0
unf5MvL2e/VNP5Wspfslrej6EmeVmxdqW4mq9d8uym9bb9cmS49xvLHJvC1OL9lghGAvPDDQkU2t
CagSMcSxF+tsXisxCwkPd4fInXctL3Aehwx+B0tD5dumwswtlTjJQapySUvzxdolutBdaoKH/Kyb
efUgyDFxB2Ptp64+qpDZJXRwH1Os3oBNMjuHUDqao1UvEWZTV+XBe78eEOsfobyEBZJpa6TX0E6d
zzLpDwOVfVQw+XePnutTBS82tZsFZHppWcsk/hEWPfrhhInuMLv69h4kRqDFCYw52WOnGtEfa0o1
VTZflLokot8E9qw3C2JVuryjFwSClCaLikdOEB5i8+YkL2HlSPs0C/nsKdRho9/Mnm8C8nC7rvwy
E6jDMjOQbsjxM4s062SB+4EfcaUTc0R10g5O/xT3UCfz40vYmztOffBpgULdHAJXhjXqZjnzWhzb
1tRSdRuakiWLRxPzNpI+MDpfJ2ugDb6DIIU5dsP7kL4BWqKE4cAmtnuf088aboCQzbd2T0DyHG+p
728wz2k4j8jDTcciiBdz9I5ITFRhm3oybo4qhwvztZwsTizLjDRHMBFUwu3z15nQHektm6kVmoo0
rDN+Y4OSBlJT4dSKoR8FkbkVc6b17FmqNfHfl9h5C2CP5jLywnScR7Z/0/gQdcnKNxayJiLkhMmb
YcZ1TXLzkt1quBRJ/GEuQh+iEErytFrO8DQF84MOcUpmaL9a03zq+2nOs7PWrk1RYY/I+MwAUJk9
cQRpJnhf0a9z1m2+ALoYd17hkvOUgqjkdTk3aI39k92mwxzd6jFzm/wySEKb41HaM8+BgCXBV50L
ikxE0p55RPBlmIYXubX8QDLjxniSDv6A93mHhg0WUkIUiXvs3BAU1Q4Ktnm7Qk1LeWni0qdQNZMx
qsBAwDwwkChzPxL8Kamsbc6A/JrosOY/+P/mp6lKsPQuZRTyunQY5PAOy7LQlIYoXFJTzIvWHO3L
41GMSMMeymlpuKj9AEW9gk4q5vQjduaUITwCA3jN6Hy4F8ptrqgJ5MHrPXPvlrUb11fV4qTzSDbw
EDlYzccKZtuuXGBf5tvJmis+q9ZgXR7sb6nGckBUIXfx3LDlS8M475/mHmQ/zoACEiGLi1o84IeL
MxY1NDOX+6xiAM6Zla3Pjs2GpcUFGbyY8pKNJ9d5VL4mInFx2T+hDVakea2u6IqnOXNWTkryUvkM
qT1TawxN1PNt85UsBLX/viOOdB1TGKwMvdl91SkkSbgt7FmgtVigCZ9NSJ6+ta3ZtrciazO2I+Ca
oMCfoqAV00OgS0Eki7UwZrtFgGU23WEAZYCWyOqYTT7uVlPIp23D/ZEMScpVGysaurAvI0vHDHdm
H+EVqLwGkRtFCGuAdjr2vGdd2NbLYPYP3E6Bz8fT2ku0WSpb1uTg1IY+lug9xA5ufQT8DoI7RdyF
en559OqZ6AkQlFYVg0olbofcnd044wbjxgCuyWFaiVDmlgztaKlvbG8lP54Tos2O2ycDkxOJlsI8
4khZ0/YqQMtI8aoWmR7J01unu2ANNUBMwIHlKUJpOvS82CyPqCmxQiUJD0FZNPya2Bt71irZ1aYS
dVFzsM4sL7vGtUgLntJOzg6LFAX/FMCmWVid99j5zS7wZWNRJtocdEOAhEoxKwQKMdcYaXa8HlgF
bnQ2Schdt0tW11zS3JnMoU/1yptwT5p7Mo57hqpewRyQ5gg/qBV3FINfs2CNXEYr26JUzvNvJKVB
MxnIBNFlAncDv1C9rBzxOphCt3JwJBR/6K39i54RenbAxQx0Qt953TKMVmP7jsvl05qMZp85o5vJ
/B3EPSyBm2Hq+b5/+MjXXTXaVNjsfSjJHoA/Cqef21QKzmxEotX4ySf6ghX+5dYoI8v0Kn/fE/v1
o4yQ38WcxMCI0dSrJiWRdRhO6E58Ampm1qcm8MRMUchizdr1+8/61g38cSDg0KYOHWbCIW7vX6dS
cAKH0nAJPq2iQpN1MUFF5k70Ry/jMcz6ysRtaJg9xdNUez66aLQIXVRu2/F/2TuT3biVrFu/ysWd
8yDYk4M7SSazT1mpXp4QciP2PYPd0/8fZfvWsfxDB2deQKEKLktWik3Ejr3X+pbGuZsuxDLZcDny
LmvPj5X55+yjgPSylEi22bInIMQd+NPHH/+PS0X4H1p5V8XdgH5ILH//tynD2AR5F0IeeIGuOPI5
2KCWYyGbK0eoj3/UH8+cTr/bZRTEJIgw0PetY8qoWCN0pHpxI0eX0y6YYJQ8kIy7vCJWEDLr/odf
7v0IBQOAai+p2fxMghbeex2ausX5w6zghTCsZY3qxpguoiQjiQ1Cc5c9K3BJlKOYmPjzdzLNRPOJ
1S439x//7u8vM1NT01y684xJTfWPDM2h6EYgY6H+mZ4E5+YpItPmq4MYnhXw45/0/iprJn50BrGY
qm0mSO+b1ymFISmeifpZQiZPz12VLUfzODF0NvlIW6rGj3/g775jBjRQ9Wk7M+QlTJOi6d0T1CUo
Dp0BXV8DhIUnqNGDZZljUVxCf4OmJqcKEVI4Ra5np2bEzvjxB3gDOfz9DaTU0jVM1kSsEFz+h5Wc
wMEoUyu7+FxHJGoVPrOsOfXpekRuAmRrKVv6JlpKY8swlvX7Z1NcMbul5ZVjjGNfQGC5XJyfudi0
/ife4pJ8R04L84/kSIKLSgdekt6hS17hP4N9v7Bmls0SY2zZlwh9BS/+Smd1ohbpbEnzSB2aEU9Z
n9Kiw4Kbxlq3jxktO8AxoWDzY1o05iwWCvB6TjFow5ftHJExtQ3BKcsWX1UN1CvP/tGgbyntWTXh
aC9FE6zMt4pPU5diOUiAvNC1afFe0B4LE7LHD1pPmidNliKlLfvx5f/jgUMmCy5hAR1o+p+PtuRk
ESlinp5L0rioWUPCNTlwuHO3VAA/W9Yf/8hl/f7thrPUgl5jRgN+BILAu8kQMyc0MK0zPEMmX3qM
Mnat9AxrQEuVK9GKJd7TyFzJIWpUyV6iCZvly6f5+GO8/83BMRiClXMxOfHOvY2//7Z2FlZdDNzL
6DktaX8eUD92+b2WDpAHtbb7h7yX9ysIji2sTXSKLH2RBJva7wu1pYowjqq2/dwviUcPZmIvj0WS
VEtl9fHvpb17pfnXyeIANEGWPPsCqQu//6xwGInsLrCpFm0nnHUgVYuc25A2KifdOBnYHVYMvHP+
x6Zhw3M5mrr7wGHNbJxVRVuXFgxHnmV+X8HOpg5VZ2Mp1OOQE0pkswh8jcoETp1njMrSBnA6q+Ql
7B1raRNjVeCre0XV+eUUch6MXRgixmJZ6fNlveZAgJBvD2MqnrJNUYrQOH98Ed5db64B0TI6sVdM
IEnTeH8NTEIaXMiV473MiWoEIFcyqsCQMJT06T7+Ufq753m5pyxeFoILeDqso++e56Gs6KmqRnDn
GOXbz5ImrdO0r5dSX7LUswT9mL1niHS4CsVYLF3Sn39qerl0CJDicXFNw176mZwFl7xkLYevM+yV
FN3dfGp5VeECxxW6r+0E1Id3Jy0CjscxcTYcS34O/pgWLUMkJUs03p3ZETN/h+x6ueGzmfBTlLdJ
vP2jNdGrdEBJl1zwRYwff8QN2j0Lf7numnhpLP8cofFG8uwiYF0Oz0FAl0NfTWo+0AL5+JI6v9++
Bb2DakCQ1bOgTARxOb8/wjW/Qe+IKvgKdtJ+SkAwg2NjPLqzUqcy6PFHECaN0QVSCXlhXRlBscu1
NHvoyXcEqQeMkaFpqOOrnzBwWVFX3wecX9vrbMRi7EVOjwnJTS4ACsTXHlt2tSL2MsK1bIfWp94M
ymMk4vbMjhTNnNYjTO9Km+iPM3Pk/hAA1ibNFw+SsaZrmD4os4Kur8vw7Xit21wb7ErpxsgU/Wyj
+4OIOtU+M/HsIUKacMgyjSlBUnVEzJbpwAivU7PP6ADM4wS9L4bPWQt1DRDBvtPYn1+qqFRNMIhW
RAsjbFt080VxN9i6fIh1HWSUIxRkzgp9u+dUuu23TKmaW8toW8qiQO6SURL/wJCiwrnFcNnDqhMr
K2nk/YEQQb8b4GOvnChJHiUhWXTNA0TM3dCUdzNYwDXl54LIxNvqCUtcjG4SX0iNaj+rWNDvI2lK
LyJX+5jabeyDg4uPHz8RfzwQlF+LOo1KhXnQH+IxabZuibMy/1YXBec5HfnruMl1mMD/sHq+6RL+
szvx6HGe0jSEGK6rsk+9P1uNWp5q4OUi4ghKHiUdeX23KjkHxBgjM/um0PLgBl21gvmRnM5qrfdV
nG3BU1nrMetQQ6Fhsz41CGIPBQTye7ahlvJBZt1DnrOna12RVyutU42L6JPiNZe6cyroWl56bdIe
3YTjGxwdsBOkGYaf9Nzl9kJIsGhqpIyocMfTb2rc6VtShh3STtls1NAUL7DPdG/mXPWvSoS3K/J2
9SnTlrCg91Kmktabjbe2+Ma7Ml67GmHevpWVXcIrI6z7j2/074vpjx9mI1JcSqwFmfRuowxmoCe0
OYtvlrBz9FmjuMN0prUgr9Nzb+iSs3dY5hfGsxi6Pv7Z70R4/PClDKAM4gHQ2aPflwRwKNoRUfr8
DU0rT1kU69EW0k62G+fxBVonOEEi4ddSC0k5rBvFwoUwYQn++GOYy+r22yNoL2JN+AaainCMwPHf
Vz81DTAu0DD+FkpirGmnNSmUPkzu65YpCWG8Rj7u7LzD6BMrVU5MeJnvSvpW576yAFbg+lUQfYfG
DlQqjbMGb10OZhd0aKqc46mwTxPUzgJi7x090OwTgdHw+y0GY5M3dyNjFwhygWdXrn1D2diXGxCP
r5OVxFe6XcXblE7xLg7L6lNudlm3LoNWfpmySN4LU0svSrEEylijOmx0rcNYoTdxeDdkbpR4US34
BaIRThHxu4wA7KROiOVmT7w1TMU5xdFkLHSLYsl4B/n4D+/3cu3eX1uyqDjuW5xmbW1ZaP5W9YF0
YrwmbPJYQMxfQS9NHqpYnzBy1IW4UofFTvnx7fwz/8rmmIXqFj2SjgTvfawXcPysydk6v6NJNw60
zXDqB3JSjjQqkw2DiI6V3gybb/Dtsoc4HLtTHLviovSuvvmHz/K/PFpUomh6kWRp9h+dI10jvR0/
R/qdMEAMntjpky/oCCZS0oviO1W7/W1u5QJ6V75MPcwg9Ik9VoZ/+Bi/e+R40bgKi8iVF9xxYTos
q8Df7gJanDZvZzv7HmDAl2uLdJRraybP9hQDOtmImXChuinkZrKiwK/cYHyOHMT2u6id1bt/+DD/
yyPhGEv3kocTYdx7Teicy6EvYTR+D21h3daW2t7gyFPWNq3DI1uMvJLYmQ6VUeT7bNTVc1fY7Al2
1o0QhyIHyWtBVnJMAMwr2uzaXDl1nN5+/CnfeGO/P7gcElh8iTC00VC/l3E2Q262TshNCkdGQ3Rc
yuBz2cyYJmo4ROQeaSm9qbwEfdOZdHnXSWSZXK8wXtPhcl2PUXUerZvSsp+IXeqXpj3Dj0Jpo3Nq
xe2u1vXxypJRuA9NO8TlYLsaCcKTqkG5rUQuQYE6pYeF1qy2Cg/0Jkk75QzOoecLBls5vd3GaRwo
RBLyfjbhQN3llSrO+JwBPWcBPcefndUZkUD9kDB9N5LsAZPH5FNFtredNhb7KM90civs3BasIQz6
PIt+7bXuxgXDciSe46ocmQh2FlgzD/JydR4qTEPkjmFwgqUFLXyPrAi0J1gp7RF0WPwESqB7NbAA
0qTrE6zJH98d9Y9tC1ol8nlecTTTHCrfPdB9DjjXrQ35na53Hd6zu5mtRyeRbIZW9Fea1afMlNqZ
2C+nMcvXaCYCaTUHGiQkHcveg+lmIYaxIb3XGvjbRGWkwaZJmoyXIUxsj8gS5een/q/P4m6qvv+/
//vyLQdoFbccUr52f3dN6BaSsb/d4D94k4/f2+7/PMRNGBfxb36Ln9/5izdp/8Wg0GIVg0JIxbCc
DH9akR3okVQxnA15GuivLDjKX8xJKJVMVXmXobigIVta6b+QNPZf7PgWxBqOrMabT+NfWJHpG/62
2dGsp2dLz4HOmko58Uc3MZyQNBVJGO3b3JbHElI42imtao86OIZ1ZqCXWqUSjkarKgQVsBsLwk1w
uanDjtBJBZddIG2yxtzm1nX4GnKj3YfY6aDDLqEhZJO4C9QJfJ+0cvKtxjQy9y2Tx2YjExnMHuKo
AaiCY5I3bRDeve7dKV2bFQUM6qtDgUyhXzVTiCUjd8J7vIRusOqpWDwacE/uQIe5RaYA3qyd7jnH
koqFUmwT9wpyMqarF1KZ1QPDbbZtWH2D32FC7Rf3b31jkqNw4lvUCtnbkjVQKpc4qBI4HGMy7BD/
led5oEAaW108zk3THxNdTHfQwvTN1LTRtea2Vr1C7LYoWEBG+VpuxWtCtLMNol7se9Ew5bdhRIis
RnKVl7T8tS1q9Yid875MS3MVoqE5O8YEjCTrPAIlSuZUJasgwvjuNiVr+jooVViJhi5Y2KzGUDcl
sy06YMz+1q4M3BXWGcPXql5dWQx41nzmdK23gIwB/cP+wywMFVl/JI2s2qlxdLIN0m3o4H4KnZkJ
rDYJI1vbtI89wxyMVZGFs3HqlKYPVi2qAIbcMykDebdz6XTfG+2UJMDaZ9VXevQzRjIxhG3awuR+
mPI0O9quS8RznGjmWvK7+GnQPQQMzw/u0NxPKREJ7iSKz5yRp4MaVdhrEXitzRTgnNqZ64yE8ZvW
KPRiTbRXdnbgOV9lRZRzqTMEWPgrS+tTSA7PdapDVVMiu38OyIa/MJ5MfNQb42maq++dhrVhVSwC
l6COw2Xg3x5GvDMNUV4e06XxlEEHJ+rMCtayUIKLqndPYPQLxjt2uo8sGEPHoYM7cyHxuaxfmjBs
PyNvka8xY8aLhRTmmDDyvU1RM9MhKeQJDUJteV2fc8mGKm/OUhOfh9GQV0qlKb42iO/UCZ/tYUCL
mJtFDVbMkES06+ITNgiVFI9mcp7xR8q7mUhK+OBBht03AMFGJSLznTCkmWwCqywySv9h+ByFcynW
KqD+ym+VGlcial8VGt+k+abdoQIugAFe+nIh5WAUPFU1sAPcQlNw6SvtejDV57l1n0XDFs5Y0W9Q
J1RI4GOAeoYd1c22JwttK0LNejQD5y4Mqu9CkyBE6NWSXUI1uTOzvnc+RRnZIYXrIG2NLG0Xsubc
8C+EK1tvo6u2jo+404Y9oqqc/dgyYPaTljFo59Zt53DrBGMTerKpnnMOLvKmgczGR2o3YAGDa5Lb
F8BRWhEBpvfrtrfGjRTudjL0aJ/iTa4v2qw5+U4Gag6tWk7JMdVFkvpxW4G2G0VpnltTD3xbLyPq
iED16wrXuGVTzamV5TzSQaBW6uZjIWxlF3ZttE0hHsK41BCrBhPGfDENGyIGlvi/LH2iMwpHIamH
I4jOjVHA2qyCSSVmszXo4DeJeYnKPPUrK+1XFpGqntOncPTQdxySVGdEICWReXQAvF7Nw/PQmwNX
AGXiXY2ram92TnMeoZE/DOE6ktlRijRc51kL7I4DluOP1ExkUx8toO9aMFprRELaHvn97Jt81TEz
RXlWM4JAIB4qY7OqccqJtSnxm+xTq3dYqZr6QnC7fueYDtRGq4I6SoU4eIy1p22gBKXtuVmaPs+J
K1dYR+GWwv5asUB8hlSYrKJeRuOK8yfRiWRBr8a5v8rmcHolRaLnbxF6R2aIEg6zqNyOQfvVgOu4
oCbddBVZ4FhLTch9kE9onsoFHJvJz2ws1magEN0Vc03gEx4sElNQqQ6oSjitftUKdhufs1V7wvbn
bvpQvQ05we84P4ljLGwicAon2eLtJcNubnZt5YgV814HtQPoIrS+/Q7ZudiLyVa9wAUEag0GZjOq
7KPVQeVnx4bmUwntJG3VPY6FHfuw7G+QU9IJbEN7u1SWDn23+FWiOCgJ9AC/kVesvYNKNABtjHpf
u2pOLz9M67UY9esGTLBSjhryMF7RM6Gh8VUskBinWaV404z8ytRi9cAQJNgMsj6OOfmKgiCKbyjA
Ri/Mq8FPsqw6QeoBYySNaN/M7hcHIRelefOtdqFqynT4kufY74U6qb6UbDdqE+0dUlqxKWWL7Na5
6tXgpgOLeEXQA6pP2ZsXDvL5plHaq3BKbqRolcsQJddgopxDMJoab2N2Fdr5vBmt1GVrjOksray+
tTbm3OIIR9BNR6GXhNka43RvpNMbaGgwbkh9Ca0D5v9JnqdWhKWvsXM2Ky0edRQYgnCraGWg/xGA
KZ1Z+BFxNPNtjq9eeWLYNWKXoPs0r2OTLpno08ImTyBVs8zw7U5Vp11lxrem3SxN7R5tNMKgzLjq
U5XAvdJUSduEC1CuhNrk36cSPuxK0EYlO0lTonWVNPOjXsnxMSck4GB3iXqUddFu60kZ3twwo+Wp
U9ofhJUOLP1ZwTXoow70qyAMh+75bhEQvsA7QbpLFvGhx0OF20Cz8xtnlvEhF3m7ZlTg46scNpPm
hN9qTSrbthvM6xZ/AArBGrFa08FhzguWVxRhXKB0opcZiTB8IPuXHNskR8ODvZ+iI2fsSyS40a/F
bEpEmlIdVuxutPdBXejHBrtG5HdaU0E8IA3GdZgV9wLBI3vbypkiB3OILePVnGbRYULvFzIQaHu5
F9Ekj1mUKnsFjQyFXyAkY0fdcD+ppmJ1XtnNdbwBJ+AS3gdnmrgNaUHjqsVzayaRuh4TkVycqKlv
EjcZyFXhuMxhzzW3LTa6TUNnazeDqutXGCN6sULdbS/8kal7zIhmWgdQPU554uTmKuPmP816bGys
1tzqXSDJa5o7CUa2IEW1TuOAg57e75BSD/1KiaEU6KOSk7VpJRBfFLtm9Mu8cW/EhngkTTNBu489
2AtprqYb8oWKnselE2ipuu6JxXv2oSdbx9JVvxh2SnQhJq18xR0N6lWWLjk6Lrnr/tDJZFo10iSV
qLNI3QJpk38qGF+qnpVG0u/M6Fwhqt64Q96dBmmbe4t4SnJIYcxdWiw0zLLNItsahdX4JFfrBwdx
cb/OCmP6NpKW+9ml5r7XJss+BgaWJc7lvX1qBaXZmoy40D2TIKZ7GvEYXa63j1NAKocVmsYmUwAq
kEch9g3ctcZr8Sw+L6pAZhBO1exiHJ7sJZp7BpI4fddgFHtdHasvrKfxIR4U1Z/Ajj/1iFgmqLC5
HWwUuFnOuhOzBnwlbzakQ+s3klhyH+EPvIrJTv3UiN2tO0LShi7WH2e7H64mBtY3rY1vg2bI6CUm
SDey0aMXQg7HGihPaWzUuOwwA6lV4+NwgF9QjjFKx672wSxYG62n+4ToazxVbTxfOfVc3WJasE2P
9Tx5BdnS3rmFIBZaBXQIui1xD+UUBofYzsSBaVG9QaFQHwWSTai43QCDsCr3GqkZvoIiAKSxUfl0
P1VqfwAephlIr7SxOrE058VmsCpzmxC+vB8FtXiFwOqubDJ9o4jG71BOf4rDhqlNkvdXCQqpI4tE
v+YF5GWx+4Vdy8qnpw1KcqWuyIOETz4Zak7OUD/VQNpa3nU8ZkcajgFGLlFTQMFJiVLLnKEJRYMf
19J67bty+GblI2F8TJjGc69po74ZSMz50Q387/n/H87/rEE0JD/gLDQpXqCX9u89gx/f84tF6/4F
MQzOl+sS0O24S6LEz4O/a5BBgcva0pAK4Zx3aTD/PPjr1l9o3FHsgShbugU2x/VfB3/9L0FyhekS
NwGrFlfev0EtYO/+/eCPoIH/MDjl3M903XzfLKzRDhuVJkGWZw7R0KbSXzVF12/nIBoPWVibO+iI
CIbLYZioOlr7ZKYG8YWOqg43ZSkFbatKecl4sc4pfnqUyoF+ZyXEZSJssYp12Br2VZT17c2U9PEd
gnnCzZFR73M0HZ/LKnDgKtjJAXeX303EzyCRSXZgFBqYZwnCcVSK1fxVVKnixUFIIHwwgnZG5ZMe
SEkqjoGtA6HW2xUK0eJcUjFRowYE6yR5dFD7lhTfOM9hhSmWvtaU0D7kNaDVVZCNn8rKybZV5rgn
VqU+QW47ahck1C6B86k4q1MszgxAlB71tl5v6LdmW5Tt4ZPqxu6VqqTXQLPlOdDUu1lMqB8s4r6K
msBKiKmV/sq4gKSwfIKqqmIP98hf6K7dSQWantj4fwwTIlmTxXJrZqL6Ngz8EL3RsX7GTbYtZJne
10ZCZ2HMjGRLLyTZuW3XrQdjIA7VnlSmwZp8LJ04IHcqGi5dGc9fUdRPT2T96ZeQpPkdyb3NlaUn
4wWhTewhhYg3sLjlUYxW/SXX5bjG/mhvqj7rt7YKxksNoTcZaZHt+mIgezw15DfF1YkQMHFjAuPR
inBvLIp4SULAKiVTe92awTlPq3yvOACZUjtdk9AEIRVn7raue/M1JKmNND1YS51lDFtLuMFey6P8
GmXgrG1cJUkPSMkCxYdTLo8VNrmHcIrdZ7u2ch/qWUVYqjXcVv1Q37mBEZ9nBsznoRUUDrLR48eg
M9pTIkV2a1DzbAmvwmo01CVn0jGzgU9kun6ZJzs+h6Exb/CLEH4LN5VRbVypiAG62qFLqPcnC+Hv
tdvwrDA4tQIvmY3sqxzH6iqwLBj/o9Q5F0BdzSsrfpaOHT/VVaRiKKjMCxFb826MJmIglV4/aoNZ
7hpZhp/g47d3yay73pi32T5X5L4qgiXCtjCdK62utOcC6d25Do10HyPs2CVJRsxfTqQrc7XI/JRV
w1GL6Mz0Zd3sFNH5dOG7F0SPkIAmSmCaP4H9UuvDd7MeOQRMFUHX2OT2JU20DYoEohzsQnvQjfTr
NOgVtLbQ0J5tp7grex0LYVtNhAMW4lJGlkVVHwXKwVRQrtLRc8RV1KukUAyKVb+QaJ5c25xlyIHS
dfcruU/Rtuj5ppCQi3snFqSK6BiMKdBzmiPcxEHX470lCSPGDZXf0grovjD26ZtVl6p39Ob2oTZY
h5JMMkTEWBEsG6ZhnCXphcZqdmMG2c6ahu5gBXOxJw6M6KqKYlSyWD53pRvvbTMPNoSj1msGL+Mq
gIJ/U7WgZGbCRj09ZYA4RxPht5WZPtlCGe9tBuqXSmPv5YYySGiiFHyhpVbXSjNuhsyqj3WDHNxz
3Y3ZJfk2aAdxRgGdEaV96YOgfyIBghhOS1cviQj1XYH3tgUFQzcfil3zVe+oEeH/rgcx2lvyWUe/
z1Sp+JGtO0+djcdzVYk5i0kGI/+mmKfw09yW6VYZuxki9WTaXtOP1hK7NZRglSZfFjNjjJmWgbN2
3f4+nCdQ4lmKyCBrQtKWFea/K7dqwNtVNW2SIhC+qipPiZai3ApD4ufizAXnamGcdQFcQJ+MH2Ht
in0mCNbDGE8pBsPvS2ZF8zEoI/diEk+5b1tzzFdkb3SXuFPStW3TIyMs8cVK7HGbgMS5Fi0d3sUf
Jq56h4QLJ8hnDFxOZvkYO9wHl13jaoaB+AhPOj7BuvuMiNDasSPOQCLb/qoNDfBuzH1ObWIVXjcp
7imXRnPdJUF9Tui7PShBnJECnVd+STrHRnWJl521qPLNttYfEcpoO6vjt2wCp9zQxdW+k1UizwM6
jBdDr5fNRc7GEyOk+B5TYJ+tgFgBcEjckESDiAjTKRw8sl6ia5VO6YrkYHMFY2y8FZJLX0TmvJ6m
jj7bqDlHZ4lFQ9QB5RBiy8CDpg5ExqDR5c5KrGmhLrdFPHaLJba6z2SwjdUq8bH2ztcp3EG/6jE7
rybKaWI4lcIgK3zcWHXZX6l9qB0IKEk/k6OXrgd4FpiI2W5jXvFjy2BoR2t/LDkjNu5zatFYzotB
PGU0QnesTOBUOm09aZZ5PctE+VoZtjhUnUNGaWi3UBmLbE9DKNjA024v2TQ490i0g40qanEb9TEx
r71NoPZEkvtGxwh01Uz1l4LczK/QMln+UaHMGK5HI9yO+qCuZ2bbK61VjmYhKN4hRsTU9XiRTCJI
ADiImBUtFhcE/QtTKUnCO2lSiKwSSTg9xyG3u9Rhne3KiFd6NVbLqYuWAocKO3DqVxhw6b7PIo0O
1KCcYoLiJ9LTr/u+SHedKZ/NxgRmXi6hm44c5Je0s55BHLyIQL7i33x2yvGmUMlvVOYBlZNe5/uG
HE+/qeM7rQ6rQxXZ9h3ANu0hZbD9FRD9+IhX5tnpC0vhUY8BlaSHCpuJkIeq5pDWbTNrJL7mTKlF
wONq1lLyMWJYAAYxvnTaR82013IYpXNdd/UEXMMKlk6R7uyyfuDGATfW8EP3M7HOpdjKiapnm5P8
d47BNJTPFQsotddinh+DdFNjlM8PjpI2pPcl2poiLz2q4QQtsontZ3My68+IF8LkOkCMdLTp4zV3
dOGiYJtxxAduPLbDzFQn7MzkmxONrXJv4pEzYcb3Acc3JU6JPbZjfV0oYtridyo2vdU+gpYb8COF
2VpM3MkuNB4J1ht29Ihtj/AbecVXjhs3syknaSXEjXGSLi0OTNlMOVKiwB7Ic1Z21CL3xQwqlf6w
fWAHUW4jJQ5PgM5VD5zKdNWD7L5quJsHjmirLoqHF7pK06FxLQX3liK3ajHS15dLuaXPmlzBAG6O
cbxnIor7aVr3ZdBhPIfOAwsMxyT0WcgMxiWfo3ad1Eq4n40QBmUQBIcm1+JDJ8ITISuZJ2y1OkFh
79ZTaNefJVk5HlbdaRvXfUxqa+v6CqntfhNnpT8ERsVIhsCiVYf/0gOf4uykqDR0flq+NWmZvBoS
mAABaxVneMZcuvrNcgoaza2QiAS+SsOuU/M+qMnJ7jyE4XH+39DAnwkg/3CIsyFtfHSI88qsbF6+
lX8/xP34nl+4PKFBi6YQ4fGB1owJ4v8f4tCd/oXY1QDeBZODd5jB7q/prcpJTUMdaP1nsPvrEGf9
hWaQoS+zP7rr/CP/5hD3JjT8j+DDFJghmBCTTIjhgSPWe42MYJWA/zIrRxJ1ayhEKlSzST41vWsU
zSERsNfqVcphMkq2lEXEEZx05meDHwJQYy60MssJHO5hyXZO9XOhaDQ9JiJ0olBAYHbgsLdbmSbd
GDAEic04PgEj6lleZ/5fNKNBPfOzkHRRms/hKpS5HKMTEm7SedPV4NgKlCSF7RTaSZEfUD7p0kv1
YYFxgH/vxbNWNBgiSgsA1HSb1POi9ncMtCL0DUcZuZ/iuKPF5hqIVnIHFb5nSsaCq0xisptW9gTE
Gf9+WTvVD8HGf1sf//TW0F34+K1BQfS1i7/K3xQTdKz5tl+yB/Uv3CIIyIAmWMt7Q/fhZ/fD1lFE
mHDZdeYgKvoGPF2/XhzeNhQJeD7ofPxocfzqfhjiLxofFnw6k44F/ZR/R2B/5yjih2CdchFykiFD
11a8l3Ga9FJdtud+VxahCikqZjfCxsvUt3uCcv7FQXe7qsq58wtgTR7k/3Y1jlN6cNS08kTn3Dm9
kx4gZqTnUWan3jFoXCsWh7lGX2VCoWRJetebpDFSizAoMPRcrKkxdN6I2t1UrkK7Ai+Eh4bqUvEq
rMlgBhtgOKmv1va4ClV+JltN7yXIWz1BVbaGy/bUZy5lU0xoXlViqzOTL5ZSiXWW8+WpShVR9naz
r/rmSXWiypvNXl8l9Db9PLAfsBDckGH1pQdizPdWT1kZv7LxkBFS2rGH1+6iRsjhtYLfx6rGzhdN
/WSpiQsQxi5ghPDrFSHTlzEvSEFW7H0D1jgk5tgP4Jl7BH6RGZdjI0jSV9w648qyuJT4ptu1qPlH
s55LYJBgwq/AZSCbLY/bdh00fBXdXYaglcEJKUDPK3HK7xKDgB3wx9naqi3+NjUugyM7f/nOxCBx
InbJi5u15fg5cQmqTO98s1PnS1hmFxdOuc8QlHuC05KhZc3HH3TNlzUfSGcmy9gkvAfvzkkNbtSa
GuZ1KuoSrVujecx7KbzTCWY84quvQaaoXAf3DjdJ5+tFBtYFkJi3ZElvjM5x4GD0NHsSt70LnCAl
SogeAraueVPNYt4NDldPJ0VwPZj2HrXM3dtDEtcTp3OjbteVzXOgTvol7xmgN8K9G+gfeVrKf9Hi
v/QxHypMUmPP+Zr1Hjf+ugxzhlVup/l9tTxFHV8rXPsqblVS+MpW89F1JKgBrZHLxIMlsxySnWle
8Ty/4mSnZtf46NkQfwHXyL2f+VMSoKvtVaVYD50DGg+IATNXrlKr0krQ7Go+i7oF3t02T2/3Owdv
DCqOx6ob+H0B7LiLbZ1bX7NfSMvJDkINX3nJearZDXAS8HQ6No8KIaZwuupuus8i/gin4Iuu8kF4
8ziCVHCxJJeLMe/dNHPnh5r3xLaH4DCgNDxHHOQh+LVPNoxRSFvcYcaYycrhbXy7GEXFSzEofGmV
5l9ygqD8QNj1Acqf6RsBD22WtsFhogVzQ4Z95aG4I46BFC1PB5SxAS2k+U2KwCJvDC6pAFA/hFF7
dFpl3NKYVE96HcTEksyan9q8lDRYTvHACI9GHk8ZcSSYKYr07Gi8qLpgIXB66l8q+cxHnPCKvCS+
9JF59fZ6EVU674QqNX9E4UN8gUOJKZexJUCEtcHE/BBGotiOVP4LgoTXMEV1+XZvEV0ubvziZPXB
soTwCBRoPTx94Nq8PeWznc4biBTulsN26k+QPzaWHmVr8D/kKCwPwPKE84pfYmMutvrEMub2vN8G
LP7d223uJCO3ruExoiPb+X2iBi/QPJWdGfGrYn7ncCVVZRe4OquXGX/huMMtUFMA5Hw+V+ftEeBh
vVzvXE8rCFZFeVJAkhbjlTmaW2dIvgBFohSxh+IUpFrqc6xA8jgLNBkm72k5m+ppQj6wsS0eMmJD
i5PSQkGfQWGx9ua071kc1Jk20mhscV+3nENG/jF16D2j1S3PZuC8hszRrmqtbfaDhavKBhG/HuNc
kKpl6r4CbdizkSSRVsGte8PGBFK7RAjH4SsU07bqWEyYp/UeqVx4M3s+AkRD3iKwPDsqFv7LzvQf
a5PmjkQdLi9tH1s9HTjljn87uiahVqwb07ho0/+wdx7bcVttl76VXj2HFw5wkAY9KVSuYg4iOcGi
JBI5pwNcfT+g7f5k2r+03ONv5iARBRQIvGHvZy9RZYHmriymWrx2Rm6mWlVbVGN8fyS3rlHHF2dl
S3XZO+k7ZRyXZuI34ONa256VrtOcH9kLvlcWiulGqq5da67FI3AZS2AsDa4NmuA1jvUMvU39Xjv8
57xPAPNZEMZjnidSy+KtaJpvmIYsFMDkvpa185iXkMZTLbrWxv7SWfwdJvFgxylWBAJpWZsJ4pnY
3uORJFKoUBrJOHM2v6RWliN+oSKwN6gE2VvD3UpIFS4VqpvEI95LN+6tMM3WuD6r5GIK2571IxG5
K1MPyNBlzYmSIdFrtCZl3F1HocRRDrIxY4ANfWRI/Inl7UaR49ZuGDJVbF/rWjtWQf+qdWX5naC6
bzLWy34Vmip9d2tTAwSNgm5ufR7/474rSBb18hRaFyjS2vQRBPA7n8hBW4e8itaGcIMLWDuzts1M
mBqXqRG5zqEARpzvoSh12hMQu8GPyJ3LzkHkmWzpG7Rlfj2l4PytAUjoJiSeSLstiAg+QhL7hVKd
kusH78JHXYNrAVEn2nyb4eey9flBNZ95mjHLsun3TjzRu8/Re5zycjEL9x5uHVIEmgBfxr+EJPxV
IP/HcSXzTYZQiwn+kxvPm6QB06jq92L8eNjxO2jG6Xcg9PhSqvT9h4Lz+vcO538VfX5dxljN/s//
/pto1cFAiJyaDZrw9L+Rk+cx1GQ8F/0+m7hBlkrAS1kfhIyr1x9H+m8T8IsmwKThZS35Py9A/1H6
/Ptf+rMHsH4zaI/RQ3N7UNT/0AO45m82/o7FwvmxAF1U0X9uQL3fJPtIILdENPHqpEP+swdYlqN0
E9xfPCiAPdj2v2meHWF+/l3h8Kbj8CP5FLr+4TD94XfFHWwyj6dQ7F13KjJouKW7lFwWr5Cp5v1t
blQRvEwFymQWDWH0oPesTaRulqc4CvtLs7QZ6DSDubUcgGVoJpmBR1NYnRq7yO7LguH7iunBoQ66
+4D3sUs7UL/qZoUAYN2gLX+AnFk8Gp0NDDcf6XAHQ2u+W0GBYjoKvbMkC+S10Ots9hXFyiv1Kn8I
96P3iJtae0uVox4Ih87VG045j2Vq3MrxEkznpslb0AAqOVFfVO6OcgAvqMnMC/MhpKjLntn30viU
2j3T6qoDBUpISOWilXHI+Vi1eVzLNe2duhSNytYoXVykfplrnNpucLkspWHsBUScc1IJKHSpTZnH
UruECTiO1lbUJETTEnyVBKqdwhGznOXOcm1RQz1BhCPgTQSSV6pt+Vlgjo+GkUz41CzBhrHt4x3x
KNV14OGCQC8YyQPbPu25a7N43bdKPUQ6+RhkLWYEGKH7dB5RhCAYYZGrETPCk69aKYIY623ghRkv
8RkE4FUdgxTbaigU75vaJXYZbgjEuGysnmVIctwCArhXo7lc5VRwLRhEi3svtXRjNRmjuMe4yeg0
qyx+fGcu8YwNopPLFpdiT0EBhHllIjTNN641CIMaF2SSrzU1Tt+RYvCEEM0w4RXxjxka8dlns9kA
S+4L/hwpd/wd5KQpUe+Fqp5Rx7G/tro8eFz6wpjZh+2iV5fYfzM0vwLsl+U9usSF9Zh2A++R7VK3
xHWiuebWJP8V1j2nkbN3340kg8871XnmwYw667VSWd3uaFvYiTSqnU9egZMHkb8oT0Yo0pms55kT
ws7Cz6kXWUqXgmc9au7EBxhFrcKNEyZc3XwIqueMwGUceYDqcpQ3BB6tXUa6BIE4pW1cBkM2BlsY
DXp46Bac1woWXfcdOR7rfYioAIbV8mNJxmIDznZg8QVpxFNTN2g6/0MyQVqooMvJu3OXQK/Fzj37
DdELqNdqxzxIO5cHpSK+lrntqmc7BKsltYqToGrTr914sM8fR7Qd8ALbAWXAAdAd92Y9GFzfZAyD
x7FJO5dK2AqdtRyNYd41jZCv+jS1ri9hbp1sHX1yTRGFcA2+LZqzhOItTICFpGYdlcA/YqqQwO5N
06+NmJ8fmhmnNeWuy3A5s7/ILpm0x49Pyda4D3mVybjwYSHzYa3K5i5jGicuAX8VKQu+lplXa4/L
+Cwf6vmuGyH30hcvX6mhL9cHipveXnYTdgt6rPI0NSX/7k0xpZnrha1NJumMMbPUuCEg28Y7B+tH
QK3MRlnmiES3cV1l7/NscUcmtrbcU8LIWDxiusx3ZT8AfXBErjBy4632FXTwcd15xkzUsD3e6qOr
rodkqp6xK/WmT6klaCujIiczG+TauXMRU1WWO6GI1GrUdgbD9D4vQtPHS+Fc2uwtTok3eY98mXaE
UNIRt0kE7HxFXlv13Mm+DeCwGupu4C7eJfR/29kUixQ0tG76uGu/JZopqHTR0TxmXqbuXBjYPoxP
bmyjwauOY7TEhqazRPCLPKUkmkuwkDStyLjWZGgQRMklG1jkg+vYj8JzvtVYMEgOKkoXfHJAn8SS
ixY8JEDsQAYs13diXf7YIE0920TeDBwwH69GYckNaaNGuNE6E9prHWBppYesDqaKzV2Z0QL7DW+M
m0JUxS0peAwxyOii1aOXNR5I4HW2Go3om6RNhijQxftkcMX3zHLmRzfslbMFFJ2c68aO38xajQyG
rOlQ5QWbsSQL/DLWHhoyYB8jQ7brAtxEucrQ5u8mQeKgobSMiM9i5L+pYqu7OUw7ktve4gn9CD1j
Ro9rjQ6DmcSZEDUTx/I8pUl76sbAqX10TOLQz016kUNHWlvjSARQQFoRAkUMPsyK2eLYSG0ty4vk
ZsaeiQR/qqcjtCT3Mhu1W5FrRN7pSHMbojeHVpyzDxX/vAj6Uc/uukXiPw+L2H+R/Y+LASBdrADF
QLLQYg4gnwOfgCiKJzMc6VO6Dx/BABfwXKUsIh+Cyiwfxwh2bjbK68ga6ltIbeSTha24DYRw7goU
fkyUVede1YuTAbVgtdFpsp+QJagTU6b7OTTsL/3igcDLVDY7ayxo0PjeEGsMhLPyiz/uVeXlfo+f
om3Jo8YbElmbbLFb0DNk7J/qTr9po7LcKDhUbECxaACMaIiBGjo22CgHaOajIBpfoM7mcNXl4vOg
7cfzga0H/4cmZLYZsCWxk9K7e6NI3ecYX3HLqxD7SL8YSXJdqw6DbXJXj2byoni9nwj66y+7xYfS
uPVFxQ4XgMCoKrrgIujORHwkeMY9425ieQ1gIhE3KUyY90Gq5mX6cL6oDxdM/OGI6cgDO4RZWvhV
3TyhLA1uokgEaCEw01AKqvPQCdOnIWSFbDfHvjW1q6bp7E374ciZnPwt6wiIqucYB5k1GTdJ3A3P
bowPh3BV+9qrPOtK9SNRaOmH7wclW3VJBF16oQe1UeCE0LUbiX9q7ch+3HC5nNUgbXWs2rx4iXv0
91ZZPQR9pR8xoz92iw0pWgxJLc4kYYSHBDPQGRyGfBrHEP+Sk06NL4JWbEjcjU6MR0AruGV/0TvN
nn1yt0odAwg2oxmemmWl5Bn3KpIcB6WvEUkzW4co6jpeftqlvRisdPa/+eiWeyMTX4JEOqswszFK
GaX0cZuma4IMMhpgbFutUckNfAyPN4UXzOtQEmCGHhivlydNtKaGUZk3Ll3vtes13V2JBZQXfQGR
qk2Ql6az2moORrKyScGO9OGDvZjMCua8YDsVoAgwBFv8Afkd6XYDg+bFosboBWaFkSUt81QgzH1n
MyIgvii6zlVjbtPF7KYvtrdpMcBh9+ABZYflBU+gYR+rNm7XHUkoZqdjnit6lqsdssKTmc/1bWQh
fvWnxXJHTjlSimgx4vWLJS+ObQYegX1woYudS2CaD/qHic/K+8eoj57IVwlg59JwY7IZwoeh8phR
tKrjjduaR3txByrcSCsA+/hXepvvoWsSjIR5rqMmcZ3eRpm8eA2HD9thtTgQ5YcZMYu8cFU7OQLA
UbqPlceJD5Vq7oKkdLYEAAbJhtfhuHehaK7BJaagTgBdqYY0cVIFEO4lkVyj1mlPpZykufpQyqtF
fQtHFCEuf0ddOB/yXPbvw3cAHPa7+6He/RDyAtzNvlWOU+/hWKDzXUqratH+ZosKeP4QBGeLNjhe
VMJJMcRYmVxELJUw1sGES3Aa0Ieni8I4XbTGM2Ju84H3Gzy4IjMjpsWIr6/R3JmkjFrlbZ+r0L5l
PGAuhkuvgayAgw/pvCSH3NDDrWcXBb9AOrVgaov0KuQlyxRDnfE0tpupTz0U260b3LSUAUu2IJ69
YjLDJycfihLpR0KNJb3nECH47RyMrA/zMEKt0E8Y4hg2A2urm5XHSIaJpgXttcy6kxL1tHPRx1yD
oW7vozE/1mN9qtxZrWvPqK/ytmy/IRPQd0NXN6g6rWDXhO4jhdq4dXCbsOuQN8kwIegjEiBNt4nC
pHpswRuJbezNM94TNggJu+CiTEiYt+dbgEvVVwWSGbGIZxBkWhXs3E1SRtwCtt057Rst/zYNqiUz
dJqvNKxD8YYcTav/6nbVfdVPRYorLe5lYOxyjYfbAd/Vro5M57YU2ZcKIlZ0KrLaCc5mob+Czqku
lEUhF7vcC4d0jPEQzMmUblyUaQtBQ1r6lzjnnxpEFiCbrhdk1NZCzLUgoq1q/DJHsvQlrLjQuQ6N
qr7m7Xfoct6g4/6HTv4fxiufhzkLac81PYEbGPCC/MxxDL2xZ+NBXes0jTyMJp0oKhrjHgVl+91r
RLz7+fGsz/McnMwm0mZjQSxISoXPU6toIOJKb8t9kTfemUjz6rnlwfyaEsAdrY2y/xZlupSX4eD2
Jgsn2wwmH0NylF8kVpLx5OMXewOtTTZXeTOISyS/c3VsgKc8DlHnbYa0pABknB1QtrEo+66HuunR
0MtuvjNsDVRvrVLsEFjxnrsqsV5Laxi7uxbNd7udsRZB0C1s25QvM/1E6geuomELA8uk1g/pRVKe
GPe5Y1bPmI/b79wyxTvW2uLOJN6CkXrd8ucxnVfPeg4e9xzSG2nLs1OnwRIYT2et7VvSIWgcdm5Y
gobmDzZXsqyEvWsiYatNC1zh+aMXzu1a/Cv8HOoBHcyeZFLjWhLq/WctQUqFHNitXu4tthJ0mnFC
b8AUmXbt59/25xHlx4E8W1IGLISPz3cXAWNSw9hY7rMo4yuu3DzfdEXN98PvnnxtY7aW9IaKJgQS
evX8b48OFhdBB8myxOl5n0lslTYJB+sOwtykMu7tcUT4W8cT9WPW7EulcVRiA2gCtDGnbfv5wcVf
oSbLRQafCVmAgAOH/fPnc4cIhpWS2J89WzR++jCGvbxw0tq4LxI0jWspbE5+kFN56kIilVdgH3sa
P1Ta2T6U6g+wyX/Hm78YbxLo8VN7x/otex1fm7cflUG//53/DDd1BDcmU0NQK7+rGP4UOFhoH5ha
uQyL/op1ML3fmMwjfiD2DgUEjel/Zpvub1LixNBt2yIQz9DNfzPbBFD8aba5sDNxi8CIIlgQ88mn
eXyasPIVs1fvJ3uKnrqkK6q1Ta5yjzMXxbNymrzbVvV0nZXEafgZFQPICRqaQAfaMsQFK3VzFk9B
jHlpVRQpLZ2nj2+qs7VleZkg7sWtsMQEFwCeV02fvUitYdOABX1bhF4LflAPN3RGCIq4iPE+YOV8
l3Ts8xTy5ssssdD2uT1rcYeoKrlgTZujLXSCsUt2lxpuJ6R/Tb1ChdmcFGEbdFQmun1lJbuRD8cD
o7GrgzPHwYEIp+628EJ5xB/ykji19hRnOeu1uoCTUKtihxQx3FSL/qJy2+oKLy2BOaq9GfBgWlrK
SQacqYiMG1YZ6dbDC7yeLFPDtVt0GN/T9wqrwbjSvY6wBYCJGwsAwtaoO8J4Zo4eDcaNTWLVKna6
iw6Yzao32KEKl9lvfyECrLIRBCuEUuKs2HEx1MFxaLi4FXGsn0nmOUu3egKyQHSM6NSR9fAL+oHD
IgZeLQ4GXKAvtcVq2ynLO/LI5mdiKvV1BdxvDfSwxwrPzhrouM8teK9wkAVOYq/SwF4+AvlmFj/a
q5W5I2NCvzJTTdt2vBrvwtbLHkFKyEehTFa+i7ChDgNzC5xV4Y6AWxjp+Xs7V9e6LWeSzbRjB0n8
tSQq6r7yqMrJXmKwaVbZZmTLfZ2NBCu5s7tyra6+msDdP8nUvbfbuKSBbsjgaCcEl0HqbGbmi3uv
tl1y5t2HbK60Gl/B+BDKAGUa8aIOG9g2vzG8oP+m6TCffKfWzZvOyMxLptT4TEei3tBeRORaM266
MzWhNoBFm6V2MG/brPO2lK4FA6UIov/iT0+IXVtHMHZ94o1qb9fUTOUPYSUE+8+ppDuy3FW3rAgu
DaH6E3DSrsdgp1kPDnD4k8xt/UVy4ut26ph/QrqI1xSgJdnZbhM0eJIm/USKk9UdSsTxK4vctuld
K6xZ27kNFvf3yXPGi8xo4KCFoORZcMdms2KfiYI+Eb+zof77oP/Fgx7eksFT9id7rLcmL4u/KNn+
+Dt/PunFb/BhecYA5DHYny8vjj+f9OZvQLWBoFEm2zqxIBzpTymbhQYUPOBC4pILOuw/Rj5pIICD
AAV0B1Ylgjfn3zzqWcr9uPA1oJ+i6mSLtbgFYQIu///HJZYY+jkuXZKoXIBjeRQh3Ql59vxwTf6h
I/hcs7moXzlHeIMmLxPeen89StAPNZudMNj3MEUFbSLCHFcF5QuOQXWd28zes7lGko5i7lcV2/J9
/XiKcjk4TkpX97hsABg/nWIExEuZqetRAEH43DpNO64HJTiupae3iTDK19DLK1INCkTrjLbiN6V1
RbFhs2JiixHzauqTmFEiTH6z1upjT+raVUvEleYzJSX3lVSxTYs55qJvneA2ZyG0/vkF/MeTcCQn
YPFq5kb6dAV1pr5m3s3evp7RgChZzttcY1sRO+P0UJuo/AKRMmXWch7hgnjS55H41bVVhhOfL/bU
tY3t+bps0WbpA3N8z4vmLRrE7KBIIIMdxHYqZ+yFHZvlyErLi1+2af/wPVDYeIIeQaIE/FRTtGh3
+8kZPUzj1bhuMC6tiHSadovz+udX63MDunzjLnU6i+PFH+t+uljWINq8AmK6H8xQ30PB4MsjD+XY
dGZ9o1th7v/8eJ9+iT7uMNoSVy6rU+NvqglDtKzftIzjkVtzwxMFi1VP1/vzo3zucjkr6jEJCNo1
EWzLT9fPa3hcMPN2940xxjuXq1ZBrNunrXv/8wN9xB78oAtfzsdidb4synku/O2hkIRI0Be70N6Y
RXaYHTSAkcc9M018cVNOxi+FDjq8suzS22mw3HMFBmkt0XHdRohVT5Rq9U0z2ayV7AGBVCUWZvIg
zHkfZlVwZJiCIYJ782EInQJr6MxCZRUm49ysZMhBVCVROrlGvG8NvCOjPcf7n58ke//P96Or42Hm
choOtTbbmE8PJQMgEpMZtR9RtDJtKscD+c0ttIqGzVjaGivbLN9V1miApbKGCAgn2TNW67eDqLpt
WjXNJeJCwP1dYeL8K/QvgiXgpYWaBTpTnn+xanvTiNG4E+zLmMSwKvRJI8/uDR3LWDTDlusAlT5E
YWGsCwqHXYojLSECicdZig/NsoBUwaQe4pKdqu1F+7wKjI0Z2vFeKzzc1VZMrCYyl11rlu59E1jJ
IcHAvC5EHXUrirBvES8eP29T1uIIGa+qDPLpapgdeSbmEKpwYFubajCkb8uq9xmFlhnm4LDcp02Z
PsJ28bMa9FGRT9oVJrjp+8QiE21/1G3CtDN3ViCZ3SU27K85JYpOY1V+Y0Wmzpyrzb84YUTpKyKY
iqnuTROmwYjJAPouhJtFpJ6wkOIGzA0CnzwvOyRTos4zwtcrEnvARLhx4a1MkhGverr8r0VC049y
dEMoIsLZIH3TUs290IpMW8swZlXmNMc8x/yX2aLepIZ3YO9PBmdQsVlgV0UKUtNotAfFjnDY83I9
12WGahNJHuagcmxXIjefrcgeV5JV8CFMcypriG0PWpZ2Bv9Xny/Zk7Pjpy41NjrvFz/JR3NnlJ7L
Pkuar4ym22uAGG1x6Ah18munNe9TSYpPxR0xZDhPYWG+sqout2zqNJTEys1XJW6Gh2JqWXNCUOWr
UcmqVWW4H6d+G0XmjRFAxODZNhw6QrtW0DU7F+Op8d1s+M4bzKc3U5NdEMwbMYAAKD6EWb/ugyXr
FIcV8hQcfAb7W3D4cpV4KrwD3neBO/4louDck+2ks9KaiShu7C9Tl74aeYGEt2kTX0tsZCPAuzCa
N+LssFw5FvjKVuUwK9TFgIR6nFGrbtBZb3haxCOqH31BpgWAt1KdNDckP5McY3/S3OBZq6KJD6OC
bWTAs4rQocDm0uuBm2sYnTWvoXQbhy4ogGSMUW2glN01JK+erLksgcvhEG0wVr1ChtFZ3raOy0QZ
kAEqkoQGrdT5hkQr6tM0CXkgJSrbCzPW9w5dx87WplJPmScbc9rDVINASuoAQ9UuCnylJ8W3ZpAh
ewTRfycDdnoyh2Y8sn4fDungEWodVvLcsCnb1V3KqiHQh0PPQv9Km9IKifSEc5PYPacVUAQ8Z67X
YnGj53qYr5Q2qwc56MXW1I3oAI6r2siMnU4ysRnyaIF3gmHkOVZs8QsdVg/+lOKcFH1arWPsgkev
os21y37aIYVGf9rq6TZgig3YoxnLS5Dy2TqoKArmYcKZXGL/xKnMqAodzU7MiN6gZbGiHNAyc8bN
0bHRf7MpTpH06NNp7vT2y+yN8srgF/USmkHdr2HwkQ0A72R4E0kzrr2M3huQX/MtclS4xQ7hPEYw
oM+F5Yh7Tae+yMoquiL3mepkoOQrS4hYNn5+Ph0prng7IRdvFDik24yF1RNZ38hP9Xkkw5G6ULOq
aZelAo2FrEHshF7/WKLgOdTwm74jE9b3WYIlIGk4ybqi/IIZHhxnjxZzmszqkkzq4MiUnzfXiBbA
t+HorxMSTTfIrjhz0r6uPD0fYZmhwv3QX0uLrd1MXCFmCDnzdwwva7+EjF2Aypl8EtD3LBOGjlPS
bBGi4nFA5HRpYm1MQoqvmMUSZrzERFYdygY9wf/nOX1wpFaxfLKtoVJjjDoOiNRWwoymd2rg4TEe
Gp7rpQHTDcsB2wRLAljU83oXFJp1gjCr3U4cIFprGW/emf05H3uKrJcxsJa1uR11twDL+Kc0BHun
G/W6cSLxpLvWqUWLtHOGuty1CeOaFfWiebIUcZ81DwUB8OGSnbDcVlGtDsDpbX/IkmhbmgGJv0V/
LwKNjLKuAwCXjsCnYv26CQpvWKVROOyaapiiHZffSb810q2jc9PmNcLtySL3VBUwlsD8sK8zjSY4
e8xxKp6scDMIUTBkdKlGQ+Xz71Pi/zasv2hYl76QQud/blgvXuPiL3PJP/7GH+2qjcPQtC1EwHD2
cEstcJk/21V8iYgncaSjaVhSdf7TrTqILiGdYybU/5g+/im6lGBngMNapE0htaWB+Vfd6t9KYFxi
ps7PWRpJ9LtLIf5DtzoxGDUx9c/7MthM3saaIHte/XA1/qFV/fshXGEvnTVdMS24+HSIYOwzLUQ4
tx8Cc5UygdLAt7o2l/T/XfP/j6Msn+KHEwGXr5RFTb0nlKrVXkr11lm/aEp+dSJLk/TDIZy4lEU5
cIh+vnH0m4lV9Pz152ch0NTyU/7SKsDroZtzDIM7Q4jPsPuWEJAkHFCAWVrRfCsdWwcxpfNaodGb
91aQZrcYVvBngC44mniWt6BwASQmSuwIyxx3MWX0oxEhw/LjuU3WTefcGFY+WOtoUOPZQ5q0ZeWB
74WEtK2Am3GH1r8n5BzHwf2UMmB0wACdWntwfLesXnK3WidMMzZZKQYGDo1veXWkrzQIKetUc6IL
ls8LGA/Woh03qPGaPjlEeuacdHe2n7XcYUQR8WzFoaTZJ6xjRBboWruJNGtgr4JHdZWqDkpun/ZY
1PP5gRzXbE0yp+EzOmbfnDvHIM5xoiJTW7fOnO+k0Z5Jde0eVDHhQAt6sdN6J9uUVG4H1HPMwnsh
t23qolNQlbhw9RR4jYn9TxlquDWdjh+Sut3ZYe+7KWfXmFYDuL0LMt75fUi80A/LPrqhDBi/odOY
bobZ7Ft8W4oBKBabnRbPb2NhB09R1TfJOvey+cEeUWCvx1m8NQ1qLt9qZfeu1RS+vkqIE/EM1mlb
hTziBs4EP2i5wMivL8rJQsuSd3h47AnoMnV0Bws3wLIQS1IuA6uAnsnnS33P6hwc/Yl2mYTyrWs1
uRqnrv+eLFXQbLx5hWc9gzlAG91r8VOXquSgTzWXpIlqsUNj8DZ3ZeOh/6jnfVIjZkkyMIsrK5i7
R2Q8KMsUnyNBUHjMWbg+xtrk+BQYzil3e+B5aKNh8TVi17djdDNmRoLjEEkYQIgGyYWr7xAjYzi2
bDv0vWAKCGGb9MQn1S08WngToAzaHMCYsWLUSbcbc9ozVsfDXVrO/V1XBfzhxlu4udicb0h9x22V
Bdg9yepaSa3sNwOgryvX43Ly+kXqlDeVsTZ4dl6y3U/o2gw731bZgrNQAPQCyo0A8m0fhDdTGOt3
S/UHMW6MrSvUQMkuIi52J2QTfA0cy/S4S7Tg0hi9MvBTKBRQViFmYMML5NUUNXA8cDf6ambDMVVN
fa41tJFARYeD7VX2dUBkxK6tIvMagWZ4HqX1GOT1fNM5UTsS3jXo+z6qbeNQNx1q9l5lyqd6Cr6S
ELLwYsayW5kaJMoSIOS7TFL3XQsxZrdaO54aR3hfI+y+m7CvJWJOZjcbEpo9MrO85XoEemqvxay+
IyjmSraDwk4bVvqe8n3a56xDzxnkpXtdpfOGVEiQS6ZmiZ3rFIuSTo5PrhEMLwVtzw0lk06/bMAK
kr0i49mJB3OV4z35JtK2O9bka1/2pmJ9Z5rFRcGc5kqJ2bzPvA6+T9u62kbVwjqNRjhdmwNut7Bq
3GsW68Ur9dbIXGNS1wrR1KUC1IwA0pku2tqzTmnF8kOwYfGrqbPvKhgd626e5n3N1AaDl85iaMWi
mocXiUndTYM2vVjNOlsMpFq2tY5ds9wOwQj0IbbhAEdwYe6ACCXfrdlu92LgIZRqebvj1rDWiL2s
bTVVLcnbBMuu2wo1FW8Vuel1WZ8yhiaL2amO7mcChXDXgwfP+aWJ7HXiOYFvOMV85NOGiLzL+Til
U32yEqCymRXEtQ9AR09WVp54B7aS1rYE/YhWLvQOS1IS2QiqRPQVaogL0jjnBBCt+C7mwy1VAv68
qWkOGqxXTqN2p20AEGrjBD1SCUPPPH8I4I7hGp6RphUIf9mf11/Huut4jA3pDe2Qu4sSnZxingIv
MVKcDcZkZ98ZyfDm6DiijZDSFgVasSNZPmOgrCXVa4tS42vnFO2EKDUO3luvzx6nVo1XRCqkx48/
bhS2dZdHsjlMKswNEssc1LZzopjpTtgR3bScNtzDuG4nQn9Jw8qb1cch47lK5cpuMWkhcfEQ62ed
/jVNu/aLs9jkBoLlmWA1prZBojZdFFWY+EYbGreyUMFzIqPycQAqt+s84sMsaw42QNB1wt5hXo21
7vm66tMjnd0r5qzuwDjVTcEiJNYaO7C+J7cRLMLUDJcecwV2jhG+7Aam3IUNAPVCIN73yEsr1b5E
eYR/oKJ5aojXoeN3h/yYtEKlrP/srmdah02UvS4fWFf2vPfi1L4TqtWfunaYMW+2fHVVjmvSqtwC
sfcyzZurnsPGKeZZBeV1Re+AYZx16X0VI4ZgucpX77JcPZeO2Rx6tGTfPTxdR1TJ9l3e2NYpEKWH
6xXPNsgccj1q7Io7qtHmYFZa+khomAfEq7bv2OlpG4u4b9/tumIXplgjm+Vl13r4IzWwUdcj3O2N
KXCYll6LMx6P8rXZTPJVMG/bFBU3uB3I9DhzR/toh7pNLvXiLeEdfjDgn963qT0/ciOF13akAVpL
eo+JSD4wDGu9XdxUBds2037qKEhJ2ouN4JyNxJj6iES9nQHJ7rrD1ID6Rh/eBox5Dzm9oz93wH/X
i4P49+8phYDxPgEEZ3JvjltdVuISbRb75SDlIWOm0zHJjH6jWSp+LvrWvfHKAVmS3ltfzJ60Ivz2
8ktCP3zJm8reRnWkrac41tYaDpS9EwTkDIRac1tGebGBSJ1vtBTrzcdV7yxEUMvg/wq20FYvkNt5
DHROVlMKWN5RidmWHX7JjbhFm6yfnDoqNoWXdId86sxNVefCV41OwkBAwvmxN6bsKnDx2YgcJBqC
ae7l2RXzDdpfluJ0KKfZjdWl0xbBBl1tiBC5G2p2mEV6hQMzP4Aat588AB47/BzwsdyYl6E+S77+
uZ4v0racL0SNPTwcPTP3dYSYPAIF+kkt/tqkEPJ4KEwHmHXFldPMAJ2RBIYIT6vpUVelZa0KUP2b
uZ/aLWBC75x5U7LqUydhax1pW9r99Cj7HPb+OCMedEZtEzSVumJQx6vbiVjZO3WpgTWYc4iEhmgC
HBIiQgqmsuHgkbs8oldsUZR3WSH8winK+75EBd/zwKEGAs1zIgSsu6pD3ONNj12XENr5YhpFdawD
e8mtEgBI6rTQ7ltdLxtib3ANWNLEHzTw2NBZWoMFstj0z20MJcwd2MvV1VDsOtRGj3rP7ZRXTDjY
AoivTPSmC5kDAZDjqH+diP5CrBFjUNAk7vSo5RczZux/JLV8vmnQfh7tUU4bl+XVwZ2Mgci7aajq
Ve7Zg2KKRxjeqmjN+Ua3AakQrMPE0Q/4l3v0V2G38oJoOPedloCdSuU1M3T0ieVcB/tWJHIXA1Y6
JG5g70bWL8sZXTmRYkbsWdGlmGOj9fs4vzOQzW1KVmmbmZTYXWeVHctvBN04xIh/5t1Q35mDSRha
+n/ZO7PduJF0W7/Kxr5ngfNwgH2TycykUvNgyfYNIdsy55nB6enPR1V1Q2LmyYT73G6gy6ju6lKI
ZDAY8f9rfSuSLjEH3YkS0X6hV+G6j6U3u2qtraIj3hepsgJCjGJypPCJQIyV0wiaemvbdb+BAKHu
fD8C1si+BEm+UQsK27K1YYcY7svJyNZtON6pZQRMFxDdTyuXfjYTInK10bbq0Gfzvq26sENLXaEZ
eeqLEPOQLQUeq9WOGzH33cglCnyYxk5if5VyTAltPJc1o6byXbsPglWi1a0r2610kRsotlOr5Hrz
0gBtL+gusWLn18SQX5d5GAD1JazYBBQVrUBTi900xeH3QHSGl5BzP7clh24zEK/8WAKRxeUSyBUx
dmp4GcZmeYfspvwqBQlibXXMkESW4meJnv7RUmp9cFMbyYLoxmmvRk6y09NQeFJIHhpIiEq/021i
kaEv1o/g5QEFZMIa18NQY/yeTHODBMgnvDkMd6lDxhhRpBzJ5TTaBzE5EiulrX449ZRdKmiGPcBh
hlO7fRFocKxt0kiTyyb/wfZe+TaAar9WHAE5u1aN4r6rYurziDb7O38i97MlF3oXS2Gzxf/Dq4hA
uwRKJBEJgfm+Fu7gGz/0UK/6dRdO462utPF9jv99K6Kx/mbW7K9WA8KcmxG+PZKX0NqDl85f/NGi
Ul3lQnuW5y+kqRCaKId26A15Li7DyNavQ1KBX+BTG97QVv0+NYLusqfE+5NkGJ+SscLDLURLsoRV
Zr+yxpLXHW2816aJC5VXpLT2SqJSKW5DAx8aB2yaBrnOWbfBjj5Krf5Fy62MfBNDQd3bdeFNIY1v
CZ6Ar2ph5RvE6PaaELtpazRpTJRHNq7Y4018CsMsFCshDb1rjjUrWZzGXgyLdVVi7ubx8rXdQ+/L
3CLUJux2NkjdciLgL3vCnf91gFq6ohaLkQPZoUs3iUOxUr5gvNMwYoDzWMmwxYRrsDPeFY6ZPRWA
M6/aKVXR0PpspeBAjT7uKx0VppA8rYGS4XFcMqW3sU1Fuepr40LBc/jcShXypVLY4KAGrExS5H9J
Nam94qOY3rFVjF8HRSu+xFVSfS1FCe+ylIxRWSF0jpJdVxg+CDhAKhym2vweOXCfw2uPhu9Jbaoz
xrWHlq+Kt6AneFtQ3rkC/pFfauxsf+albOKesRrXlJKbqejwpKG5TnctqZPrnkd1lXRlD6m0Ktsb
hKfBTcxmCJbObGxA8Fpd1wEglqaO1Qfe/19tDtYU7W/nrASR0jNgfNo7RSPuEpkigx6k4fNQN1jY
RkvB+JUhe8dE9EOTyu80y/rvGHMfJ6E2kFVN4tWkvFd2wKtY2UtJQ1Ik0kcbeU+7DhG9Pxhy2mRr
WkpbMxTyduo6QRJHqHuSXei7MDStKzUxRxaXWlgXYeZwNo3V4AcsP/oHrIR4QqVgi53XeuKow/cE
vcN3P7PQfgXOiz7o/aWMNWDHTwFhOlTtI5D7X1Zq17dd0Y4/gskn3jfp7Yj7NsbXjjPRnaK8vHIK
295VQQxtWXK4KZpvvYCL0Z+irqi3sYh4YWsHCmbOnmoMTVCokrFrtVC94wzyzIKc3A7lZO6riqp2
2+PwKTEVvhYO9tG07m1vzk+8MQe4rSvEr5D4a3a3Q2NU66Dr8wd4pgE7XOkeUnN70dpjdu9Hknln
VXLgmjHGUbCE2m8lyPN1EfdEzZAhsffzUNzmBqyx1EiMR72MnTwgOMOXxDdUHSs/TJpdxnK76Uqt
dAmslO/JqTI9nL4059qk2I2dlj62rLhgZuaGgtPJuzoVTwRq4jK1ZHOvBcW4a/v6OyZeyyMjiy8W
G8E9C6nkZZrTXbGVs/a9ngWAS6uE/S/wINEin3TTtvyhVTE6drsVFUeAKkx+wFaN5UulFP6l3fux
S7WkZ7I16pNQJXI1JThzzk0EyFVdF3lVDQgc8Utuq3ygQ0eOgnOT0x58yjO0hCDWnF0YNYFbUsJ6
MtXmDV2lWMkTW5W60uo9fZifRFBlewMWIZ1mg0NS1Y2rSUlioEuOsuE44Un4rve8/wZODvM5C9gb
60Rhe+wKCS+J7J+NGgm3kEd/Lcd8X8e+98RgvlocQYZ4ujJq+Z49lEnljDKRJGzlp+6k/aU+81PM
SqOQkuT1beArXudI/u+QJs6dIUvqfTM4v6tBl54DXr0v5HGi1zOagpgapx58l/wEa4VgrtjJzkCL
L6py12yDDpMGFYDThdDDKigeOfTvIPSQt6jLOFVsWGreQR73MATRXJcoxkVlwZysdpzHs3N+h4Oa
6zwa/grZNilJvcPJPlZ2B2Ngn4SpbCwCEkga/sD6MWzSoEzd0xd2UES2kRypM03NUMEqvCtFPgwl
N2ZJ+VHhwkI7eBpinU9G3CnXMrrPMxqxz5ny74wHhoIIoOvOjKhf1KsVTPJjSliJl6NZv0ogo3mQ
edhyMnkRMgw4iElx/NMiOdenKlh6qcMZKrL+z0VyI/IVVSqIphwT7qKq84cJXHjFmVQ/c32AJxaV
coZCNGNhjkDlulRwJSz+U1lKtZeNoTaHEUkxi5sdXyQqFc2U8sddOSpUENMpvBbpcC6Wdm5cfK7U
M76GyA/vwqwQXzQ2IMuUIa3mxrMz+OtsuihkVP2X0/NlVlYtB9GgPNozEAMbyKzF+zBfBoXPReug
5UDzq1AzCNlFBJbm36QqzeJpVIGCCWfYkHZdb08PfWz+YAcxVMSD7+DMz0M7BvaGQNXquUgybkrN
AGQQz4VgS5JTVOBk6K3GsPU3p4c99uqjxWJvzpNVEZ59HlZr4ADOyltU6HG6V7Lui4nnywtMZi1E
jf9kwmKtwgaCLNSGKfp5uKAmtB1+AsM1rfFUqdWOw/+wqXwsbqcvTDnURyFlc3BVcQJnoZGXerNp
+udZmpPofzbvc3P0xa+hZW5KsJquKSnLO5OgpdfQn4tJPaX407/EsUmL8AZYj64BWzx4aSythdYj
155GXuy9IQqq+QFL7OlRjq1yPMK5fYU6FeTk55uqD74u9Iyl530VILyVVoQDe13R0QWdHurYBekY
eND0UpWHX/N5qGQQOWbDngW1J2cRdcV30y6+//+NsbicCJm+yYe69hS1vZ7Meqfb2f3pIY5ODuaf
wsNhelgHk8OJ7b5W29or2bteB0JW9yrEGgQnffQ1lFhhqryTb4OaNkuJCvMCv8e5Fe3w1dNkGaeh
zfuHMHbZe8SXLjSpwKQSgEVZtST/zIy46iqV4uoiKZ1zqemHz47x4JI67KNmA9bi3as4VtljqVVe
lg9sUMzxHoGFdWYrcTgXEf3YhmJQ2iXMe/b4fFxBnUBpISKklRe1gVg3ZUHiVdldWTG9jNPP8MhI
XASh7iTIGujQF9PEaaJoGkfc5Sxt2LKlObPVeirr+Pn0OEceE7FHqoxWfd4doVf/dEV4rROyAa3C
myIZj8arhIw6xvofVf7+9Ejq4TcWsOOHoRbCX2pUJnHfDCWQG7l6roOu6a22XaFxFpuqy6cv+PUB
a9P/qN1Kp7ov15X/zeTIugG/2G5iur87taGMltUaBfBMn5K9YcflviUO7IK86enaTzkH6lWOQyeg
W8S5qt2kKiapvYXj+aYvBBVsAlbTNWU2SJBmNJ25UH1pBHz/gtPXA3MF2wLH5ed7mqaTpDlQgLyp
CdsXB5YquH/7YQTi/5pNwtqLFJFhnfrf6gFNKWgCaiaDeWGiQYsgIayVCheqKr5kPgcjdF3rvMge
yt6+nnwKS1mRVJsm6ak3RppFOGGsEdbV4yNCN2XtJcI012jQdY/eNgiX1gZaSry5SwnPukp0tAxx
4qCjY712HeIQiFAYXJ2dhMPdIitv5UyN/MPy+/zMR+vIXFNJe0fBwTeLLf9irvmwbdh9jNyXWGqu
OoxvFzz1wQviGirKACfqjIz4cMMDmgnjBN5MTHfOcsNTFaAbe9JkPcduYQdFRbapgrq9MrWy3fl2
0F6FlF6fiDMLLk9P9iOvL7s5DH9gA63DM0cdjJ0UCjP3KHONXzuzV74DsVaeDMWM304PdeQiEXiw
GlHr4K/l1pG+KOfNUeRe1sH9jMh8rCnXgqGU4ry+MJskstcNDXa88iB5/nyZYl+F7xGrCzd5aRuw
kLNRdspzr/GLaFf1+VMwBEg94rH+420A+nreJwuFkYUxZrEgUgMCuwLWwgNn+zKOee+q9kCgLd65
P56mbDcQTCGM4vRxYK8sGwKwgk6k6ApE704mhVctvgV7Zm4pPP06/fQOJ4ouYz5if4MFBznH4osS
RGmZ6ymxGMhqNE8qQa/RQ6Sn06Ra0py5h4cvIIOxtWFrABRPXX6+KrQhoSkyrkzSn0JNeqkm+1c8
aE9Bb57Zg8zv8uezBkNxLMXTqbLmL13/mRZGYy4hxJhdgxq1UqeAtGelHWSvvNtTpjy3Gz0+IrZd
ZGzzS7f8vOilZRfziJXS7RMCYYpRedLqBCErLqNVKNQ/tXwg5mPjrb3vOhhxMSONhnNH61uJJwmx
Rxfq6XpyC/vkzDCHG5t5GI6GGlxzbub8zz+c2jpbHqKIH+11kgrPz8r1i3Lgi3h6Hh6uIoyiyGw2
bJVInnc/xodRCPsY8jhWEq/WqGhR6VmnMbkquXkfV8hphT2tNYzrpwdVD7+UjMrCAaMR65S5dDIT
IdQ6HPsSzyFTYNWnSGjXeZlM14NDl/6d9tuMTqpCN9OTEM6fU9L2AhrYDlVwkdJH3vZsiyZyUR4c
8s9h9JRsDuZtQVWoxiWyOPOLo/amR9azcea3P/pgQFoz4xTb0ZcPBklCmNLZSD2q0/kmHp14Lw3U
OU/fo2MLhIGukpISyK2DLWemg5fJoZ17eWuliLQ7T06UJ9tqz+1ajrywBhB+VJWmifV3sWkx4BgD
kyYcTh1KDSGLH14MpjxsT1/NsRUIQyVlOHu2Yy01olMsqwPcvgTxUAN5zOIzNRhgv5sm/dHF+p/v
ojkzIhPlkwHaC2ju53fHbiOzQ3CVcHb0f833ro7M+6z2X05f1bGXZ6bjWnMuCBe2uHdDkxA8VPDy
pBGU0GTOB1d84xfNlmJbB4b9s0/L+IJqYXPmU3VszUMRq7OvfqdOLL4elE7lUNO7xAsC9bbNpdcp
DrZl/FzG0yPL9ZnRjk14jj0ENOicLA+KZCnXaJllk3g47ZNdZhrWfa/Gknv6ZirH5gg3kSAJXdGQ
OS/WVUeog4Aul8xYLvk5CuViK6E4Xvmx1qX05qz+SwwsZS2KtrutoPXcGKml7UIbTec0liaN5bjE
0eELoGs2egwh4nOnW+Xonbc4YfNmYmBdbnxqv5ENXGR8bQadNkFbvSqtU6xRlTXYPu0XMVCdsMqQ
JkauRc+4LJoL3ym+hyg6JrNs92WPQZQqkrMyR6lcOSHXcfpGHrmP9LTZgmIgpri4/CCmFr9DNLDd
7vPpVwl1YCuXiCl9ghOK8fX0WEduh/KuMTbmQi277s8vmqqMsqzbLVt7X/klU3Bw8e++NmOae5aT
xxtK5e2ZHcaRl04h59RkR8MX66Cs39XpONRBweXFxtcwCqS1imqHPkY9rTR1rL5UdV+5qDE678+v
VSFHfq5IsUFcrpS6NHN8bIBGnNVuKrOvqUqn91TjIcomwfNok1N2esRjT5ItG2UAiK4OS9ni7pp0
Gxud3ApJDiBYKkQr5rnW3veVk3kZCW9nxjvyzeEC2UMBbqJe+/6GftgMZH6th5gaCw86G50LHT+R
XBWVq6GI/U+GAvOt2SYbRnv5ES0tPWohWhaeQjjHnZFW06q2WvMyEopyZvk6Nkc1XqjZhzBX+hdz
tEMSl09UBrwmE4SmFZArq6e04flFQXVPjkv7x4cjFjBMFyqecDo1yxdQGei1qc2Ue5M6ofGz+oda
1G5JHeDMQEcWZtzHsqFpVJ6xcczP88PzKicCdYnBy700MF5Ied3ZU/V0egoaGj9jsaH/NMZyVSbI
NdZ1xkDQr6x0sLf7BvbbgypMAP4pzswokPuV0del25DK/qXoawuxEL1aYdcJxT+BGjKHX1LoAwo4
oj+hiYwphvO23k+6Ht6rTjCs87Hzv2GPy3dZgziL0+24RgbrX4QQpr1JHoY7Q8ELt4pp3z9MTobY
KlcaTMFZU+/krvIdDlBDcBunMrvDIopWeRLVt+FghTulbsaL1ECi2WnwxTqYh56dOE8RjuI1dzjZ
EpeO5idEKOghTsT12U/lxhehgVg46a8KXSMCIsJmfPr2HpubfMUthXnynkb2+QmapA22o8ncRCb8
Wg3tK5ysW12TtloGc3sOCD093rE3nD03mz3K9zSEFu+CERKDo5Er6LVVONecbno1uejb/Mzm9bDk
p1MrpbFFLZMynbMYRh+SEAKqk3uIyO/LMqrRDNo/q+QLTehrBClEU6vfgzo/c2TSjo9LlZY7yuF6
uSFzyqzKyt6gJlKM09dwkHEJ1bp0j9FFTjdoZjjjVITKbtqkq9wU7AXN7ZyFvFK7CwOVvxH30oUm
C2mrtHq+9hGGMuHKHf1OOthO/MNQOg7qJGOsEyyGrtMCcos6C7an4j9imQXQPhnks7WxnqzaqQw2
Mb+P26blG54P5S4GDL0rh77a4ujif88mYx02bbyxJEt9rjTj3KM49sRNOB8WZDIWCmW+ZR/WiEhu
jCxPutyT29cRpP9q7OVdokD3OT2zjq1FH8ZZboy6ssvSwulzD7K+vM6pN6wBl2xOD3LsgwjZfyYh
0G8D9/b5YuRKLYtKr3OPphPgfQOKmqy+FEmIpr4Zz5jOjg5GvZIzi4O7bXmIMGsWo5wYFvR38F3h
bO86vdyiAEVLjevy9JUdWwhMyv58LbDsHWx+sSZrZoyKCoRdfa82lgm0dnwp0vqtjdAshOaZO6kc
mxdzz5sDLBICa9mnmRroEOQ25148pCEuL1XZ21PdX6jU4t1Ck0JPL6t2Df1Ye4hkP/TGAFNDQLjH
tR3YsLSgpH6xsARhz/AJ4D5zP47+ejRuKSNRvz2gd/SD38DvYpvTV+UbuMXnUO0eUw0dyen7fnQc
ICFzrp05W+Y+z6imI6m1RI/ncRItqea0r/ko9W4h6jMf0mPb1vdkR1vGkcl/Pg+k9Q4ODrSXXotn
JGyQuPb5fV0Y+9hWbtOieiKz6Uyh4tgE/jDkcsM6x5yj0ZMzT+qJtBLFm6OniNvNfV10Z84c2rH5
y4mUJhnbR87Ci6Nw29uALAYrY5lRx++Ar3/3kTNblhV7TfmWZPKSPLCMFXkTVbPXQFJmZSbsdiJ8
mhedosqLX9mNJ1QcC7ja8BmFbf0YTE7h2jk0h8xv7O1g9fazbbBqrmD2IpiSmsGdoL56U6H+lnsV
O0tB2FMpf48LcYMUp9y0bPki6AVEp2sRaPpRfSwRXfOxV40zs+nYXXBmpy4lDubtsgGbpmXT5PgT
vKmcLqZ2IlhO1l+M0rikZvrSRmN/ZsBjj3h2ZiGUsSi2Lm97GRMSXLEZ8qLKkdDFCXL1Jk6/rhb4
qU+uG5r00y/MYcIKRB2VqyOnB9HMQe0ukMaULmmaeWY2OeuwF+ajHhJPl2ujcRkWafr8TjUgZmL2
XdF5sMM2fc4EcD0grM5O6nuU66d/qSP3nc3GbIEme5jjxOKgBI7QhrCnpV4CLXATArm5zkO2jWNc
NC8Q2ScPXeSP02MecD8BJqFKoOozr9owedTPbzQpHRMRj7zRzeQjZdUCfYsgVds2PrRXxzJJBZwp
LqmRbpygDtcjPRmcF7rinv5FtCNr2OwLn4llHHP0ZXlfRhoBDjvK8C3HGq2R2dcQael0j7Y6Ny65
M9ZFG6NGxmJFRHRKEVmRMvqoUR12d73Wy9tx9OWvoc7GW20n+Svb4nwX9kwpHFMJ+GyH+DYRvo2I
sVmyu41uxuEGrbDuEnbTeqFZWZshFJZrB5cqySWPiZYPt7y2mNDI0JpeQls4+1S2vsliTM4czI9d
Px0wPOjW3KFfFo4ot8Vp02pcf5oMjyGyNG8wh+glAia8PX2vjw2F8BqtAW50PhuLDQhNp6rK5s+S
U2ihW1b27OYjC2tPFl3wcnqs9+e2OHpxLJj1YRQx6aAuZnUumakAWMvhAEI25EIaxpi9IInvfHgf
bk609qUCUeWuHdT+RlWl4F5tJWcNtL4E3C7XF++/0P/iG87gG2ZR54dH5762r/9kVd+8Zm//899u
1LR19LP9r+L3f4EcF9mPiDLaW95GwLp//c9///3v/ws9CMtBdui0IJyipKqoTLF/sRysv1jB0JBT
2vqbM/tvmINmkzGNBBODITtEZCF8CP4VP23/BUWP7heKLM5cf5igdTDpSDk1ZnI3yp05mGu+8o/n
hRHDkBKOg4ybpVhnwe80kG6H0b/Ave/mbO+zSN43RKUD7vyqJJBUtebMejZHDH8qOcy/gkYvQkOL
RVVDWcz7goJ5adtA4goYMje+/nUkZ6bpkk2ebYNExQ/S4oBwyiBf6SmuHPycOza4+aZXv+lEtU4h
+ZhScC1P0gqM4rZ1klVpKTdVSMlCN7oV6YSu1AUzN+cnRQn+TzgHcuxUyfcYrNr8tyMoJj0avzRT
sYuyZtVIm9FwPL3g4EzcjHlVyV2O7FpuyR6U6kbTXDkRfAVyCoGIPJgTLEL2KoPAxGfkMhC9tYri
6V5vmzmEm4hbW7oGIEoWYqs16DqudEncQzoVmyFHUS857b3pfFPohzWB9To1/AYgRFcwLde6aa2z
ysEXE5LCkLrdkOFmSx4GyX+Kq77eJE226dryO3xceRel4i5orEsSh39MyJfaOFlTvkx3Jlb6FQSZ
GZOf/8wGnYNhTJDPKPc/Uem4gSmaK5IeDLKPy3VpNgw20QvXboOMHd3/Li7vK8CZxYVa9rxz+Den
5GB1gcdUR78+LSj//Dv/rCi2/Bc/Yu7iUksFRP0h0N62/mKRMWG0KXPq3jux9F+ZfIBjoL/oLCi0
slVL41P2z4qi6n9xvmaJsmU0njMf9U9gpgdvM9p/iKooD/7hrX5eUIJ+kCe7LISnqiJoieV1iD/T
1ZAkPKHh1rYM6kCJKeDuOSFBrR/u1d3fX8sTqZKoHebscSS5nLpo1yy18hVOTwcUGnQIoXYba8zM
jQKHwB0t9kv/wVBo8pEjogM+aDpi0eoUJTPana4At0pVpV9pDQlAyDKq/+CqUI9w1GDrSSN6PhZ8
KOpMGMZLVqh2hyI92g3k34FoaXH9Dpb4+6P/c/g/wVtx5AbO59IPm5D3Gwg8V36XdRAhsViMh64V
+AS5gRj3oWQR6pOzwfw9dKYb5HAhLGoF2MX9ZF3KZFmcvqXMwSODzzJIZjGxDIvrbEng8tFstTt0
AOZK4ZC4yRW9OlM2XGzquET06bgc+LCa9MuWgo4msLWG+rHY1Y5u1szNHOquAamk28Rz7NaZi1oc
Vt6H4yNObKLCYeXAKWJUnaqFSit2KLVJHkrqN1Stv4mHyABFZ5emT8zKn95GjoYYDfBzIDc6KIti
nIp7KBZiB7TaAAfvpDwsp9icHmV+GJ9nCqPwvaa4IRNR/H5M+TApoaKwdyAbZqdFGJI0Sboiu/V2
pEcCuy/7w6P2+138ONpiatBVCqrASMWOk70CswRLQweUryQZk+xxYIB1kpw58S1lK+9jzuUNlFTU
tM3lQWsME9Pue1475FQ6KR56+hzIApg75B9PFAGU++rB6kZ7XaV688tsZXtfGpongrrYYbHoNoKd
+qrurfLnMBAwM6KVWEEdqR4ndHqphb0YrfR0ZmF6x2MtngwdIshZBBgg21ueWuwGSmPR8hpFvaAs
rUs9cBNYV91GkjTY9o1SrUu76F2Nu7dR00H/Lk+QHIRiE8/VTto6wJN4q9jaP1/9/+fqYhy+4ehl
WZ/nN9zgr/mff5g0sQOjdjLSdje04Ub16bdwKB3WlW0iDqmC5ssQadjue9NJIYJO+R65Un3VoClN
IP1TxYbYCBQQUQmKAJnDaem7fm6TUw0phl2XWt+QDiRd0MQp3IrEc7e3DED4be08iz6SngFI+2tH
g61Co8DacsyPVp1W2+x1hn2b1M2ql8hoa30DnE9KhUNPvojeJidaH/ENa1OyrYFDur3U3hYwJb0q
sjCB68SDD5RgruRwnDO2qm4X54kEqH78nYzaQ2u3gC6tIPHQ+ba3/OR8e/p1PFxmYBeyMeCtpxp1
UNkccKAJg93dLmrCGykRFHlt+UKJhifMkOWG+DnlzDJzdETQ59hS5oPIsuuDwa+znSlpIeH4F0qD
kV4Jfjo5Rmst19eJY349fYWH6zYFc1YbWvKYxFAbfp47TeB0Oc+m3UFnLFdqp/cX8IIBfCE2PvPB
PZymFDapelEvd+bT2WKaBoKEhh7b7c6xO+OykCrloujFuab40VFoNLBN0ShnLYvRmexLGRmgfO7M
Wq5XFcBWT1SBfXf6vi0rV6xjXA39fZvdooLehv3nx5cOaMOMziLOY8Ab5hZKE29NErZcs0GFqvsN
4bwaEx8FTLCv7ZdaDXbo8KJzy9Kitfz+a7CFQXqIxkGhy/z516jQaU/0zoirHVJrg6gh3ZIx1m71
vkW7rOmTfqHkpDDWcvGWFr31QFet3wWG3F1jA9b2RlL4Z6awevR3QjiD/oEO04HcONAlCQmc1uzy
QOQXcm1sHFn0aFfb6sZv8BmHFmlSGJQlQBXSeCvKaFybEcIXnO2Fa+XpW6oM3Q0IPHea+u8ihtJZ
RW35OOYiWpVtZHhGEELpHdMbSW7PbS6OXwAaFWToBNKQR/P5pvpK7WSj3XNTw/EhqK1yK3o9+BKy
ipHraMUuWYjyOoMtyxerzvZjOL3akfXU1KZzIUofgwCRnhvUV849UaXFk61Pb6B68r1G8PG2L4PR
7RPUX1rcpts6qs6ZsZYupr+nxYcrWMxOfMf8wsXY7EZCbff+5OT71hgADkuy20Y1i7wwxxWu6wut
gKvflLTrT78g2tFZgBhWpqyKqWj5utsja8loiGZGXLQzOdg2frCturN0eg6pI/8q0m54QbUT/mzA
iYguWIOWILBFCzHtBM1WlZvCrWk4rfpIgVJiqaJchwy4I+hmRi8HytuYI3WpfevR0pKNIccFJATn
hbRuPGKdIV8BU5vbGsWr1cmP5shAgU4od9k7zTks5eHWzTY5DZJWhCBLPjAwkl5kJX7MgoBd8iX3
d6AJU1eaYAcUE47v03f3yLJtsuXm5Imuib3i4kTRpImZQzlqdhRwfmNG9/lqk3+jD5NzZqT5J33e
93BZdG+pnVISgZz/+V2o/ECUlm8wk+rgCWRx8EI6NwDqbOQ0YYwJ+YKyKdl731T+sCMxT2ITsirS
UG2WwS9rt20QVaofy4hgrPGb39p3g1U9yLr/O7XaHxx5zTMfqGXd7u8BEeFRUeTAjeP287U6WMXQ
izNlOYbnD0Jj3zP6mjvmpEBp3fQm+6BConRwg7Fkc6ODEOuaoHZldiunn+/RyWTM4lQ86lgqFss6
cRUQ16Bg7nq7AKtTWoQ1kX+7ksgWWBvhuVyJIx9NczaIzjY2iLbLM6LpxMlM/+QhjzVtzhJK4yTs
8MwZ8ej9nU1dzCRuLz7fz/cXqgI2FJ0WOGdksFDdELpdHjugPG3pom+gCgWdLlyJSN9N75NmQTUg
3YC5v5zQfZ45Qh4eym1z9jpyKNct+8A9AnnemMIGiZXWtTJURivYNjUcq24EOJop0nrOy92FFmT8
IhHymddqqR14n2uz3BmvG60+PPqf7wW8BnKh6C+QOK2HP0qLBKUVMdHtbUNfNcNbVyB1KwQ/AFCv
A6GuM6vUcOW4TNRVVlkhsjBp7K+7kDblSm1boayNAHz46Yl4ZKFBpm/SGcP0Dh158fqHkh0hETGr
HaSSeivobm10mJAb9vLRmVtyZCgUBDoQRYRH9oElOoqVpqxqq9q1k5/91vFs3k8kHANgMeX/4LLY
g2IvhIiMzHC5qpV5ObWlrUOxUAk2QUZkbotxDlmvW6qI/y403v29Un4snh3Z0DPS3Oc0EBMfOB3U
yQ/oojNSROyb68MlfMyCSoUV2UwrecgokRfheGb5OHorOV9jgAXKhLD+8+SCoJq3TmhUu1Glq5wZ
kImiOFNd6OnnfFEEPfHDFl8Idhoynm9nVr0ud9x2ouP5mhSmiE7KwdYcx7ZeR6HeTy4ysTxdm3Wj
uiZ78nRdaV0vbTk5imGD1EHL7jPb4OUiK3RyLnxEz88qpKfQrQnwFm6ZpiYpJH4Vvha9IV0nuH6b
Lbw5ouUbIpoBRXJJ2toywfW4TmeQbdvDgB8vDQm4FpgsC7qmXqNtCpJQeTIFwS9uqg+Guo2VbDA3
mgPc+KvTK1H2ZsYUS4JVyQkmvBzCWvPdOkrq8EsDcRntY051DbKMkukbCazQPpuGAbisSLrmBoGY
sK/1Voz+vdkoab7lv0v9NuvrBryt0J0kd9GQ6cE1cFfDcoWhFfFWGFX6CFbF9Pd1LqHknSNuV2NQ
q0QCh9Fz1qAXWw1CL2IyXPqgJO+4IOtpTIiiB5I35vVV3HGcjNbgbulHNE3vJO7QGSO0s46O9CXy
Dl+m7pBBIiwzY95cRWjYXi167OPK8tthPdl6UT+WRiRZO3IIoNkQY9895pFet7C8Ksd6kIvMDjZi
7AJxwSZ22Fb24ERbPQ9MoPcw8qc1rhTsweRqF5vUn8t/sGzoGlWNYX+JwypdD2lWELushx05c2Vp
AMAV99R5t4Dfyhe/VNOvqWTLD21uwiDM4sGTxhgHXOXckjuxzatmO4RW/gCscdXpYbBJJrKcVD3p
3cRJ6GuJbq91Y79Wy+Y1ToDOGUL1XRwM2jbTtF9oQvsNHaeG36G2dmbTyxsHIO1Od6ZixY55WsVE
JV42ejn8sMCiAdqFrphb3etUmYTVaMO06oZxhVb+GcfMxpTM6s5wsnqjyHl0R9L9tBZypFzaWRpe
az3Pg9MCbKnIfx4mzdgZkkLEN0mmdAd9PA16Ao06EWwqCPNL+Uq4Dcbj+yQdLqpWh7aIO4s/ktuE
6tLQ6/U+GQbVnWRczEMLGyAO/Q4VZZJd9vTSye6z73xbf8ikcNgoPYTraaonYklgEvnqqO4mtq4P
PlFF33O7ka/y0LJdYqRMd5Db+rcJzGwttV3pAqRLya8qjIsaCt7Kyv0BSWekXjSjRR7h0O1VZdhG
RqlsE2P8msmi+ppHvmcZ+mMkxq/G4NNKlB0KdcL/mplSUPMGZvZFJ6x820lQAydDekoc2983vha5
ZKfbGzkmLCkFhr3SY2dyQ84ND1EtdXc4j+2HRtBm7LXmqgV5tkpnNeko5W9N1ZferCb0oibLSEq2
u996A/BpjPqJClfSRbCKcbxU+QR0iZ1mHfibInLap6Sww2mlMnleMkzQg2tVnCP4mLJIxHQbvxFk
mdzgzI0oj/joYBPlQhbBuJEKKHymMtmX/E3xf9k7k+XWrSyLfhEc6JspAZIi1VCiek0Q0pOEvr3A
BXC/vhaUrkzbVZVZOc+Jw2G/R1EkcHHOPvvstZ25IQgGN51FXPkLBG7xSjS1JyDGm7E9FZESZv+q
GdZOz4lk3Wgm73nvaWbza/ZU0V5YBSGpUeX3ntwsDfPtK01zgZUVng8Co4REpR2RZ3VQ4sRAXfQ9
n9RmKGqi2gnXfEhR9W+B1ZsPMT7V7DDlbr91gqy7gdHk75pMTorwbcQ4crH0D1ePqSfRd9utp/Ty
suUh+2sQfuJuyyVpwnxyMgsYqcCVJIv4O0DcH0OqgIrmO5Z6pBYftpP0q29yxt16s1TCeKtnr49o
0ZxTUJvtaxawZixwlO4HKpYHf7HzVyl4nUUrickZAIKohn46m1nKNG1LPKPCrVRRCOW7QY5cCakV
dC8pqSi/utYudsWsdS9eBzor7+OhPFjzytFZdPHsNN1Cf9hMJAbGTjVEoxLcHKWpOWGh26w2umBO
cgquw9hBSvGQkLd0pUG/K+ib2ANpmzVoI0vkUxdPidr6Tmb4Gzb8iddtCJ0O4ACxck94JZafiXPk
SMBgeq9XKXuFXj+aO8HHqT3VrH+N7C4VQXqZmLC9creQT5KtrOk6iePklPmdT2hYq66bwfevCLvj
Va0229t65t7LwXTUhkqkO7rsP50gALVvSHcgbHAhEjrCrbol0EDtFFGTOPRnMh/IZUpO2ObABLRO
6py4iTpuKr5dRPjuWFTks3tp2n70MunvbNUbDyLj887yYtkr0kj3fsqHqvX2cqlxad61Tt9+OGuH
CdpbtTIqOiiBfLLZhUMePcfeSLRsb3fH1siDKyVF+zEQvv4C8gv4jAcpoDEI9NmoMeVj7YgJPCZr
ZtwYDHDSJ+GcbNVpWBSbIDnNmQPxeXKravlUcAHgHrTmZJEbak34d6/Y+jfbiCh5/I+p35HTVad5
zQk1grLpGt14aI3FOWVOEz+2bprcuM5I+EziFhFB3CrFBsBi1YZdYPHpjOBwkgFi3sLSR5Roo7zs
K3551mznxzVn+40U1YzFa/52qxOcPBLWrDap71CB11gIWSzoykNfxFW8GQJEnOgnMzqtBv7ADwso
SaZyiHLVYmpQ3OfIWLVg6x7R2vek+CTvxwnjeCkPRj+sV/lIfCQzF9O5z6pUPmGPGL1waniT5cpx
9Ie+fbfy1L3XAgVsjVya9LS4FSwHYdf9C2s/863vivFJb+finK1fNzwa/8pZqXWdLflBhbbsYGXq
5oYiIz3Zgk/Nz9Pllpjz5VtX5A9os40VHNE+PptVbh86Pa0Je5h4xUYVZ0r2+RGHN3iiSUK5VT2S
+FYjJ/nba5H5QvY84maD3iJYsHI1UixdjZxPTnJVaSHJhfHZTmm5NsQrkHBcSQlzifXC+VbBpePo
dW2uNM6s9FQWeWOEFSuTt6QHIOISLMR3rQs/JdUfHFwdBmL4buArO8wuqjzsqqn71prcePqB7MlJ
GF+uzMcx5Nbr7jgt1HcDPKsPXbMm2bnPnfHL9EcssLEEway1LR+Ly5Nc7PWpMNhmoOQlXr7UzgRd
c5p5rvyaW7+7G2JCEUdM9DeDXNrXOY+7O2Pwk1PsrjTGlU2ZCd86cI4F/Xbxub9rLRmeO/DD+l2v
+YIznrxR59AsDR+eb3nX9MTxjvTDnkOMbT100wEPYhdb/psiJ/EmrtpkL8t1Td5l87HjsXll9XZB
WqaXZLdEerc7ohDEY9/KeNOr9HtIGv6TaNs2imVrfThB4uzstlRhC0M9Mi1gZY603L2RtKCbSciL
CvxZLdSnajkbVT/fUoRMm5o02CcThlVYas39ENjX0uNInHU9o5fpSb4dg/ymQ/8htV0e8wruBFuu
7kmfKuMm9SrODQvA4qxn2jWb9+0Jkll878ZmcwjmjGhrPJdqY9QMG2ET6CyQDEe5LCWgrFFe68nU
X8F4r49JilOIUp8SkJ30DRLqO3nLpCF59XwuGml9ytI+dplucKT5/MMS3bZ2jTacB/tyJuDvmXpb
x5czNx/BtM6ZmmGXoiwfurjxmJalFKQyb5Znf56Ss16n0w5eyQXUwC4KJi1LNpiuL/xJvaP/Va9F
BSuaZw4fkqnZCQc9HU7oLYudkhFTiEOh6dZGxpp+Kip2HsQ4MvgyxjaiQp0IIS70vZXn4n6ExcJR
FyTnUfBDRif2bkedIEuEaXxEXmy/kxzvPrliYOEr857mXK/2yKUpdSCl3KZaucxNNqXXmY9w0xjm
gTB54yPV42knfQ0almmoyM9GgCiSmxEcxrCZCqTCZFncS4oLIthtZ09uaLPjduIAbnK608QFAB2U
QfAti9F8Bl1p3ARVoHAtVPZDm855OFPD7mAr4JCNRfmEtdS7I0BU7Bwp5m7nURdu+qFPtmzWtV+K
UZMZtsmQ3XQ5l0FWl0lGtH7dcqy1S7qxq1ywLgHahgECWTpguUfPpaC3k/w9X+bimGCfG4quBOBg
a7DB8/lOsb4yZFq141bcZZbKKdQch4LMG28q2yGPt2goM2y5Ixsc8kPLavvZ13sVFZXlX4qFvbpY
T7epQ7IQMdbOqWqdpsGWHRgMLUp1WJZGXrsOoTDUaFrBDefWxzaZ81OZW2mz6XKFUbzva9pSMrq4
jZihyesgHvKXyrTdvWMgwCOtNTyx1AomGDMC9oPY6q4WxGy6Ok9msBP7HBfslOlnsq2OPSCAi1gO
ofRFcV3yLRMtjQNO2A2ERgY8m3oSwxW67wK5Ib8wZi14CZiZ0ue89+DNWB5yVNi1WJlzDy/3RsrB
eJkX+BCN6X0Yyv2K+6Z7o2It30jibTi0hPbolQ67c3JMtoM3Vnes1vlRufQGQ+9gUGEyx2lLOTRf
SLOS2VGzmsmOpKcL78IrWPzl0HCbkzYlBSC0xWtOyDeNvjH9PGkYAxDxxDXq5G9Vldd3ZkeEm5uh
I2+yhQM0T6fhsxSm/lGLPP2EoKLa0NR4wQ4XwNEh7eges7I/vfRUPHxvGU0Oqz1gTKXmQltuQW6o
YG5feVqinanSMEdEf/5XE2fmA/UxnWkBJOOYFLP4rIpm+BSjQEQQy1h9F3aNqiDUEL/pIjc+irTn
Sc+eznwrujl+M4ueJtwmijcIiagXn5rTatXGVDKA2F449X3ZzRwMIp2nZuclxM3v7GBC0RjnlMsj
NUcKnKYum/vUHQuHGrOJ31g25O8ELUzWyMuDwiHiS+cyYh9ggHUpeJfb3MEuFdW4tDyamJkfmmd2
LS4z5Qz0jXotDXJ44egkO4pXXllp/twc7An5MUrtYNH2hEZSAgxMSOMNzVRwladrsLvbVxStZezy
LWmKRx2IoTF+k71M8WmOMJY3ceJU3+Y48lMBfC6Q5Yk5ePvbh+lILRnZVrWMLCT9CmeaZ6i52dBP
NHtyGJPQ6rDts3yyigIWmfb3Dv6xel9mOXIPzoKMBrOYyUYwUIFOZufMxm5wlHO59ENz70w4KvgK
mbeGE6nZCfexgx7CblkBHgsXg9xXLFSk14Ec5Ld00UY3o+m06TXB5OlDsUhzX491/VwZgXdXeEEX
h23r6w9T2ooFi6ltxCebZFL8dVLnPVKV866zOubLg+hQw1WYiOAJ+U64d9H+0yVCl+FTlNrAn1e1
KT4zuhc4ghMV8SKk+MpykZf7YOw7BhhBleV7vcjMOSxZBKPe5etUFzX633HKhKZvuA6p6AjVJe1C
d3tEFMLySrK9YEL23Oqs0/N3NZ5fYTWuye81W9dVaKpZlSeSoPWwW0vI0qvBV5V4Ax8NAkO2Xdno
R2bS5DJWo3VXJf58hZcpe1IqnR4nE+DLj975H4P7v/Kgmvj7/iAN/w8P6v6r6ZM/m9qNv/2df3hQ
SUXCTspNyBIKmUV/d7X7zm8ufjBubTw+q1+R//XfHlS03989p5b+G4YHG68pFqU1jOjfspzqfxmQ
0PJgsefFCDZiMZ5x2J9F5IDYSz9u/PLC8pPXqUhhZwAh2jIkfGGt4r6X2kW96j5+ZbxQ0hi70VtY
c5HHYdWIqOrNgzVVy0GsClJtTM6BmKFyjx+9jbxVaSJmvv9eYlyQzapDNasipa3aFCNl/az96FWr
cmWV6Gqtn2W7WKvn7Zh4Z6LE/dtJZRHguOqynrKJVwPYZU0d+X5Ed0fLqpYhaoWdrE6LYE2tXRW1
HGmtXzU2R8RO1HiTFxrLND6spIgwWVW5dNXnbIS6aVXsxJA8u3aVbVipQxFbdb1hVfjyVevTV9XP
cAViy6oEUspvbaTBEYkQEBcOplU1rJAPm9EgsQftO+pXbRHyc3JZrHqjtSqPbdlRIqxqZL/qktOq
UE42KgmrMp/Dql7aq45JgBr5zd74blJBrjLdkSdFtasyhMp8VULVUCdbvtXNtKqkEFN2A7IpKssp
XnXUUevmi9ZCk5u9xjgHq946rMorvpxdFUx3xJxU5wLXyxXUqR7GGhPtgsauvO5JOp22pi85Zequ
eBnpGO8Y1NsHS2hDCG+MMrhNZH/fWRo73DaYMbtYeKZpldMTIOV2nDptdtM35fQSBxyXGFWDp7my
gHiQGYdw06B6pTKotmIq6HHwC9x508Q5R5gbGpgJHGSw/PbVy3KeUDmJlE91wWqWU6L066Djbuz6
54lvlAjkid72V4hFftRmK5UuC8wR+OGIfiDMtj72Io7hBTR6few0RZXa+bXXbbKymLSN0VTZDVsJ
zeXCwGNnTl7+5pnUFyA5AJcwM4qfcpNHuG/F1XausubeAM91Y4EOu7TXJwDlbv7WtjFPhMDweGRl
hTJ2VU587IDQeLs4MrsZh4L1izGx563I4OqqqSIPeJiYrjvYP6O+8+33TrfgfCFzffSjZx00yxrz
MGGZ5gJDJH8GmOQtH6AWIkxnasNeiPGAVoTJb+Al8UwsY6QDdro1yct7csaY1TFHSH75DnLe2St1
3mPV6HRR7kiFyeZIQVwZ30Prl7yggYG425Z9Vm8XGB3RPFTta8r9t89cBmtYIOl44zkT7sZblxRb
o85ulg6hIOuU3Buj1X45M/1kPDYt1AXeWY4719/J0eDlS7Iu7xKVIhE4PTx3yLz+nT2v0pg2VN/l
WqjVDqhekdugnNw1AAS25RL9NKrMcIdHb674g2WcmwdHcohE2HQX+CICu+Bk528/V1ruDPw0+BAg
JoyFfiWbJzI77aA5TS3RaRuKMzROBJYnyjXzearXOcZQ2d5d7yT2oSni+WxQ00V9T1diJqNns1PG
lzqOdn3UqtUTYcZAYMqpGj7BC2Y3td64JxZ+l8uONPZzrOf+eeo0uPZckcUGYFD8FpjoZBMgK+Sl
eOaFpM9P9Ehm2pVJqt3DHZJ75VL1dgndWFMOwfbn26qmqrnPkkWQUFnE5K8QR8CaMCtGV4tnO1es
jdrxhiVTMBxuwsuPE4Ntr5y56hX/YAb0Sq7DEpodSbwiVzeiTm9kt9yOmniQHbW6dJq3OvM3SeVC
t/evzWGkr09uU7lSPYf0osr7b2cKLgOLjmTdmqtN7wwGle4h3Q+uekp64UaOPvtXACg56GKHtRoY
OO3ShL5ZN+eB59i4MVdftZEZ7pnq5xHKknHjSs7wwvCTyPVaKzSI7guzarnJ5iCa5jwiM/MIYCa+
NQZtPhmzme/8JmFaQ2pVunebIt/4gbS3S1sgqjBXvpCybMPBLzpI073xWZOXIjvzizTn5rJLs/Yy
V6PY1mZlHLDZ/uqN4aL2nTsekyW8otGiLk2Auyfmi9D8X8uI1RwadrUDag0vdKkxAlfWEtE400aa
vQks0XWb+9Gybfg9ufqspEO5xvxt9R3s2mEGyDa2x8ArEAKGNISaxxecucZu7sCl59NSsNNhPLoL
RTtF66GYl+qgkzJGKlVXRLo/tuw5FfFGD0baUdXutKZ57fSRiWHd6FdLoXvHnguf6YWrRw7hMDr8
uFCrVkD58m0t7bnNfO8rM9HA7KnT3zxEu8goiocBQ+P7smjWlnudfBqr80N9rBlAIHQf7SAGmCCV
4jwgWOwiyZVF8UrAaqhQl4L4vqvEZ7oQSq/X/nLDMBVCiZUwignrwdQXMGb9uFXSrK8aw70hSai4
47Lqt7obG7eWWuztZI4123MjNIEC3lNkC02yjG22X8Ixi62qzMNCnO/Gatv3sWzgu/giiHJDvugx
O7h6w9M+oJfACDr+YjXjtUutPVkL8SOkMrz1ViHBx6DZNDaT5d52HmPcz6HLbUhnVScvBLGKsBZW
NGBXuJp8GmKKBP/Thh1y9uixHgFLrjUEaGcmiu5ClFk8oUiasT/jZMkfc2+kaRZ29SViL/9CLyuP
QV8BxUxEzHhWQ5Jw7WlXCP5uQgQba776jRfnzR05TNiM0o7KCiIoelfv37SwfN5qYBJvE9laN+7A
rohDhbUBJayikruIk3zIUI/TGoxMzLyNhLQ5T64koxLjKMwYDEMqlHtjBt0IN6erdG6J5GlwZ+3k
Gr0fFhaCKV9io8PASliHL/LxCq+VzRVTQ6lpOqeFVaQmHoPz2Nw0wEiO9hoHExMKs43hgT0FeDXP
6EsZoDrR1TVCea3dDFAtD1QKBfT3pttmcxmH5eQ06675/F1XpnmC0Do8Tn02XbSp1z273cBYlrMw
oi2kt/UmgnntNgvxWx2KiioMFVk76g0HGJSfDni2I8K2H8BJwbpl7mX4vK0SG4RdfniCTT3Rx9Op
cDX9Gs57vyutpt93JvaucSrguLT99cxUHgPrPjET+mBfveY9rJkor8nPI3KmD6HEQG9KRbkDuTiE
TV/YewXWb87SZQ/NnsfAyAa7Uwp5qwpqvEI2gieX9E8L0fj3HZwk5pWF9moNwY1Rt+Jr8ojN6dxl
2IGsTXZjGbdg6bqVA5Zl0dgD3sFQba4zjDNP0OZUe8T3tgEAeqFPzpPVzvuZQJ0Iqt39QvjLzZyZ
5Cb4fr7HIbl3aTHD0oBHJ5vkq5uXvTXwyJNdU24lgUzbmWioI/HHoOtyER+mLr4i1+sMTM6JvBiU
x6Lc+TLOca8y2oClZmyRdc9BwelqXHqj5mbrnk9aGu2+qKY8uSOJpYu4hcUErEJMNhiyQNMSHglJ
p9PtBnqyIBRMBNEdZupfeDmUKkUIwbJwtovIZTT7rYnMB1crh8Qrx7GJKjfD/SSgay6/UrKbJagP
i6CwC56Gz/TSd5oeyB0Ey1XyGaf72FNqayxK3CS50+xy6djXCAsvnSLFQrXuOQsaLczVMJxhGZlR
GTg5qMTW+RBzs8BFrtWHIYzheqo8bZcZ8qtPFoZxjimvfSmtyPMR6uyZ7ofWXdwi9JhXCC7dOaFU
2ZoxkuuieW+sugFkg+v9Pg2gXjJmbRbP+/hYaZkLeEbXw6ITdShlNocx+gKPyrZkn8PO9mzSPwTa
ABW6AD9pUWgjC3x65iQ3dlf1Ny4kaqCyv9LSFGjyWXBcEuUSqmqsRX+ChPKhIxZ+eoWTX01TLajj
hX1huRnD/Ty411mq0TcdtYzGrHwoDkrFAFDZkV+ubKbvd21ZqecS4O21SKtfNKBQsBuzWylow6rR
1HETZXX6q6sqnvpaV3160l3PrHgYdmOdyV1v6P0r5Yu7NZk8nIc4UCE10NnKcudk5SqBt2qW1lG3
gy7yFsWdNtbTkztO42UHe/hKldJn4QT22qmoO8/BsWKlHxhC9IRoy2zeVUbKo0Anjf/H3tJQB5SB
/8kCNAeHTBzjzKzBfx7wcr8qq2KJN2UIizxv2RpHPjmL4ahP9UO9jvOddbAfryN+wcG49Q11yNbx
f7saAZrVEpCt5gB4BkZEaAOOAadO4dblOVljpt9wCSUUJfmPu6BejQaIdqvpYPjdg0D1vFoS5r8Z
FKzVrIBKJL/T1cAAGYQJ/2pqmHE3FKvNQayGB1T1KzhooGsTzBBupcvbZDVIWKtVolhNE2q1Tzir
kQKabBblq7mCN/ZI4xdHXpCSBZpjwSC7AjfGf1Sf/9fmMfEjmOv+bgj8H6rPxfv0nmV/TDIgo279
K7+LPoZjEz1AWoGHQIrM6+ID/T3KgHjO3xgOEEgCW4JomnUN4XfRxzR/Y/ORTCfMuphp8e3+XQQy
SDnQA0otYEVE4uHo/XdUIOfP9m+bDQ4flzlvy8WSyUruX0QgdnlKlTuJeS8YJvLMURUAamnwPoHI
oyC3Np6CFDTbr9bD5pGmhXamuFj2ta0tbVhmvhOWAhTmRifoMNJcIxwCraV4kDDgfvCwXI647jTZ
ZLd5Tw7IRkPpPzQpBoeRGJ3tj8nA1PT5ljN6in5sCw3E8TNuAejOiSfAVWrjV600RfygPdknjYfx
aa7LjOxyMUzvQdIu756VLhk1FR9bmCaStrcveqDepd4dHXJkP0Yzzd+HZFpuNXKIycjPl9elV31I
TELh0RSr4Uv2iUH/UtqHhH3YuyR1mf5qBCU2DC0eV9WniP5wvfwvBlJrdQL/w1/58xWs/lu+VX0l
QK2r6X/cNKrId8y1GDOO6i0Y5dZIII459zh4mlmj/jW7gVgEswpuG681r2oCnPDpQN9xwqzQ6R7T
fNl6SOaHQI0SDgacWhNH4aeRFdpz3TninC4IE06W59c01Pj4f+KGaKn9fZKShjQKqzlBm30cSoCh
Tjtd4UU0H8zU3Htp8Jl3bvfxz3/p4M+2WX5pWyexfVU6kVVJV1uvyz/sNLbYg5NYb+t7u6niV2P9
9smrNV4M055vNY9cljGHw13l07C1U6pHYqwGtRM8Ta7ncdY/2sJYxRdnmk9JDSl7aiznPl74t459
vy9C8IzLRDOnUzq6xpWVdGRj+vETYozJmjZSSVFP0LKLUr/IyOzYp1qv7QtG5tHS4IpUesU1bQ26
vNSV9Vm749XUm8bFMMbOxeL36xSB1QEyhIvt7EzmVkdlYDDzWrZkndt2M/3KUhjG5WBNv1rO64O3
lP1FPxgSSCMFaSvH3ZBN85mbsrjxpMbNBI/iorA+dYYJOBTi3hVRkfMI9nkkhxldxxhlEHlxJOHE
1FWPTpGhzng1M/IZ8ni3Geosv67Sde7ol+bzgh35yy8pI5gl0qtDsoY6xPzK2NWpEBfM0bLLchj0
6xjH4q1fG/LaoVIZaNnHEiJIqvKLBXttECo7Mc9aNsCaHww+UHMVvRT5UZOz3ptaoe4qfBnPdioA
6DIbvLJtCOg6Stm/yFH7y5nFnj3sO9gJBDUSMW0SfPfna8fEWh8n0tPO6aCrux+Kt2YIVLSZUK/e
G0n3CdZrpwehij8O5yp5ItAdpyX9zNtmvmldMz52g949e53dRmVa6nsQJC8zhs2oG93qsep4lUL2
cBlyaTHK4ru/amKG1vqAfUw4ZP/SnZrnWac/2HgLv+oyass1WxxZyHG17CQ7AeuB2hT06O1gbJ1B
M7cZijqvOUtI4EWj7n4u2zbHgEaK1HLdd45xZbRN/N2Uvv7ia5V4DjDOP9ea6m4QEft8U+HnSyM6
reyj1ot91/RaFY5zQGKYNY64XRdVeNvCT/2TTzTxsv3nt+7Pbso/zqv141+X8tlJIj57nUSst/Yf
bt2pMwSFfo+PqG9dje7ZMzZL32n3uQr4DYzcpMvuhPaQL5lMCQlog/Z67uuU7F094/FicQ8iCpVg
lHzYJe+FdHEqB5RECX1eD/rHXvhlVs330GXkjP77v4C9Pl6J4uO5jOvwz79ArQrRGyyEnEuXwLU5
N+abrk2SXefGjJlFzTkTdxPnBXAlZLvU0bauX7fveqw7l8bkxjiqepLLzKV5t2bPuHInnAupicNn
15V+/FB6HbPDtE7oSP/5e/95Hv/lw7c922PMbpLjRoLAn987CnLWK3tyzs0IlX4zCRF/czXH/kWP
JfIJPrm6zmcxn0pv5a1jZ2C0UdfuwW8zecTkTUQvmuShdCZcAl6nPQxuhQtksgcq3G6sT0RBZ1e0
H/PtVK14iUFM4lvymOAryuwPEU/jQVfKx5e8OtNG/K81y3BeH7Y59q95FTwHzHvPJrZVSL94hwSL
XtuYUIldKSxC+Mt0fsVXqvb9JGNq7xQqDyB6PxxMc/4yfvjxZmUDJhetaWyV1QY7qyk+8C1diNSq
u41VtO2htFG8ao9bnZpgvv259eJASz77WEvl1i34jyP62VHNvXmmfUIqrwjKD5GN0k+9FWqX62n8
ypUnv+yStOSFd38ocy8+ErWirm3SkTJMK5x85PNiLjKr4kFv18Rqu3OzF6/Kf1kNvoouSedDAUMo
7FdhULNpEzEIiMhBkL3JcWLU/+JCoEjkm/7TlcBuIDUDC13OTzn4l7KBs7oaRSG7M105ANoFR9O8
+Tmby2lGEmGpIvTSdUKBSTLZUYq17y7WZ8ZAnEkQsMUh1TovSkvwj12GRIfPV8+KUOJwqTZJUu+G
DuWKib6nf5CIWz5y/A8fJs3+15h5thaBzKg8TMA+/sKacuxa1oOzBc+8cB3YtYVF1yrjclcaMdaD
QFXjhU/nFC2q9Q5YWx/R2w22O3ARl6FmZnvMmNodSsiCtXjUx0/MvByRRc2+SIM5CwY0O7vctaTY
ZWvJuX6vOCKGZ4G7wNEKhiqzmaltYC3PRtvWEWZCa8P7SasNkkO9J/qQizU3hR0CG/V+sZxXRb2U
xZEATv1CBeWiITmobq+QjZprE8IiRpCxSJ94DmRPQstZiFTtZPlYsqr8WTBiYMpRdG5yAUNsnd5b
nAb4Q9r0UyOM76zJaS1wMAcddX+u95qo3KjHuZ5srBS8B/OXSufXJX1gUzark4bYdf49HsbVjJCy
YRRi/7TtqFRG/ZAkA7QETM/2Rhm59ZFaMdvVCbvqxaVGvg3lT7DcYcFqgMSgxXwQOcy5OnQVmwCc
7Hqo1cq4SpypOC5cCMj/E4MwzV6gL4Bss14gj7NavuijumNdImaeAsPv3FNbXgwak82NEEp9m27h
H3BYalvC3mCO+wi7BLn3atpCFiPRUrhZymoQne3Ua1yFWUeVuZlZpxwCVsM3ThvrEXau8tvzpjOt
c5mFDmVrjHXNq5EOi+rG86r01qy8KeRhgIohIJTe/Zyo//EzPCwtuXvvn4Qf/nf43p/aVGpwntz/
d2dLOMP7//IXfu9rA/231ez342NYWaC/97SB+xshEy5PVhIniFFZO+Hfe1rb+m21GiCYERywLofi
pvjd2GBjbHABl5H0QxNKNob77/S0OJH+cjQGBEMQ+GSuBySpXT+r63+oUJZqGGTtZZhWu2q+1HKB
v7wwyX4jcv+zqqU6oF3ZAHZLJwE+v8TFjWVV/WueuwTPxZ7Qbo3EQ3tK20Xe2tYQPxWKTY/LLpvn
X+mQ5cmh6SxsRnE9WlqIIwxV14iDbUxKw9PiDNMdKbOW2PRLVcbHlETzTykX50p2o/+UokH3ONd6
v0LDNcwlqhvS6egUDin7SgfpyHKbU8SPG7cOHEqQynI/GTSWX7XuHRIcdjd5MEtckZ19LmC/q2iU
bfw9WKo6JZq8LsqROdRCM/CqMCG+29TLzzPjgNBcRPrNkLlFr00cpuX97N3iIAyqaF4scYsWMF8r
ryeYK6AM+/YqTbtraoI9Np6E9w5oiywfe11YToRvZBsKWPuKxroggSZXBgEwRNe+K/bWL2Baii1T
qfTVIPl1Di2/8vfCY2F2E1Rueb8YrECMznhwGoKBLrKpTPZMAvwjuYtyrzdza0Wqqtz7Kk3wGLMs
WnqbhRMRgx2uP2z7sIWSqLab4HMx9LkNacw8PUxLOV66QT+EZlx0xzEu8pX4js/fbBpE/24OLtcD
mCT7ZX2KBK1/g2uadTfM4uNZehVkVo7DCyy+4iPVYn8Ig4xzNLRZU77vymk4ssOjhQ02vbsmKBkQ
am1dngwPmjG+OJXDOlsaRGrHky/k6mPgHO3Bv0TF9BhFq2VeLXdecASxFw/Ybad8W2LiOtXpyG7l
nHU8dt22i+xpxn9K1Twchxxw3MZN5+TWH9pv1miWkSRp1WURCKDmGz9maWOQIdp4k9lq+FX3lqtd
UBqWTzG4mwN9TLelRM/XPRdXvrdG4N+CaJFR09bOLtAsoBS51Vk7owmIZJxJZTipQST5U6czHpd3
OA4zRgqG4kGz9wyZnSGMpbeVGSxG+cm3S20QsmyU8dny/E8hWVIpLw1mC9er4ptEdEFUGY25MexB
vk7ORF1K+NVj4vMzmC1FZA/c22JOtlNN/GZIp0kqf1wb6+gzrjZg2MjLhgV2XAY2hvBNVtze7JXT
s+M7LiaMhpj77cButkJvq7AbjHiXp8Wy0byB7osuadMnVhWVhXFpDoFx3egGJofGPiNOX5ST7lyp
1o55/PU6Y5N6uXDnjs99xN9csZW4xP/F3pn1No6kXfoPDQfBNUhgMBcUtcubbKfTviGcG3cyuC+/
fh5md31T6Spkoe/7ohrVQGVKoqhgxHnPeU5Qug13oFXW4lazq9kh09ebG7MJvR3wyu5kFA1dpVRw
kGDyxkuPPz4Y64KTmt33nU+6pz47bd2fjLQvrsBErdJPKsfeO2nZXTWvfVhifphZlf5ABn9G+vKd
3M2+uU1lBdjQAU7gPXzSeiO/ZasnN20JbzOZbP2RzACrlluUDFRasFnCSZk3ZEbMtDlyN4PBzHTo
s3vTKj95VpNvItIeYPvNQ9pFV8cpY8wHeroJmept0kQMtj8xVjs0i1NspsxZr3Y1PnE0jwMxzN5R
gqcBhuUMe9egW9Yh/BGwPGVbTMj2kbRgQUjJsyc/str+xvYysa2ndLrMhb28mLllsYe20wDAW+5P
JKJOsu/kE2JWf1ajk9NEHrWsKbJi7fATO9S+Cqyn5CuzaLkTRJh8Jrnp/TKwNmaRcg8Vatqh1zxG
IbpGX3vURtMuNBboVKUoNmSTSP8nWX1b9FhcZFO456wx3tFB8XRFzDImivd8VJJuW7SrD8Lkojzg
78224WKuYeco52obZsoP1dU872tCUpdrbg7M+JKJtC177vKSMC66S1t3/DYIzo9DmS17INNiK1y2
pakl+13TusXnmmDzfdyhX24ivv7PqWvvDLvXbu1sKu/0AWrWnEfiCZJU/qOdre5V6pH1KOupfKhr
MrKzXotdrqz+Zlg695gKq8W8kWngUlwoZRvKJvvHxDKrkxu35rvZcktDaB4vk1FTU6CrljmErd+1
rU1YtWNs3Bbj/BjpxUpm1fSEHIzXXYQXDpfWzsODiO10M6RtFlQAMnZhHt3pHvb0hKMGwmovXSai
rsRsZ0YrAMcw2MrGy0nkCid3lha3sCXD57hcxhgtw27f5sTAHL9oQ3Ixhqw9MMeuGVDp05cCsOKG
49/yZA4myYIwlQ3jMRqmfVm3zzUq5WWJw/GyjBUTyNwRa51WHV9tp9cfEYoM7HEUnjGY7UAQzV38
omrVYkBwUJvbioE3C1N94Ik+vcfEDp7wvKE3IxlO23E0M/ad1oIZre+wpncPXc/kcu0G17vus6gd
j2nl7NDdLT7POBvLQ0VIMnlB+VkdO13l9DyJMuGmd0sVDzjnzb7Y9rpTB7M50PSjxLR8c7vB2YbZ
XHJ4TFiCaa1DJGyaMfSjeO73oyiexokjHUk0ItpREh75KvMAx3P+YKq5C+yS3uRIU0GNsfi/ft9/
Uaf/cX9Mg91v98ff3uPq1w3yzz/xx+BHBx4L05Uvy+IpzpjnfzbJAKwZ7/D8AgSJ8M/u+Y8tsgdv
dh0DGNSc2EDOUMX/2CLrwK0BPTD2Wc/7TIv+ky0ym+oPW+T1byDCDsAWQ/5fi9oyPax7W4bOLY50
2sHDcqrPJekmcrMucUvJ4x+xw8RmCKg7f1wSZXtf4IN+j6EdPVoyM+2NXplPIKqnl0xqyZlt3YQz
3XCJyrC/YL2mK5tiCg23D4+13IhqTHjjWD+Lsg41vxyS3CzOmZe0e7xbaXorAd5ilkNC2xE+LI9F
OCMOpH29KeZ1n0cvQACwzd7FCfLYNvX6h0x5VFKlYgwvOUahS9sb3X52hvpkeM34bdHzN6vo8PR4
rXjNx0ruhUrUW1NkYoOrxSFu2L6bDRURPiFv7GXSaOLzMsfTQajK2vFFabcl4xkCjHLYxWAam3DT
eCwtDTHgXi+Gnd3mDHiNZEzvtDg2XoZ5WrG91CwmbElbShqvM9C4a9fXZQCL5iW3E+95sqeZEdZk
7pXhvUyT62wHMW9CcygemAfVB6tvjNumKJiEYENlc50kl2KoxqPtxMmNp+XvXseOgmvNtI0865kt
hrfPK2340mYyPM6hbe7YIOffizxBYKND5fsq7NYczRtqv43ke98bzZY80vTZ1t2x9CMONjgF3GhT
F7n7Zhg9TxGZxlyb6qVIipda46XLWkE2iccBZpNmbxGiqy3kO7mxlSxKX44lhrIcN5zum4lXPMpl
AiUVilgd1zvyuR5aZ0eSjRwO3uPsgIeVyppYSlC91SCDUsN5QVuZ6cwAQjhO+E6mR1cr07P7eW6X
u3CM2eQvVn2JTUPDvCYmm1cxK8zR0tpbaY6cXGhm8jg6bX6xwWhcYmwzNzxEofjxvLgfm7rZlW07
fe3Wgh+faUO36TNN/fDAXPRoIjQIFDIdL5hzksNkl+2lC13M3JMzRt9igqObXJEoBFILiXzulTzr
TIAqP+mkuMXiLXyn8Zbcb0pDlLDEB8+PXEK85jTDyiNjY5BNz2pcAkImgRHFw26IDfLsWqGlbBIN
7zwUBUbOjmc7zhFk/p03Tpek5k3J2lGndpnb5whHBPtStng/KlzbW9fNvYPESn5pbO2bs9ig4OI4
TX2NAgzfbLTR8DmtFhuTVPpOpsJ7wYqc+UMjzyrE7l64BK7oyhNfBkfPdwauza9ZHS6IqMWAoDPE
zh5Bx/YxUI6fvcoyeeiHEkaWG+76jsT3pszG+VyNmtVtXBIGJ9fJRhUUiLLbGUDLPdvCarvUeDIc
B2ZdN5lwJwheXXOCqns3H/tP5NwrSBol5Jw0RCySXpScNWXC5ig8t9i4Hh/JYQNC7iz3Wlh9I3H0
Zpg5nAwpxppw3iajuzwPUz35AzOLXWwLclLezFfSWeFN7JbNvcOTWA/d5olJqXP1zP7QlOZyN+IV
2fAoP9k9P2syBcZ0TMICW9foVPeAdigHGfV28l3lzo9Zm6sbNosMTI06fSOiWjMHx7bZj3RFuXMS
h8eSXo7HKa2NjYdZzJyUuMFxhHmyGh8iq24uc6rSDYunuG17vm5s1LQ9F4nJosCZKTJHcVxq/Rsp
C+dWUdR4BPxjHIu2d/xEb9mcl8pgsh5G+wZCbBAmijpsNcOaMczuEXvd/L0QSm0WTc5UvmClknNd
MCLX8Q+juMYbPbGzvewnFSQhC7kwlu6cxP30XObC2tWqjJBMB+dGkJfC0s9C5MFoDELCyq9mJSi/
gk+z0aYcGKXVzRpOWdt55SG4HCht0L7raa0hDsQmJS9W/yMNterWspPq2taYBhSAQjRA8R4tRbSt
9TwPjGrgWDG0Gkc7xOxXZPfu0hT5dS2hP8WeU3LoatSZ+HJ3v5T4v8bJXe6Fnnh3bbyWmzOsXbZW
5DT7wsJDiDfJDdrMHYJextZ3Kv6G7Sinrz0e6k3Gmpn7YTbGm8axtUus4YCtlD2+KEA4G0tXyxWy
sYcxvXJegafx2+CIDubEJYCfZBNtOr3GghWRXrYT6y3LB4Kqsk5u9bAs94uo9PexiCwc9sszxrFw
Y4yzcbAHh4Ol0EL7MUn0CSrB4h4ZvFwXoR/ZPaCbs910tpmY+YJLw/YCmQwPo8qiF22yYaj1VC+g
Y8T3NLzMpa+xK/4kIqc+eWYtTxFtiS4raOgdWDcJB3fi0krNvC5Lf89mklw2ZZBnSA7ZxubeY2pn
FCuMxOcngazv6WAClig+eq52zcgN4JJsKhoZzDDagAdyD8nk9LvI7fJty/Z2I9zwQqAv21cwC1Cq
UxczMHHyURFt5wcV7/qCeUHU9alvTDmgGzcs0KMblu8xHN/jRKi9NgjnvAyt/KrLPP/StIoTUds8
tGZhP4IzehazBV7YC2ssb6Y8Np227N1e9tsayeW5LeL+ZDvFe7qk3TFOYb/VWbLypUlH9AvlTP6k
Re0pwcFHpCeyrm1UVvfLCg9xeXINoDMfiM4br4AOxgtBXgaZmPqHFz1JtEO+DPalUEl6MhJ7V5lp
zTmBHLhjfZq00fIFfKBtUpqhL6Mhf/LcSO37zq3viCbrm6lVgGLq8LtLPITzZBzvcTbjtmNTf2gB
OF9iyxrPys6iz4PXEp5shypQCzl1y7GXHyClnuKCA7qRpfIxC3kLnZ6R0oGm4TupeTOwqm5VrL+F
LYaxorIAjajqksOTI6PP4TvUree8zojGwOPYWjR97iFKI19MWfjW9PO0t6akecOfhsrn9R6+Urof
5Ui1Z+60b6POuuKJQt9FqAfZ6hdEb3zXepu8ygwsW7rpcvI4Ucssys9Td5YVqjEgtGK4tXIIh1A+
yV8LmT+nmlM+sqnKzmXt8qi3dQYGyZhxZKqqTqcjKlK38Al2hWOqvcu4/QZ2CKitydb2cWoVOxEb
0UUyqdg2CCqHCL8gHm0QOfdYmadjbOUY7l3KZec0tcldjW8t3SYbqC622mPsXO4U+Z9NZjf6qVqa
cme74/Teu+hmflvDFwmz1rH9LI/qkj7q2grsapm+llms3hzYqoJt7nsReWHAG/lR9EW9S3Go0ndd
as1xboW7KdJMOzAyz5yNrLMiRf7Kyhs1GSRxMsvZjkPBsA7KwDeYCwbZ4GXkkeYQC7U9QXAnS+/Y
9266ZG1tJVC7E5QbbZcx1E8L6wAOd3abMVabQ2hq4ocLDtHv5nzw+45AS+V00Rb+WeOz9Wi2sEUf
bKhEJt7iGdMvbd2EvgxSqXzVbzBHowNTr3Ary17RhDW3+Bfavt2QVmmDesxJH9TonJ/rWDTeTu/l
SrASD1LxQPLJoKRAiTr966RkfgdAjQVhMHJyP5mxC8sFyNqjO4V9CoJ8cOPqa9IXA7k3JCuveJJT
nGXWKbTdJDt3k+tVT+M8cNUIcU+axgS6ZKfspw1sJhTKXJd0qhG1DYAhZTKY46gMtC5MUbnI+n1X
QHa+jR7vkD2C/Zk/U71pMH92szGoIxbyqfH1AQox6JHk1A9ufVMr/uuqdapXk1+emc3NjleETOdh
Xe0xB+8TaavKj9RUMmcWCIjJ5B4dCAz8gjnM3creeVrA8fg1eadvVq7a0F/kos7Q0cctGZDm2hS1
6adO0ZArUsWDGOOYvHE1Y7+Px/5g5R2dMwxFA3Z9BjILWxhjbNeZbJIdKNS2tkwujLMoWygCAqdY
AktiSxRoCmxnLph4aryeyFQFGn6wXlri4syGE0U0odU1w69FjrTBlbsyyMRGlnczamx4F6Xg632R
e9Mj8akoGFLUhk3XL+JmVpGxSbu2DRozn0jZ2a7TI2IrXCY8hYk/kmoBMMBw2W9VWZymIk2fIjfv
Xju2npyZ2uF2LpfoEemv3bnrxQ6LON1T4sPpyzYKCOzhQON0VU4M73sljnPa1o9hWIguoH4o3fdE
qo6YN8prF3kAx2q9/tTEDa4xyC2fyyr6FDJ8vlgGM2HCO0I7mMbqaiw9vMD9IM7SK9QjFKO2DMJQ
lfKG0L71UMb1u1waYj3UM9J4pMVi2bjQzRI6PyMLfgrZ+bssn/OXVBBgctMxRO/09AjPj25QAjd0
z1h30fpggG0UNAti65FirMMQPW2wDQf4X2jvdjqbNEcNB6ar8UQEsPzHLwu7Pnb8Gr1zTTXN97V0
M9qZvDy5NhHcFFEvWCqg3Rjb1tX0rSFBKZKhTI7xsqQXOLLJsTA9eQvXgQPs5HAzCe1L7lbLcxzh
8feZ1/HhiANVW2Fn80vGUoEGP4xis6RyudPminwJYOt9Zwz5tVz3SebCfYXVpPMRGEFMGxkhDHa+
+JS86lCmoQ4GBd4r5891I6vbzcU22VwnpVjpBgtJ1bkemXa0kCnrzxXtl8WdnqWtCYTM4TBW6zwF
QERhH9j0sUPQAeSHs3zTSOmM97pHLsiJCWElJf2jL105qelpGTUif77WceDt7nvRYu/Z9r00pPI9
s5nGM5ekcUGiRRRZbcxWr0jo/K/CGtrYIkh2u0TTPtQk3eZ5MX36k/zzN0bOn51bf3ZkuLSCCRve
Prsy1J119vlnY5SqpzHNTX28pdPDDjQP2V03mJtNxVEDXxlGb0Zh7ofUOJmZvdOsZmfH+taV1HP1
eMqqbstH3XtLCpAr2f/+za0+3r+8N/xOOpBn+PwGw9c/v7dCH+pShFTgKdXcSsVeMTwk/9Rw+ncv
QpYc3C7DEiE/XgA77SYOvcOIwktjBv84Wr4rZfUvA9d/R/b/KEm6Kwj8NyN7pO8SluSvquTPP/Rv
VZKyKwKNBnVKNrlk1Ef+vj9G9zrzeVjuK9bfo/Rg9SH/oUsa6+ieTkfY55Iz9aom/luXNKnqcyS1
QKAEMKML/O3/9//8Um3Sfvj/f4bp0kDz631K+Q4De2zv0BDWQfBP3/CfRveJkyDf6G18mmpy1eTi
KvvnmPasaonUM0+6BbWTWIvKaoyUK6YYbWxwbdJ0LQfIQ6MX8PndKndOyyKtcEu/7zL6nRDTA1nN
wtrrqZy1h8xLm5calI29AaBFV/kc5qBOB6Md2CkXbu3nIacVvy/EQiwfUvPFSx3Jw21s6K3Vl85i
HFl5W04TZrMdQDTGG3Os4F22oSK742r4YJkCfv0Z0e1cD0jSIswSU0HetYyqbcMOdIQm4+IZXRy0
zMRvRmzTfjH01xa44U628Nh9NnLC5MGuJ48qTeeHKRbdbRMZxXXNm5dbOVUaTCp3imy/tEXEaS9V
19xWpLOjsUYRqeZDRDvMyVBNwgza3RMfayDTVUm1s0tS2UYbA+jpKLrXg8kGs2R10njJ1/FGYjb5
o26A0vVi6y2CiXbH0NMLgG2a972RNsehmq0g1o372FlwvJWO3GozsadJafm9KbX81izHqy3Y09p5
zqBPTTL+CiJM7S0GexsUrOysFwVMMGeqr0PDou73cRLdsO20bsd4NZKxB+kvYtzWjPBvQ9UUP9LB
8XYDDTO71savhBDWXg3H+2qH5JX0EFKWo8U15CT+B07SiwfzwW9QKDcqt0/DWBFPA2L5mDateWVS
O51NJcf7pBUQErP4S0oD1btdOWPAQ+OMNDUHNgAnH7elxZNcaQ8Dro3HvMkKFK+8vTXMLMbBCNwq
9LKHJk+7W22i7zDhF/tMzodexdaYbmcwpoGabGOr27xTDRoZs9QwelpcCX4nd2uARmlZcdJm3E1i
Vin9bMa1OGHJ+pbz399FvZU/4O+EOgTRwrtKQK0PLqYJJLAwRX4H13traUiaqeKJksFE2y9aX16F
wR0tnb67GJllnWfsnaoxrR1b9/amoiPtFR0Q8Dfz/fhkpbEeAObMaw77gxXUWTbu2bhHO63GX0Ev
3UnEzs0wtDUcJoeZM8PMdOOmE/uuMscD0HIPQp6dgQqFYCRw237SeCKQUL2CHRe7UJ6tAfoQIVJy
sH16H5vNndZhY8VPHXi5dWXvkW9LV31tlZTHIq0+zWt9BF7Ot0I2+Q7iDoO9IjHOtoX6ROj7nM/f
tIiAZaXTSrH04sXqPaLgsxce1DhoNyNN9tuwV1HArPSVxbC9M1Qx7TRUcZr3Ivs4E63/ZME4BN4r
W4RLrJ8a8UzK50+SLZsPaOoVTl697WXR7HH7Gmx8T0uXXLqii/26Aw0CJaEMOUKAc6H7EpchWm7B
TFElu2xkKm+xFbq6oZk/KNeOjpRJQJPlVHakxmd6KKZ82ZddBtKZB/Z+ySbnxmoGGGOYhJrZCrMA
AXJ8wLb7iai3dtDq2b5FtI5LfmBVa42C9Dk+VC+odc7F93M4msUFytFt0bhfMFPaW8dZvKeUXeGO
NrcMBmYS3s+mm9wxun4vLYVaU5MkXxL93VGDTQ1bI7q3tuEjw0VVQaNy48zQkyO4YXNLiyjfDIWV
s7+L8/uZZdePJ9Y7uhuhrclyflt6D859yPpM2rO7JPM0v3nzBBWPxtT6sW6IzAtSDJFbFncVaAg4
0B770vvIDkntK85ETEssNnu5PeAGXNLqqLIBLmVSdnRfqdK7dqn8oSr028iAMjXGbo6ogFGpBjPP
sUo5ZVGFGysp+omDc28j9qvE0Xb6ApfWNbpiN8eAwFjckTOn/lOcz61uHWasraeiFHHPs0Wrv2YY
IWbCSClw8ynmUH6XNW4FU6Wa3EPWI4BcJqtxHiYe2I94Q/iJZCO3HkrVYH9u9aQ5xUsxtz7NYfaX
jrs/2eg9PuKNroXSgpeq5LUGl80hgXTlqTLoSavnUNt1XlpGh7DujnNiRndx3uePkE0xVTUDfO8Y
P9i48RiuvyrXard4PoqDnkTxu8uu3/OBEFOuEuGfuURmg4FL/jRzLSMdbYPipDuawzD4BJ1IhrK0
/ygzi605DR7jTTe07T0e6VoEEm4WHjbizeR/bXJRPt0k/YtY3WZ1I5JXnsnAT4BS3RBaLu7CwfZ+
COqvwT7noYkrNhtetAwnW4GlDas+Y6rV5Wb/NLwlP81v/eqDi1ZHnF0Nx2L1yGE5wy5HkmYdL4Zc
RYS62P3Ur946pKn8m5ZS9X0qegMQvqOS8SGsLecTzxFvq3669BhxYtySUoXUyJECODarpy/jVGOx
GEWk27NyuJ8khx6oD7F2n/w0BRo//YE/nYI5WQHu4tVAaHjFAvWozr5ZeKWxIoOHa/PR4NxYhkcG
VgWwhZgfq6IT9275aRnETu/OvgEzvNjOhidusMOPr/Y4j99DN67fME4Ou1JLOeBqkRdhqKtn7USs
YriHK4+KY7aN9tUSc3s3QySkGQbm6KGXAHoPUhvVmxdNWOnnJeyPSsdUGKRJip/Mw63+UruJZflu
ZXbX1GL6BpzRrCENqPzIbw6GWW8IrCizxQmfd+5tTdmI19DrQmtbJiKbAn3Q7H2fW8k19BSxGXOW
m5KRBbwZ1yKObmJ2RMUbmDBlhrzMY1ef9LhzAkdZIpiH1SBkoL/KXC0bapSsbS2AGTip0W2B13uW
r7fqQe/bLmiZhF9ybSATK4nrBpNM1bGVVlP6RV42r1mTrsm4qG918i9t9TmbQf9sO1h4NcDdevkO
qd+8CQXTJ9NwvlhR7D1LwmTvVdRWOxOfYB6wxGMsm4eMoDhofVZEBrPimEghb7zFkm+D3eQHhRM0
ggpjL9gqzdn8IkfmxF2om588ovYJnitzQhhrGH2WlVEd4LDxr9nSZ+4BhuR8dbOwHjYToYj3waOA
GcudeuN03j3YHvyETToZ4rXHxxJuIzH23Eui7X2gRfo3r2autA0LJ9JOpI/Dz0SOy2fSik67M3H9
n/u2nzlXahrI0KZlXE5m+ZhG2b1Y+uRzXcrbaMblFxcDrEltC+qC4dLceRQte+K2J/EdRF7BGNIG
GnUHa1HzXQywezIOtvLtZrC+0Npn0FGDlfxTac2SsVwxIi7rmqnPG71NBCDRKLptO2PZjljWj/TN
E0207C5YlJnveiH6i84E0Omb4nucGqvPsXckpQxIz/4AnCbInK55jnAlfHGwge+GShC95ttcVugD
BqfYmDJimWYGpSS0kXSSJkotuPNW+k0BBih9Dp/EuLU4Z2kxx5uKsdFLjif3CYEs3ovE1jgfhP2l
YaaDCktVJe6vwttEgj1iMUYnd6FOYVcShDm4iYfRi4rE7HPrSlyFzI2ZAsSJDfVEKcPZMhVdzpmm
q9OI/ePCJ8wvhpUkX8Ml6eB2dR3g8XrYRZ5ZHus8MgMjW14UMbV+oxt68x4xoLk365rhmEj+20T/
77r4fzolezQD/u6UfKl6gnLv5a/u9n/9qT+OyfTF42GnWt3EOoMfnczuH8dkC1sPAgcHZEf/WU7/
P8dk0/zfwnANDDEu/ncatf7/MdngL/Q4OXP2ZkkX1Ob9J8dkc1Vr/qTm6LrO8xZnkS1tCnWwQ/+q
5tB7MvbQT5qjXYaQ9dJU068irhegFYnaVXXqMjpQxHZaTYZPZHgZRBRleNKahPPpGlGSObm1Sjjl
HoTJsDEoYip81820J1cVbSChJSfbSnTeRo9TAEwlIc90DUFCOc0/WQb+SLWGyaK4CPHQWkjPwKEG
mGa4cfVINCPhM205VDX+7b7sp38Iga5a2q9XYM3FExw2UDbxRH3Q2lKc3kM1EAKbGn26x2juURVM
ZtPouvVz8b7/dIv8jbj3QdriiluERgUwJzIKa3/Rr1fc0PCXR1mmjqNG9G+K8i+rdXYN5f7bcPeL
JvJnDeSDM2t9JVqr8I/jZPJ0Zsi/vtKC93BpAd6SUajbwODE73szwy5MQMkjoxRrP8dpeP2PP55E
GFrbbykDR8X89UVTYbRjUbb5sXdi3CDaetBthSFtsLY2bpr//NVstCT0JOqkEY9+fbXIc8ekLFLm
5mK0s5uyofAA5RC7eZ97T79/rY9Viev1ZMLDi5A39zDjfXixiRFkjN0rOdbxlOPTjgFZB3VdVIHb
6BxR8Hrd9U2vX0bSdAfUHIoVoN39U4/SX2+gNTmL/0ggapHg/PC1omnJGUJreqx76MTB1M4t3LYw
fPIcjiv/cIH/eg/ZQtdtw1g7TIF7fqiXa6gJNbvGSdkALstD5TZt0Gn8gtnGZDEzyQTPtSyBXf3D
6/7dh5SOTmMFzkLprMDUP6vMWZSCJ3Yg3JZjPSCm8W2OZj/CmU+Y9v/+i/3wWhbQClRmT0cqZBUE
IvDra1mJNupD7CXHRK+jAOiRZH4jmvkcgdR6/v1rrX/Xn1abn69l440jiy+FZX9sSUuLzgEPwD20
zMuoB1Uoi1OemIMe/P51PgSX/vU6pkM+ikWG29X49TP1Tt42TjUl2CaAdgbME/hQ1lxioR7AG8RJ
Qn33BDSZ8RYzN+hrRRTf/P49fLh31vdA8IOFDq0XKsjHe2eY9SypgcodQ7oPA6a6teFHixbdhOZc
nKrIBUbtmPM/rOc/L+GHS2ywBDH5QYHmMPvh6xwiB8EglAy1EEVeGqajJxDM861Ky3jfmAo0XadV
E0fKeYrkhhTyPBxHp5y+cXaswZMQYToBSgwPkdAwsHC8ohc11R5+f3X+7n3afDFrG5rHkMP58NPK
bDMcF6lpB6Llzpd57q0Gc17u8RXlzugcOLkpUkqpJpFBqzG7YfzNWMyEBnXss8o6s9sPj1Pimree
5rRyh6OuStmce3LY//69/vWudWmmM/GkIuvT8ffhrQoP2hGnUaaDngC9lXEmyQDetd3296/z118i
IwG+MimZVK5ggF/v2kQjYh9qbUKiEKKBl6yh6TKr7HPeWvbj71/r43LO7ekK5g3Gz9wz6tyHDzW7
rd1aU8pyDpktiNxwCEgWgDfnp0LQY0UITNgP9X6Sr1pRRvupsrt/uLC6sNdf4q+3K/XTcH08qtlN
3s6Hz5w3SjP4ZdCIhctvPsrcYDHtvMlUx6hXy4NmOuKLvcIgKBxdc7wqpuAmoW4Oeb6AIwDkLDx5
fT/fdwSaejTQlPqSGisxRrWsWG7yuCU5yJT4uuRm+GOY+vyTO+fLDcFBIGFe3ThrDCQ7GVTsnYdG
sOAS3TCuENWcRydW4tABm7nEnNdAxKpEwxE4Lg9zFJq9n9N5elcg6L3nIezZBWT8TaspgtveVIY/
4AbY6lQWNWGYkmjhYUEEa3eppM3GRxNY9wgVwpBf1ob1HiPFfC37wnweTVPVlLr/rKFARfuRD501
BgUez5jpdRrfRCa/bMtmadGbIfnSxyzeFT3sP6IKsQvPI9vGTRkKTMhj4kU9/h7H2jMXYTMEFq/9
5koG4WVay1e3Hhv3Sl6J+41ff0SFVOXx8iimGnJ4y9rJGVq+LszAgynzohu5/tnWrngbs431qU5G
Yu8yybUnrzLnG54z+ae6nse7n5c3dKDPGGUsHpRZx2TEF5nHR3LOjnky0EBvMo7NWM4g8Kit/Lla
Icaem25hhXLpa3grq4w7shITues815dDnyiu3YzBBVaAEPETTivrpW8EhmKDWsf7VTVZA0L8PWOc
xDdoM3D/apl8aahbK/2waeaIITHcJh88hP2YRqb57JZDY/iawbUtQLN8yaPC2OkExt5TuwZZyI8G
tEVIF8uDPWoT2ZQMZK8Y6ukuma0hDqSlJ2+507E0YZpHgBcIueZ6HxbrTMvtCZBt5phqjWCZdDYw
elEtO6CJ3Euy6JabaKTEB0P3Cvjo2gEajK2BvVs1zqCPV/5KygdofYg+BNpbbrCtICT/Ho+RIDbj
cvcCwJvum5B47KHHeErRU6U9OYT3+B4ja76JtDw9ZW6+9RaNDsTGmu7AMdY7JF+dARfu5xroNwVk
VUMAPk5gqTblmbq2FS2bJ4FjtOJGN8vl1NfCOZjSDp+iTm4rq8/ea6fMbmZeje4mW94Vi9xnCd0U
NbxQlIPUfHVdfnb4VEmmzgQ+M9h/QpuWjcGZb6PTprXzJoZKyFOYa7iqxicvGe6SqJxPqe7t4phk
JdnYCl+mSYJNA7AHS9GDG8jHyjMaczE/5Uhka5pghft2tvXKVMu8iYrkrplQrzHGT8FA6dCGBw4M
yjp5dkIHHbFVxjmnwUBQObFRXTnuMw/2J1DqNW4qnMBTkCoTL7628fwFledd9Vq7TUHaBthxy7Xg
wjhqwv1cOy0ovP/H3pktt42k2/qJUIE5kbecSZHULEu6QciyjXkGEkg8/fmgXbVPtXuf7rPv+8YV
FbYoiQQSmetf61vKqfO1ngKeakNtvxeOe5oZKjMeTa6xn1DI6PpPSoU3VSmi175G9Ynp0DjFecEC
7C57pMLWVz9xnEs/d1QoAZg4GQp/JVW/50w0OoDCXjBfkbhaGzvqfhIyrQ/aqlDkaWYIGYdETnqy
KreyVqERifPg5fxAVU7eZqW0PT97s+vspjHHxNkrDPPERZtbNkpuvBkh0GwyAbQCcEn0jKw5PuqK
inSGIwQcVuAQ9SUjNLDoamLnZoRE0gIRZsp9TIONLPim7KIvbWQ+BN44PohR660zD8N2ef4QjKxq
/PBJ3RR3XS9mgioYM4+u4bIVsDNmDK1mL5IFE8/C0u/WNP0mLEXlSBYy5IkgIikOdcrRZ+D62xRs
83ZUmrj7AexlvW5ru7jtzP5F5DMm9RGzhtvMzNeinCnbpoduki7NPEQy6y7blWnm3ZmooDtfDNG3
Po3GG2eYKIMPx1OKoR2kE+7ldwc4TAjPEP2ZuXdrHEvZxifygAxh7BEheVYFF2bK3oEjQm7c0wwj
toVusVeRvDGLXr0BxA5+9e5EqtYvLWzvhSe+TeMs571JxyimqJF4czWwHyNWdKjnWV4no/GZiXZ6
7VRVvTb6RuCIHCUIKotCi9oa2p+1HQTbekw1bCbnIsCvUrHTMtZzpXV2PURSDLNiP4hc3udhA4wp
dEKHw38au8gUrfVkQN5cW30uT3yo8nHyGDfwECafTajE/Zxms7sXvYFq0JRwxCssWIHPJUDytl5p
SlD2I/PqnU8kD5U0cSEAd9UdxA1nVYRWegzTxl7wOsnGQUttVGjtledxYcvy4iMfrMNC2ncRRc4H
rxHOWUagL9uaxFToNRblQmO1z2m82eVzF3wMi+7LQtOsVTcmzjroqxbbNe7HfaxKO4fZZeHA7EI0
V3NyroMZVLfmjDeTrsLKX9XQSKC2Z0blUv+r8n2eleKNYj9EnKqJbsh1BhVGNzc/akPqnz3H8TMD
geGeXjpslGB1VLc2spJnOlB02gAr5V05sS+QV8atobKqU25pGCWqry9jWuSgArz+Nuim6eA0NKCt
Exkcimluj2NALEARpripGJ9d0qEM9m6kiu8L0BP7ei2bby7EgZ3vp9kv6RX4NmpRV0fm0mhJZHZe
BGWIBS+9bZvKzdfSo59t3QF7/jBrN6Uy1uiIqtULRjawQPM2YJA39M8NNzifoQZX6ZZPPNlmhf05
GpIgA5Y2Uv7SgfsdRfoi5FB9F1apCLOkxiaQPAOhRs977ZHrhsPW31mm6r6nbcaaDZCkIBEg2yyi
o8nFues99+ZQiu4TN3OAzdstp/hXTJ051twup0vH7UuOSb3xq/Hj8jJ5tX1NRm94ZiCtvrttErxF
g2R8UZbkt5iMz8Gir8OIEPDdyqI8GL6rT7adYhYpfAW/jfytmRUESgKV06rbUBiDO9pas4uKrtrW
YtPnDaqG3YRMyfLJ4afqp4NbpubFHZOcoPvIMwOeIjjefBjA67M4xUBdUtoirHBBGbRFPWx6165Y
zjQGzcBJbXJJ4MuOnpx4jFioQ1yXuVyaCWbjKYHFspM02mxrHgp7x6z7Uz0nw2fN2YgTRpwT4ip4
F9ogeQ/t5VJGUTIvsahtAmJ2Ox180wlftGc7H4ZdG9BkhvEcBjp68so5JVnIy07uJJ9pG1AAl732
PazdhO2kKddNlzyzMYa3GvomUfDmwXfgDi+jmZnlNcxDLqrixfRKEyu+8SAUQB4asij0EMHOnelj
a0tsA4TlC7qXY+ROAS7ZKuliDThjE9OFvE193XdqW2MaczknY0jpKx6ViznasHeDP/5kciv3nOXd
ddPacgfMXqyzwj/ZXUE2EtryqvAWCDeJKKLYBqBlLmcznawb7VHwNltQMnjhuBqCva2bbEVDZr6H
wzU9Nj6BHHsIogtc6l9GTdNcM5Ot85WyTwnC7rZDzTolrc4P0kQesCcFMaJuhz3db+b3rCc0zxmf
pw4boZM7VO62o3uRuuoeJkM/pefMmvYZ4YMVjQzTmkO1v+lhKY6+SY2GO/kHr8WTbhYq4GgCI4/E
Cw+IKrybrM5c9Xla74K+g3luVNvaqOa95SfVqmjke6vpamt17d/0NdrBHJlHek4xXxkfie/uKlCD
7FPktSw6+MjN21jMtwOULuLSz5ASLyy5CEaEvG/8dv6VNtGLJfG4UChVs5vGFEPy0UxGTBGIlKIn
luqZ3Xpuo2EjDct7rpa4o1nZ3ydpsbGCPrqhABUsbttvpG3u0qGm/VuM5P39z0KRvLALVO2VZ3Ai
iMZh+DY78+eEq9bHc7trYE2Nay119M2suwgXbxtkJ7fF46W1htyQOHtr3qomeYXqxyS2j89e82wG
anhqgkZu4y55FE4UHwTzRRhrang17DbYTtiGD4ozzHkYWgZTxMO4zbV58pxEvEJ8KvdJ0VDu1cWw
2pLGRx4d0+U4Aet32lcADraMjb5AUPC18RUY7S4upge4dfIHxA3GxkadI+iA4+4Cc28re3Ru+qAg
4rhqYopFcrtdXs9uMsoAEJ1HhAsr7I8RqAK5E2NWtytUTRdDvYktb0c4gIhjxn4IjPEggL6Da0g2
HdWc+CskoqnfjRw5CfWuWzpt3oKIfuEu9LkB+a6MGDxiFS1bEQ5SAFgrjkURl/2woX8DM1K0zDQA
p4Rv0JyNbWg0nDEq2jzSZAbSxzPuJWhCfTEIjsG+xHjc68Y3r6lBocq2X+hQxSBYlsYuddZkXzmd
kMJVP9MZEmjqa6Z0VjbvaK8F2JcB5ooKA5E7grj3YHVeDz2g5SQSzcr8TsTN9y59rJYjr+zhhcde
3eEZVGwdcsM397UFe469PS9NjMXYxhUH9I0Hn3snLMH5avT7dz8v7E3Ssv2jd6y+8+jrzqCaHHFO
pOuZR/7RzjoepJ0TnpzYQxToOOSTZUIjWCY1X99P1a6x1ZXfHkMfHCXnBAA5sMtev/4JiUj7wfQ5
9n+RQYXnzQfGpPVHV+B7XE+tjUoQOOPtSKMF7RjmMuuZS/9RZryZzF898rx9s/sSioncMkaZqmAz
ZOjGeZHUmHkTSngMyY9YxIDDcHKVe7/wum9V0vMLUPRWgDWd5vsO4eWO/nTrlRYzPvUyA+UajlN7
bL1yusumpdsYg/1hzgZIrrXWPQlYfi/a1sKn2uPY16i4BkWm02bPVo2z/TDkVE/TVE1bUDKjiiBe
shhgvSdVjFGscpVHe0ZINR3XvzkbZ1lF9QfiX0InW4qiGMw3sm07PO+5hHPIswObVhnN1a7HleOe
84ZeBo9w5U2VzkzIZg/xKpyz09d1Z8AC3KmUT8CZMadhYZzv474DPqIIpfDzxbCXjBJ1DQyQO9/n
w/Ke5ANTNov/5bOarpWAMYeNCjYpScKLXVrlvlqkuG4ANCiwZ90C7qEkC/74zne5Anp3ae6RannB
PPUfI1saeDAVjUdg4ja9qIPNVArzFWjfTNDbbY+iXP626nm3LKqKGMw7Ql8UL0TzRCs94juG+RqT
ycRi3pMWTzqu+9hgew3jjQn8l/BEQCT8NVsuolIKZ9aZeVE8fdUHUmLJDLu01XOPueosrTE8KWqB
P8IYfq8OY24dI+YWdp2B2SR1GaewtqqPTHT9UTaT4ax0p3ITukUeWg8cDvgNS9tH/gqjKGMHHELi
lWVinzm3tN8gSfMPCsIqp6HibVIdxNUxozj964a1uyz+UcxF/YGthW89DZ06EWUJjz2SK6bDwOg+
ZnwbEX3c933D18mWYBGL7/fB6xScVuKPdV9/0vwsQTzBQ+5UG57Mnk+n70Nu9ok7MBy0RLEo5b5v
Vb+NKl9fHCTwS10AoGxHTwOs92frJo9s67Z0/PDk5UtZYM/Jx9uULId70/EQPxiLBhtMkXI91khz
Xu0hKXgYftYZPWftaqRB7eSL2fwemSnAUegDOOfiWu5F1XpUinA6xUrB+ihd3qkIR8gTOP/wl6BO
AEdUv1yDrUkqjZBSeEowCYfsA/R8MMQCCg4Exz4KdNTPwOecTHbKml47EkzvkwoW8iAb8hYptY62
MdsKnozYaM5Wp8orvZ3DU2KOwY9aueGvpJrkSXm448jK82Ryk7HZaU+QYZIgmI5KNuFb6i+M0q7F
/7YRFQL3Jq+Tv4C0/4kD/DujgxtQAfiv4gDlj3+yOfzX1/xlc3D/WKh7DkNJ3AToXf/tcgiCP7jk
sZo6iNuLq5+/+isMYP0hPEbFqPCYD3x3mdT8FQYQf9Cway5f9meG4H/jciA38pvIHliOxU9BRyH2
rIBp5j8OFgZs6ckcT8bSdzxtKGbPP7wU9vNqSEwuzhjNik1YpyE8D2A2kQcwKPhxW1xmP3SntWWV
YJvMRP0QkDpuZwq43qWZUqccyYxmYr4K7F0VYtYp5/K98ELnaPqWfdsmPLkhP7fOBTUUgjTYIlKu
ncx9atGCR0F350M7DerWVB9F1WIOwkH/0tNw9FZliTLWs8rh22ZmPX2ABymmVdIZiOuGE9H0N0ki
ViunF1G2rf0m+x5jVwIH2hY0yGrK3enf0Al9UM2E1SmXA3L1ROcMvaAz8dOWw+cWFUjgnXdkyrEw
SJ19I+G8rqY4jM9OKlSwxZmXUNBX5r4DVSKrPuuurt8qmNnXodPmenDy7iaS3fhJ5Ll84+CBgIhr
U99wwmzudZ1GH3YMvilJ7WVnP1DpVtRrHy2NaotgvM70Sd8R+qpoJAymhiFHMYp9PiXZNXCK6d7N
nXm38InY0R+FGGkDb/DDq3KAbu7q/cgO7s5qOgSz1Ck+IY1BDJkKoHSeRTyzT/tHRwPRTbqu27qj
dg7hXFvIIkgWJ6+PxCbVHP6RZUEiMaBoTmoG1IVY7MmITGQjzoFZ2HCVDJ2/OJxyHwc3wzI6WOO8
GjJlvSYiC1/ZZUzHevQoFOdcfh5nG+pGSYKhmrW7HqdwPs+RNXzLM103a08W7XkM2+aGfYX6JaF8
8DzSPZJ0lxO1Vm6Zb2voFummHCWZYYuU6gXffmutJJXAH81Xbwv12d4+SgoSbjbHo/cUsGy+9N82
yMKNE92VAQvpgZlU8sDU3vlmowLfy9njuzGYah8t2nN2QxO7N5ad4oaOhyo+4PlHcdIUGtm9ag6j
ttQDFh2wZdR+vxll1IIcLORPyBSi3fmMj/FbOkhd27Fp5AMJl3lc04lZGa/MFfy72E2whqsApBlE
uTn7dOvKkex4aOiKzLnYSI9Ee1MApuVzzJ4RrOI7MaXdpbM0NDc2sHJrVWNzjsPSBYuho2LD5Vo9
BU5jQtJiQrkxGv7eqiL30iiOqmyji/qakhtLOgzE3OWvU2mlLt3bETNZ3p6JOSTFaiox+U8FA7Jn
Ki6VTn3YEHIy83NpgqlA8uwoDaA8COJKqGhTf9CjcvQp9uL00Iz+nRWkeHNd1FvHQQAFWodoyCRR
bTvGbW9hSIbdykNsomIAIbTOartiRNV5j8PgIZPqxGKU4iIAxbhjry45gnMPn2fv0n++6pi+wpXQ
RCFDlW0DB7BHy/3yEHZAX1YJ1KPn6cuXTyLDTO9EQrec3Lg1qYVHd8aRg5df+KV3ta3GOIxD++Li
Fb43skAu8w+iAA6ZABWV/qVaYgLFEhjIl+hAPRT6njiGTY0CwQKk2wgSSZffjzyMH/I/AwjQ2xyZ
bwWtHxuHnAId7wlxz/hapNwfS5TBJNOg0hN5Wl7JMRrEV2IPkvyDvwQhPBIRaUpap2HzwLCx42WW
2MQSoIhBYx3DJVRhLfEKsQQtEhIXcolejGgnWzrUjQvMUGTyZbXWg/mtXEIb4RLfyPSPtlM3DA/y
ddibnABtJBsLguCOudEz80SSBeRBAgFosSAhQl1ZviXY9GAu4ZGQjTr+9lt/TNO7nnwJM0BS1PpG
LMGTwqweVeIUq2IS/XpcEirmmCn2tktsBQZKcBAxvUtgNXKCw4zfVjNRlwbUyql1upt+ScFoGai9
vSRjrE5DG3FtgS9eZvGpjYSLe26s5zeyxt1FTqO7AxO3srmMbvwlf2NGzOvMr0zO1FR7wyuNPeB+
riayuFf9FePpKjhwARbc+0Zr+eAAEIg3EDvy+2xJAUE4/SGq2DxlSWTdzIVstkZHynbNrtJallmq
KFcBl9+ToJ1o41lehU2G3NG8JJDYO+prvqSStLLa5zmLhrXhAdWwZXLvtUbDLUGeCTZ2R2SEjBPk
leJR5WF4D93OXbmLRcyrTL1x+JgkJutNtiSm8in8iJcMlb2kqewlV5UsCSt/yVpRs71wbv1Tt+Sw
poFLJzXMb96S0fKWtBZew3ANVpySwUx8jnioHwIo2ut5mPSOfazcDaPIfy0zqiuk6W5JhY29S0Cs
xeN/ZY0xzmmfECBr4qJ5oDsWr9eSL3OWpJmHP2Avpy7+dL+CaJIT2FpkwwMXYX6VlZnDv13y0kuG
LVnSbJZl3gm3czdLrutYLJm3PHDkxhiWHNxovXuqxQhsGdljsaTlvCU315PY33VfYTqWwyVYp0x/
je2v3IE6xFztOf7eWrJ4hvLlyetGTRVlMh39nkfklM3+0cgt/09z0X/2yf9un8yOjSzr/zs2e/NR
dh//GJr9ry/5c5ss3T+8ANOeZ9KVxPjOwrb1pxvYMu0/TEyonMSIrlJkg/P4r30yzpS/9sWEZEnP
WqTqMXdZmMH/N/tiNtn/uC9musMsSQQObk28Uv7vxh7UiyBPo8m/KWyOkWvbFxYFyxYRkmY94OLo
G0R28h+I9oVThdeq1MB0W880WBnnHmPxYw5rCZtU1/nE5rcGDQlueAjCwfLZFypQBKLJ5/qaxVAK
xa5oCXaN156G+3hihyoYqbsdgapo16Pq+WflNt1nFo1MlhJBssY2xNqNGazmWPhIaGLyYEasH41g
Bj4/M5xnsg5aCN/9AmWb99jhaQcvJyv31mlncpOIltLkQ94EQ3MHgC97bJtQvqGNOaxK4HOtdduq
tL5h8B6zYdbyFc+NW/EttD9vJ6orkn3NcYUWH10WW8ozg9usKf23hq3oxpDV+A4bA3Ys9+yuGjjD
I4SBXEmVDf6qcmIDQ09lMAubi/yYAol69zuvebU7h+2wVSXys5LBZz7pa2C2KRaUjDJ0/ggvavCd
28RLzAM2Mmvbp45cT+y7+DeObO4HpBaI9lqbSO50pq5IYMliBQQbuKkb+no1Wp7CSTYXdwNJmBca
AghUtBrNexb6Xna2ZuSYLjvuhHEEaQgjOcR5mvzgevDu0wyfwFZVtnELJ4i0r+e3gIVQbMCel0/x
LIBpB0N1ByxXrBXIC8jWQW9fXE/Z3wyarqhdbGzntnIXTR25iUQJ80CVWPNNDsJCMVlzh61ll8OW
pg2wLwASd85IXVfuphPom7CZ3w1dMCPAW7OHdTEfXZoMPtmOi2PcWfXjbOrwOhhNda6MaCj2jGXg
IQ6zryx4PcrtKRhY/fVf9jWYVC6GZ4PzWCcmWRUKNZV0y/aUIsqP5Ym9y5hXG9GHTSp3rLI8OIAa
4hQYqbaYtxR9WObn1zLxnxX1366oeMT/5YoKYnX4zPQ/gAiQCviiv6QHeKYCeztKwhKv+JvyIP/w
kEVZZvFJB2xKWPz+XFEd+YflglUxCVDQPWSZrMP/d4Wlz4B1EUmCXr3lq37DDvwrDIH1u3MSAyrx
D/z3jkPTlP27BxZxL26DOYxODLRpbnYcS9yPFrK+M5b9PmkE2pf5PTVGzo0NsC5in4F8IJDQH1pR
qL3TWM2evTPi+9/exv8phmD/bhHG+ej5PIlMZFGXx89vmsjUoTZmduAfhYJDdCvZEN8GM+NTdlKh
l62sgdpwCxvKNmmxEEWc1oyaMX8B+jz8EZSlhUbvBU27rbUoxLe5Nhgkx83Ys2B31lsRE9ZroSbU
CPXKN4JNjsvEvOXQE3QGBLLeCA6U6c4b18xKuAVWPrrkAiuYsO1zrFWEm8vA5cX8Pm9IOHe53sBU
ZrPNsV2eAqz2i7zBrL6VDMiGmKJoOQbO3Wz5w7Os6nw1tk2hVqzgOVLPmDbfC12YtNU69H4qJm/p
OonZebK5Zae7U6Ed5yewfHm2S5SmnyUF9HBfLgYgzF+kucKXKYyMfZvM7amJUms/DE73mZhxeysL
b9r4aXcDyuZUg6x7EmUygZ+Z9F50Qw8fK1anyVDGJhEzKy5DcP/auI4+l1G8M2grRIgarOoB48+b
6aTdykgAFG7mLI9fKWbCDGwO3ngxOFPfEwckiy5i3W0x9EznSMyP5hDlt60eEricsgTQNPpWtCOJ
435vO1hhso671eTBUeTJbCb+gxlk9YNCil8XYVDceWoW8Aud1souxO475zmNSNRN1OPdznOzBVnP
EFPm45PmUEydFWG0ya+9PQiccleLHsub1frDunNMf+lhsg6TE+JnnKWxcmYTQJ+JTYNGgXGN096/
511vbmB6tthBc/MU0dJ2IhAQnGLck9EmLM38te6t7qkSIOyb0aLPNRsMihO6ZIYFYU9nR5niRyRi
f0cAstmiLUGitFW/zrVqt3ZS9QBjY+Xu5oYuo1Wd1fFHxmVP51Y7rXuutNXMqv9gCmAzwG7UjTd2
w5ZUquToHedbcIB42jDV8Av1DkVxRYt6NjNhbJOYS5qS7nA3qgw/0kxA+NXjRdawK3mWBnLYenK0
PuwojUG3af3Tphn+0pBH3wTT1B6IxiM29nQRvPEkpj8y5LB4tJWftptqdHTMWI+4+54nMEqS8Lou
WNlNIWy0oyanzoGGnk0e5cySOcgYT97ULcNBI2dIgkp0I2uPeP7E+3hUcKnwTFp5fI4yv2RuDQLW
ceFarl21tFooYK3a9tJVGYTuJ5nMERpYPrZP81iXZ5mDLYNq1WQXD+WUEi0JdjJIlrsrDhqyk+w3
1B56vgNvs5fjvShJSe5FVvnHjDSmjMf5u1DztA3Hzj1Kf/Gf+FAgCQbA72QlHN8oaw7aVR34MG8L
XBjWJmMqTagSdKLGbteKd1Jqcth4BPwBXYGyU1fUOPdInxONugBdBWFM1cfFWVeit8k7KXWsIr8i
asAiAuOSqTHYEeafK8VQ4xahbbz3W4U9ilYQxZaU7NItBp4aUTGIaQemCduAsG8BoKjb2b/6LAc3
RQxUCxZFXrywEWroDHb6ajvRrH6h8K05GxSSYwZZlKlk0agEW6h8Yw2JuzEXDcv/krPaRdlSs9de
RjuO7xJ7zJ7rRQELFi2MFBqsh3qEnPwllXldln2mEc1JtHIsYprhtP5dl+jceIU7g9w2Lcqb/SXC
iS9BLqpbv925i07Xzk5z0oU1vsHxRJ1d9DxrUfYmJD6MLAYUtEX3M78kwH5RA2OpUkb3qn30nAqx
MLT8+H7JCn2rVJE8CD0V1qFru+gOklNNSEf3WY6JNe7eK0rEipVLqN/bt4tKGS56ZdzIhvpra1IX
vAMK8ZxBaUwMOuBom8HUp451UT89BZABja5Xv1jfERONeMQ9ATDSNyTfIpLmfAaY4OxSTQ6qzexp
2yyqK2vDdMS+H74CBbD4g4uOdZ6bPEODWGmzWlSYGXgp0EnkXIyW4mx9ibxC24vg26H9IrIgA6se
NklPGuLrY6N+Lr4pOE1Q4OHwSypLbLE5fKYOcsUYYLPMmsl5QcWrj8Q2xJ10YtwSiNE2ciYXopc5
t5NRn9OQpX/28nOkgxClmq5VQSwdUOxE91aBl8wEw11jU7tqD8q4y8GBL5gn+5YWQETWcRHMvUU6
h6ptb4pYo5q1/JEEpvGeLoJ7azvTjes1WN+6OkaQ96T6VItInzme2LQAEPbLvuR7voj5XKWesyaK
jcbvfun9epH+O6C5MXK80944wTI+8JyYOYHVzcLdDtoA1YOsKJ2dbo0ELB1S44uf9n25bZZBhPs1
k9Bf84mIxs8Qiu8yt+i/ZhgBrhnO0sEiMH5NOYZl4AGrPXthC8fHBQTUTdWtQT3Zgzb9x2wKvX36
NTtx3BaZFW+Yc+m+pisIHPZtyNwapT+u3vUyhumXgQwTCj4vwLHMaQwnLd8dOCS8JmMcexnomF+z
HbGMeYKms84dyxl30TIGwrfBRIh9F9OhPIA7uCKzkn1QVfXWGZaPNYNg7XpMZX1K0bTFirvOoDSH
6Uq8HnKmz2R2muIBwHh/rRbYkrtglyZsZ85mgQlETK4BMw1d9xDJkYc1OLgLrGoCfRW32Dmxfcvb
IDEhLI1uAv3EK1z0XwjDm3CBQaG8Nt8D2eAeamdDnhCXIA7TZwWJHbyNpM9jhizVLpCp4Is3JRf0
VP9FoaqTHH7PZGAZXYk0VefGmjEQjl/8qvaLZcX2pP1mpwvhSn3Rrgjeg5P5YmCZXAPhVi5oLJW2
PAnIqpfNAbq3O5E1C2NQj9BA4MfkTvA4Lait6ou65dKTdBO0GQttLBcMa+Xn6aUlKToR1RAFYn0w
vbS2bB4YJoj3JgzSfeWj7q+yJANWYYULuUA05b7pWjAeRlRgaYutmUdGQ6YEo1Nt3VEpGxcniiol
hCMBir003WSdmxjI6iDNzcWfaqyADPvmZmLy4eAQC7RNpdN/jnX/P2Xntkm88W/nkX8qO798YCj8
KH/8/Vj35xf9eawT3pKOFyaalMspjcnxf0tlQoKeMz2OaB7aFSe/v5/rBMPdAKskgpZjm4hof53r
xB9LcNfikChckBv81f/iXPebbsa3R6czOTvRmylt//fIaGkOaVvEGfWRkUVVacio7hxNkX4ueLit
o8jz/s1x7fdzJN9QMEA3PaR/SAL+b4c1jOgxO1FfH6Ypbe9Nig3Wvj/+O7bj70dCvgvyJBN810Na
/KfTau91pmo8Kis0VFE2QFNzn1Ut4XRu5q1pjDlIlXbcMJMyHjqA589/uwb+pzOpRE39xzAcp2XT
XkKjQMZ4b3+PrQ4a/40WPdNKOptIZIBSygUmLzqQA4qG4vZE6VPbUUoqyFXU2PYXW3xiJOsOY8wj
4ykQsBX+3wurYYL/znJzHGpjtgN6zr/NK10AlMmNWYGVS3FeeWGHYtcHWv9qep09OGlAtAT++yFG
xWJHDv+88JHrQrrU9ksejc70yGLQUzUO7VoAHOaD2UzWkw8j9triqX6y8W/e9c4QwvPo6o+ggEq1
5oGqfzHdxwHGcOglH9jYd+lUnkPLyNdtmCDAjpVdMuA0q/c40fUb+AO+cJwSee4wEG0JS4cPUhGT
2qiuNqsjb1VZsG9AMl6HhI6dPX0i/Jqm6GzOXYn9pCuNXWeq4luvmctz5UpGgdiLgOeJpL2vcsWj
SAkO7SBwcOj6MblAZ0oOmODGDaSA9pQNdnOPAZD620FMex+m/hEyGT+O06uXFGfvS5PO/iOfDiMh
wv5b4PL5eoDB96kZza0jYXENjaV+jvuweuP4xCdDD4B58EfJPTTilHL6Up59jpoHyqj0r3Go9bPZ
8iX0p3XffMqtzuEUuRTk9tbTQOrhW9qP5XmqKnkuioB3BBmTya5bjAyrfEDDgLbzetvVIcPwUtnb
qrGzh9qPGTqTu1tjRWg/3ZD/jTIoGZRmUQtwIM0Ad8cdGrZm3M6B0eu9nwz5kQlofdWiHnlgpFhO
O6dsS3YQkA7qLkDgnUkkCdIQe8MKs4eIKifSH3FzJcbvEbKK1M/M5CFV0qy6K3LTZNGwqvdkatRL
KKv5IhvFSwH42decxlfWxG8sR6O+hoiwEAgb79aITEWEhd/Fd1NJSDQu1oqxMLUdcal+ErfWe3Rc
9zZy+SRCJQPK5Wq9ocEEbBzZVt5Xus0+iL14ax7TKemfCU8imeEwfPDNsPkEEz5fyjHWz/ZYAO2v
uBnytsl2SC79DzP1rScOH+MGdgfmV4P3Ft69eUDU5q1eLtEc5vJPjYSwm4Eo4dOY+SRcv9J71+L6
59Ffv+URvch01L+NRkf/QtLSNRn8wsltqlViFD6o37CwUXe9dxM/+yJ+DC+RzbW5so0s2dsmnlLX
pZEnFIowiqgJd3tclIvHbor5oHxh9FRvu/VtTeLsVvajdztAq38qk65+GzwffDc5he0s8PDSc1G9
O4Wnb1LH8B6nYEmUGSlGvqAcq48Ir1u5Thz6fLFoZJuvXy6IuQkYyxsPk65LiFIU9l1GBuPfyNKw
ZYU4T8gu4v2xeis8TXlarP3RTA59ReHpegqnZO+Bxv+sqRrjYyqygeZlTtKvNEDIc2pq4WzpJW2u
vW9Hgf0tyCSUoTdVlWP/mbSD+5ZYZZFFB+XMpXtI+tkot44J8OmimzH0TmPkDO4D3HG9atxJP1sB
BtnKX+o8LW9qAVfMtGgD8MCDb9uSOBt1EhhzyutQcWDpucJOrpHd9WZHNaWZPxjecHWLutixeffu
Z1y4K08QJmq9iFBSeMWBT45RcBNF9hwfCzt77mB3bNkND9vB1d+TgIirq4YfWWwDMi6jTzLvMexp
P1qV1lCfofqPW4B8E1mdqP9hJV2zjZIO7n8T7pAirNM0Z3ID01Gsc+HBmqqj5OrOLj5uWSu9pmLn
5KfBychovEzyBlJ2TbPDkbEbqoQxEbDA0gMjMOPwWeT5r6im6m7lUHu2Z+qr18wBHjSFr1u7MORN
Gkf1pfPTkaofbtgmLaybBNb7dqCIAYIDH6RtKfNokgk7FAKbbN07AeN6AyrX0jOocJvsY1PUa9so
zBvaPORhiKxHp6Di0UfLPFuldPKtzXv/2dXj6K+95v+wd17bcSPZtv0i1IANAK/pk0kviiL5gkFR
RZiACXjz9WdGVtc9ElVHut3PPUabaqNCZgKIiL33WnOFxrIi2VGHtuXdcLBVirXfGnEARwj8W6wf
BAH1x3gMLSw7IcMNL9I5cFFLhPjY72MvZs9jAw92A5KXFbCrbpuVor4HfmOtrE62uxgpOkdw2IOr
MJheAhgRK0LqplM5xSgFcimfQyOq/LWYxLzHfYpxwRfohBEBEgY+uA6Nf6e+43SGD6b3CM5QrK9g
2VhE4FYib2lXivfqys1bdcKou9CqNe2jPSmkHUnCW9VuUerWQM54ArEneRdKNNPnZXSydZNhigva
8jDmG2cwKpxFYnlVoFOP9lwsD4oUiphSNDxMixceiz6ab1PpLJsh6usLSUdoLey84HGXwyonzxSn
JY1cv3Ulh4PZIpapGVFqqGBXG0OxNbQHekRQswHdkz35AklfYM4jTcWZ7INwMHb0Ait8HsVdbhns
5ehXj2nq4JJyh2ETw9d7zIPY2ucpTzwE/uQYDBMl0hi5VxXZRrjxRuO+IIng2qqX+YJG15BjuwaF
S70MyMyN6+skWvzLcGJgtXbHEQ8RbH4PP2cir4iYt44qKbD4pYloTjlpvM891ZlLW5DUCVqUlPfJ
jE10nRFA/qcqNAcXpYAglCAzB0J/avLHC6PZ94xGn4lfSHFgyzS7dFF6vRVOJvA0t+5AJr2FEsp7
DgfTPIyJRMpD4wSnB4xgufMTb/haZVa17vJRnwtUfTdNQDNFPZDfFdAaOtH/BBMfzX5GCKFdJMfG
GZrLsG4rd91Q0tKYr7z0AF0wakkHrbyb2SYca0lK9dVWiK0xrc5S3xuUxPqIlGUO+5C2vWdeSzfS
xp0dlKr7Bmp0VDQI7UruTNmy4ShW4fcyz9Gvz0Z0r7Dm8g7g57/0I1NFm9jT+uUkJdIVNNXNQgzL
vYHoia+bOkTKUGcGm5gB/rrgkJcwp5jU1wmuutomHjfJWtid555T4V+Hrzq1rYfMmttvKvOzYGMD
PeWcXGAeIyaDGDyOoeLTRG3cEtZV1+XWpiO1yUj+OgL+KC/zZiHYyGyBG1RMGbsmQ7tZKHx4m8Rr
2dzDojLuSzI1HlMbTmdccNKAtayu4+X8KcL6yaGBl66Q/OlFGaf8e5dxJklDn+NJWNfWLctg+c1R
oho2BoAUdm2gESJmIVoVZL0irFTzPiEh9pHUHO6dVRtBuTaLZt7HhZhPJgPybdIP4yaO2csrDlvP
jEvhaM76+BuK6tnvpvyIv4+csNi1HoJimt+DWaV7pEEVnIU0xEEzYuqfvYjQgAqY31FS6f+Oq/JP
NYQmzlAvoWxgBfpR60vzQFZxbHSH2LDriyhkMeQ4TBB8zZz7DrUrx3unDjYDN+alnZsAdSU5gpu+
835X0HwE+VPC/PVJUETjkACT/uNn6SsHBWJWdwc35eQPt7j3bnxBfnDc4XiYXQ6EScgv28XYHvy4
KmjEe84BM88LSYo8mCVd29YZ5lM5qvqp7133ZmBS/3nkxL37dfWlQyl/Kr4QSmtlCfmQqKV//LCE
vUh/MJz2YKTaF99i65kVL5ppZXRme546tiIeMBjP1oPs2mBjsk9pa3b1minOzT4W2t8whM4D0h/w
KJRtPiQx/aF8SG0fCt8YJCo6srg9AHXFnhriHNq0KDkIajWGfdP0yYalednODmANGAOcoDJF8eon
+jV1B3lPzkN94eQCZEbkVd9offl3gYjVltTD5RAZTYUCoPOMza9/Ts/6+UEEvxbQvKCodsRPNBuy
d2EfzGNzmGr2NPqrKtvWBSKWCh4Cv2U5bsLE8d/B+gwHMD7gsC37NcjUl7GMnW3qcVwyPKDevSqq
q6Gx3edBqfIqXRx5Ms3CebFdmUxXKlblcGqSJMDTZckNva6FBCZe6IKl5BCHqXdjWona0jDjvJoX
4SUHSPxwkzOf3ITTfFP346bSK4zt9sb9EDfik4EFA3pLbHoru3QhdDota6xwBefesYLvRmr0EcsO
Z3aKZeoS6JnGCh0IT0gDNAQKgD6rT+VS35V5rdeUUB/bJQd6ZqXtymUE+cl1pNqSEoRACAX/Zdbj
00NFSM04JMOjpkUl9M7t/KVxeikuunzxaVZGY8yPlCK0Naa2m7ZeLAly7JUT5RDDHSYDzdqzOwO5
HV+otB+ryLVwnzpKHn2x5PGRpnO6IYeZ/yLiQB9tzBa51TpKBTOllceJ+xQSgPzNz4nYYzfmTN+Y
SabTXhK+cUwsE3M1BLqrfOIo74NlWRmk4a0pp80D1TdLLNDkL2ZGqYlHy1u3HjSRdREqzGoNhVuQ
uOrrnPVy16Rduu8HTlemHHkiscR1m6QU/WOX5i9+Q/0IKUU9B2PupORiaYCD/u1CidyabAJNXfQS
477JbOeImJumjUMkdSQTFj1GSfmxw77/OoEzeXXJV+e8n9tECE/cT6cLmlsq0eByrk1mIyNFv8jL
9ksJboUwUQsfw8Rq1OnarmTqRSp7R5PcXfIJxwQJizuLEMhj02ZULaXvrDg7+XeF0/SPpgUjB5NX
9eq1DQY6lwpLWVTPGyJs2AE6IqLoMNNQIoBBXeP/JOSFDnL12kUluTFBR2UUuUwSSDFceEdaPPMW
82j+R7wH9Rv5PvwqBdmYLdXhiqy85VAm7Im1qunKMbWFeRzqLTRBh7zzZgKZ8VDWT+PsB5fWSJuF
+Uh4GSOhvEhnv7wUiKj2DRvovgRFvq6CcngM0IuQaDCn+0B3gJgxqutC0h/yU8rkYCyXd2ys8bJN
g0U9E21+O0y++oqhlXLb9Ai1Ll0mryMxMohSsEoZ+uCsP/XkajhIkFY8GFWu74EzgjLUr+qk13cT
Tj5xbWxTXj31u6kpMqEjakmqGVI6I7p4TSeTAj6Z3PrOLBvuTJVxFDnvxQQtlpHu9czMffBq6UMv
fR0Hcy2NVb5d7s+nJcaDNg10186Poa2n/TzetXmYelLe3JiOh9PO9d2541M6PD54M7ABWHROkOvn
R4K4UtRaHKjyQASXfUQQxrk9YMQGP4NbU9nScOSn1428JQ3mnVQ0hMiqekcbM18tvG5oeBH0R6tx
ohcWxHSvTDXJ+1q5E3NEfG/UKRzJ+gozbN0PNOfKjlscj4y2p4VvZAo4NoxteAUrZu4PdgS4itaO
CcWmx1nONIN2Bo27cVsWvDHxVHg3thSahWeaDY2voQV20tARXFxZPy2MmXJUuGP9FiPk2wJQmT+X
wDtXkd3kR0M3V+DDsKxR0WO11Z0a7bleBRw1AGAsKX+nwqbZUy8scY7F5c/9m/MmOUl6t2WVuJBy
jD9Nc9HHZd/g9uUFh6W6NeXur0cTB80OlUB+LCsrujetvLxUlS03tecGl/jm66fKooeGn5qeWq/P
ymPhaO8IlRZ2xY7F3bDbb1UeVi9TzGGnMevwcvRZZ6uRNItVwjD9zSwdboiUKGpayqctOXW0KjBt
XurnuW70MtxGVQuILacjGaY+Z17Z8MfZRLH5IAR9SHTXm3OJ3gUo0F6sgEfCXfr2W1/j7EysKL7x
IZpBk9LPD7FTB0odmpGCrwPSOj+ej7cB7qNdLEt5XyCr2GnOzQZZqv1w3husjhYwOIPkxmfJp++k
1RGozW/82GCUHI5hcFmHHEPqWdoPANWGdUho01rgoEA4yI1PRGY9KNKaV2nPjQxpEB/n3CwvF1wV
lx5BksdC3wNY3Oq5JaNF7Zql4nA+WqxmgEge55FjspL058wqtx9gw7HYso49VW2gngGu4vvVQWXn
luDQ0bQMbDyUMVpN7K8cP1tWE7WmzJGkXU48IdXE4QRt96rgxd53WEgOdZXzUszmUL0wJ6RBPdIz
dtKIUqHj4OyIetzYNJcJndQPz3mZnbRWhM4R4DAEl1+o6mecJbb2gkFDoQvVOGCxaNp8ZkKNkxPN
xAwxZuDHNFnekoH3SMI4+WKKQVHjOTxrBl6XibDaFzufivRYMla+GFVOE1EvlY7Jj9IQP3yzBISK
5mC+6XrBg3LqkP0hoWXCO9nQnS47DMTo+KwHp/b7P30Nw+r46CCbUPtDf6EIQR+qvrZFw5GjxsBy
JIqRIkalyQ0ks5dh8PjVICY6R5QZvCqD5DfocpNqaBjrJ04lMLyR94Pzyc0q5NzSe+k1RmUW2RFK
wWNVRZwg54E4vJ4bPgdyuZI2LfXzfzy/mHORscUYQITePEJO7xWbyrFcuul2so15R8xcCi+h4oVO
OVXGvsciM3g82ShvF4/BfrpcKbFQkY3+vJta+d67SyVAN1DAnhvFmk3j2lSmcN8LyFg1JRmK5n5P
I4FvPEIAzMZDH7jPgCjAsOtJDJEAatt7+HdXEsjHRRd11ep8XP2vAvU3ClQb0T2F0P+t6b96bdvX
t6SHQNK1P84rz3/yX/NKEf4RIpa00KDR7UJRygTvX9J+39GhV47noQNlVOg5FAp/S/vt81QSxT+e
AO2opbz518DStf6wSdAi/Yzah1WIAei/MbBkJvpDbRdwBfC2DjJYLvbTYC10ZkFT1FDA6PP3hKP+
3giqSGtGxr8epP+TOv1PV7JNE3Saz8CLcvLHKjIv3dLVx9VDYJOWVZjqRZXVtEIU0P9mJvpPV+Ia
OBhcKkQ30P/7dwlfKKGipUHRd+hGzKBRb960AzJHUS+P393w27+qze9B2v9wIRoJtguqXfC1PkLS
Bz+ndGkWmHK8zzKX76jk3zP+/T+5jAfL2ueO/3SPOkZvbeJNipp0DLdhwHBR47vXckr/g5+OZzVk
Sh/qfLYzm/b7n06Z5FgnfKMBgNzlBOwPzJrNGbDMfvOldNPg+/qdBy8QzA9s7hN+lY80Xn+Az4gc
UB2SEeiG6Of7OZ4eLWN+VAM4iF//groZ8NPFHAC1cFRpYHxkucPsqXg3K3Wg1UiTj63kkIF5IRIz
fYUDChrLbZwVocPdv/8oBsJ10CRA5BYcNX98FEVTUQ3TvTzQeqg+9bDrV15oyEcj469+/R0/KgHO
PygtEVYFHPK81T9eaumzfk7pKh2Mvm4OIPbmLarq6NOvr/JPjzxKif93Fd3b+O4B0QqLwWCodzDC
yYNzMT0OBd4IFND/0U/33ZU+/HQjDPOKgTgPSN7PGzFlrwsszvX/x+t1Zs//+HiEmKsIGMQw4Npk
w/z4paqo8IKiUsVBDTY52OZgoAlU7O2LW8xYa03i3sLGQuPseQezmaoNKZwk19RueYEuAuLZSP2x
JR+vXzcM4t7ObWQ/w+yvifi73pfvIDWdY7xYw5Xy4SOC7GvFyg7pMVWK/wvSumJLmW8zHne8gz/V
xd3chPYX6dvV0SNz7WUoOKCMxeQdIsKVV9UMLmTMeJ6lP4mYhivSthVNNzqYNWdLAtbKbS9z4mo4
JX3qjMy9IEl6fKsjVnmrE3x2YXGVzK1OcBmHbJ345CVvZzfHeSATglixGK4NO3Rfi4gvLWH07aow
VjcM8qpN56EWoa8RRWhrwepPtLE7eGURJ+PaZBqW1XTUDTjG68Lk2y0FCxc8zm6NOMFGQMHiksRp
uRWCLQDyrrXr4PJAwgst58ItOEZmnLBPgPgg6Rccd4IQci+KcPtLnAzeaYqt7CUOqvxRjHSU6tZR
z7Uo7C8R312t/JHeiCrcfuEzDVG+SnwVdijhZt71SbjUsySk5o/tCN2YQ3dxBwume4n4aU5JVqsb
0WfvpsU97TNhfyGL4n1qx+hTJ5bqOOqlMWnbSkfc0S9pOG4C+ArR4d1mqZjuM6i7R1b0bo00JN0P
ce6sOAaknEHtvgScAld75fbMKWMoiZCj4vIdFat1DZ6UH7HPvZLJ5Ei3/vzY520MINWMgkvgqOVW
IkD8EvUJfCcX2FlRq/ghWGxdovupfAkXqC9FTSpwhBGdEX+HPG9N9rjI9ylTQnVl0VcKNyKJhqck
Uka4ZWDZBujfQNKuBB2DSwNO0JfAKL0HpjvFO/Ld6oLvOG9Lpq6a2VUf3MwKHysEiQ8Owrls7XFC
B8uFPEai/k6GatdPNBWbSTkr5FLcgi6aJGBTINooL2NpQKsT4WNbN7x2Llyl9eCyxS0Yn6l21ECw
Wj6q5LErjXjY90GZvYYj6ki4BcMVUZloetIQLGU7RBPn5nB4WppF7j3Vd+SYG42d7jLleMt2QbxT
r5Akj/0KVJj1dQlV+81eeLdcg8HfJh+99vNAMsMzgT/eyZ9z1lAaYR62X8O5QIyWMgQcYY9akjvh
JbF8qWO7vMD3UdJAbe01sLh3CpAQ3Q70Zj4INLO4mDfG3FKPJMgXrmPMGVvcGOE+w1+96h22Pkzv
NM8CKnAPyvUnkCCwWhM1JX+WKvQOpRT00wTJl5eu1T+pdsb8A9OhWYU9D8ICFfMCHeh7iwxpVRsd
M0gr34dN/GfXN/4maUm8q23kBcPXPplTEuYEbaIIdh5boX+X9LyUDJunLS2E4WromnAbS95z7HoR
cB5ffgnASZ3McNoVC/V5vEyqWxejbCXSS0yJTpfzULMqTrdJjqikJDv1xuFQyZiOt172uHMGAN/0
ibN5uzSsbjACh72l913l8r3tInsFXhLcBAStY+9ugztn6KzrCrHMQ4Yp5wIOCldjQX3pQ6QTZj5X
m6Hk63vtwmtElmp405X9+NYaDfC3uGXNSVwZ3FmCYGvXhOrisVA2DeuHSAz/bknBGNlNM28iNKPg
ap0+uIsq2dD961nJzictQJo1MNWihwKSsYjZfbURI5cmbbA5pG3QMea3xrfEK4+qzEuYLyTdA8Oi
9E3zG0d11S4ZnYCbUKibttbnapK7TrmleJioPPGkFJa7lkTFrdIopJcgaLScV11Eas+dDKw/TXgK
mDp5Rjxzsa5l1KXXBIjFu4GQFtY4ThIrw+i86yz2di2DlvVQNfhAnIUVsavIpVxE9Rk5UXiz+FEJ
EtRv1i42/nXPHUZNbzbNIWY3eBhUTKytKEtSDfriru1Ze4yY1WMMeenlQJ7JgFR452QeAYrlkF47
kW1+DS08TLRaOI9W/U0g2/zQCnPYZ0kV7oswNq66Jr1xyLJ4MrKsvZmnpLuKsuVLajoj8hVkaMFc
pdgzLe+wwPannYwaWxlNdJvLZ58s8w0D2PcqjuI1CJnPvM+PzWDCyQwqiHhxARzVdNSNO6OBYFsE
yC/cr4ZHVqLts+mBZaedliZw10tW3qZkxTGLAMGSaYGBW7ilxHjqs4VwW7XD6WbtqL2wNosJ7U3g
lrgiCGo8FLbnNnua3SubViyJvy1BifS6cxazjCKPWDS4qoUOJ5I6n4QsxAAxHYS6pmigbtcL5i7l
pAWDUHBwyDPGulipwv7cFnZxMdYO6Rd+Zyr6y8gV0OX3m94qZjunDTZVvjjNow3ejs0nb1j/Cn+M
7mu62SMDgiwB75AORXKB+NxBRw2YawgukNVUIN1F76DR5yze9GK1hI3/3s7EGq4C3MR/Kg+hDQGO
/nGih43YcA4b3anxTBqOE+v6HPgS/G3XdN0t4AIk6pnbh/i5gjjbdippXCanvUUiX2u1L4E0JYqi
Kf80Zs6EntASNJo4XCN2UP48XJQ5TBSYf1/doIdPnSEgmDHvufAZdrbg/WLhGO6wExlXsNQNxGg+
eCPDtec976ntrKqMaXGP/P5g131HTzx6lYkntz5EhK2tRWAoweEDdvYEiAjIxYoOp7kpXbvH4QEz
6JrXNX6LSajqV9JqDVrQIAmz3DCO6YQ1cufHBeubK1i+yfTrcRr6eDBHN8w98lKThgDOEb1oMHu/
i9Q4j6F/OIxqsW2gIVceI1fMpj8eRttlid2+NfMDnSnWG3vEFBP32LeChnNCx9HyenYMaLL2wrlC
hk114oX3Tp1ToE6xwt8Vaj8hsv4S/6KQpkNBsavrju9O/H5s40hhCT00hfXYm/QQJWvq6AMGy/v7
aGab+3WJ8VNlGJoWPDCuhGtCUw1+vCBKE6+IaSVCLuUQVkZ9xAbFdlyWSXUy3Lk6/vp61k81jb6g
7zEogHvgOMGHyqlsOOC4QuYsKOALV6wSFUQoQik2iLlfyYQJt5IggRvhBePtedshhcQS+8QerR16
P2Mdydx7rZZ62E8t+/qvP5/zT5+PbCBUWFr3/lNRrqaU4AoI7oekKNwLYDHFe+XgMl2N3dgCGIb2
Pm1hO/EiJZnVXWuz3YpsTUSOFgdtZJSvHGXKi8BG3TDbVJ5tqpAH53PvnVwbEXHZZA0d/TaEw10z
L+iYiIPMYVV2JgrXresX0SfHNd1XAAjIZkL+ZY/73b9DO8kGHM1T/mimafZy3hXL0gyD9bhIO/nN
b2Hpe/Hh7cBJJnBoC+EhKvvwcMQ96lR2L3noRKaBum21gjVMkofjPtXgWuFTKYRqqGh2HjxKQru7
i1/fjp/qbDzgoOIQvHJLeEw/fIJuFiOxr4y2QurtvYfr9kQcwe+WgZ86FlyFRoUtQOfZvv+xEdOn
/RCJskoPwuXwLGIWrlIJiOSoWOKVkBWgy4zigQnY8PTrL2j//BtzREFdEZCyhVvpYzlMPJM7NPmY
HHAOxREjPDRSBqSql6LnaAw72ZtvQsMLdU7noyQKFX60NwLKHbx43VUlYaWst1hzapjODpIWxXES
s92B8zfDYCRj32rS07ujEbUUrudP/99+9e/61TCoaZH8ol8NxE7/Q6n0h271X3/ub2hC8AdBZ2w6
3H/dExb8Lf/VrQ6tP/5qUtusT3/zEvjLv3005h8WPAVA2Rg04MF4wb/TliY96sOLTiuF6DUWD+E4
IR1WPsj3204Kf8OT5E7oSHbwtTEjbeaVBNdDY6VU6hjydbU2ddhWp48XzPXcFX5obWWo5s+waShs
SOFFb1JJwcg2tGbG6TKyGXWlDJUwsKnnRckGz3abpf1yilJ/7rdlq2zGsgTOhD6SDV3SQ7ACWC6v
z2p6tHxOv65TtDRN4oBczVxH3NcGKcVNxvAqGEcaR3oEfxbto4mNLioPOT3QJ6awfEyEMPgA1asT
Qv1lT2JORY15nPs5s1YicQ36hfms4r75ZHEUx9iGKdtazYSn+N+G2InFbgx9w340hyhOt0UfT5Cy
aNh4z4kZcpbW484uOVWdI1mcR7oD420NGSwhEiQY42t890mwq+RsxfeE44gdyr4Cr3aKaS7Y2e3Q
mRsIyo53tFz9/4yZ6ftPUyMVTObaFKsYBQ8QqzlpCLMhd5CopTEgvoXiGLRAihRARIwB2ErjrwV8
3JvBn6ttxTgbJKY/AyC04jp4WvqpM7alNU5blHZIrcWy6fhPK8RDzNmyerj2gwz0ujRj5wBl0qJw
o0M3RrQtmvwOXke+L5pC61ODnPbQTjUDASZDLupTU+ANdmtF/gLMOq+Dac++llZrYw6ju4F08c9S
efLJ1HGUPmlVa8frEa+m0vvTKKfsPkBBtGJcWW9gNpKug5zh2KHoekZqKleoFDgl+E15BDvWXbgR
xwfLyu8TDrd3w9SVxBAQKQMAt8b5MQIkq6AihDP0h2YgeDsM26+eHt0XyHE2E6Pdo4wFPcCxK06+
mbc4VNxinSxp/rka0AzUhpXs46kK3wTyaHBkUZPdDoaoX+PB8rAOqNm8DucARGeXWcYFghf+FH5r
867RIk7wi8ujY+cPmaGA6yF0I27alW8pu+2jCHipXDbRHfJU9xhL/PuintDvOISGR0SJLHRNtiFB
kjOmkrh7bRbCfZa0OVjJ6K6kGk+Dm3g3OfXfzhkWzvNkT1aHJnblsQLecIVq3Hqe7B6hs18iYrdH
YASZRMDgAj/u3ap9aPsqvnFGrzpgkHZIp5qn6xwv8KGIlXfHudu6pm2VkTedZM/c0Xw/Tb1z6qsl
P/RliVZscfM3RTUbrSMQecQXOMstUYPDZdFx9gE0Du8uUoF/P2cd0RuGAT/UwNV0FdAUhH1pCk5V
Oi8qn5rIWKkgTS9K5LA3fdC3l0PjpF9AKTDBBhtqXik5pODbZf3QUw98SlOhLhwSZLYGzqznyp0z
ClXRnTqvgqw99X52gUN2ITerSMBqmMT0KTp1+24x442ZhcGuqQfvHeJbvWdbnr9MGRKIOCRDR6oC
tVZ0xQAbrVmfmJCcvWlrlfHRDhV5D+a8jkIHkIXbf+vLEZCFLPODGU8AOeAEbCwYy/BJSn9nJ+aE
kU3UXxFx9ieTZB4gWtR3onTHu6zyEJzLYD5UTe/cRfM4P5EEvLx5kTXc8YNEN5ABSDDwZ0t364oN
70lHGNOUoconnx2HuqDP21cwC9Im33PbeVsM4M2hL9U3FMndfkEEDHIkMp3tJHSqedF0t5jBOK0O
xaw9WEOCYMaz3xc7ARKCIbvnUaY0DJGYIgAaruiX36qhC6/tyo6f8H7meyT/9Q7tojGskC2YVyKV
5PtAIb82yIq6m6eBiFBIiuFlVekeWT7d5HWPG9niRb3o+5gyFuVVQfRjNx1TacXwWpD2xYHQYQNO
edXX3YphKksN7Z6TIbzswq5d65OYC89emwwe120t5rckGydY20ZA2k7fZtmBLNb6q4T5N5kZ0Q6T
DLdRXdkvGbqOYw6CYl9jlX6wmgzbt9/516AoKXlRPaK9A/34uS3Js5g8fwFRroxXVfUmO5o13ucp
QTzEprf+ZTmO8zfEfNkMp7imdVh64wVG6GEftdZwTW/PuUDhV4LMquvHkZbY7aRjaVDDLnsnnZI7
djb1LHSGTdCV/vucyi5fia4FuR3G30Y5ZVpWEq4iGoQjTYrTDC1ow9S7WxsAzuQ61AE6gSXJ0jHb
fHglwdkCKmGPsBHEYhCWkbj1Y6QDeSodzROcU3o8HdhTuhZMw3CovwRxKcTWreLiqxPHwb7UcT+9
Dv4ZgpJafSIMKCEVCJQ5DR90LOwnudvl151r0kkPivZK6kyhPmiri7oyaDd1hiDxTnrXY+4PKwNA
8JeA6QUNTh1Q1J7DilqdW6TiNrjENj//aTp93usmK9s1Y5r4lI+d8ZAknnimJGLpOaci4fQiIYlF
W9FX0cFJaBMrNEilc52aUcmyxNCGRLkZhrKOXfLPCUz9OY3JDmFgFhZsNJo7wavUsU1m6rxS/lfQ
fErvU6DTnSxzckBQhi7L4GzfzvVCpEVUXukbeFHnjrVfOmCcc5lqq6N9RV8vO8Y2FUKTlCDYYtv5
7Ou8qUknT9V15e2NcxwVkO0tlB2ArjKFkVuRLDkvZnuHg8p9Q09FqBXYimVDXFj4yfLIYwFxYhOX
2FgPTKSIxCpII7iV56Ase5jIzNLpWbQuq/VoOpfBOVpL6JSt2rSIGxDTRdjZwdZKjfpPup/Echkz
CV0QevyDb2Rq3er8rjKa21u15OpW45AP1HI2wCCvXKOiMdbjOQYsQiz2hbOA/TABqKYbhPjiPSiM
/rnA67uLpHoiLI2A1Cy8A+nTZnw/E/Ir55SWrpEOI8u6jGaZIqFMnMPKGODCs/JJBHlLVVMwZNfJ
ZjYRZ17F9jbLAOlUTEZloZPQIs6mO+j+xak/B6WNQeNnG+ccoDaxCF87SNQ3TDZI1sLHOIwDLJBI
p6+x35U7MMQYVzqkQ0Zq+QcbVdeNb/kTu4JPiJsObl1jNeQAQsZbTxAvOegS+51vYaE8enkME5mW
5S2SIzLiCCqEBuybFcfXoZ23wLjHe9EAaRoXGL7CnMubDlUU74lDEkZsh/43Dr7JlrLMhiHOshL4
NodpGBME2HW2OX4aQC19NmWVf3ZtzoAuuUwufNO6vlGyC0+LFJxWYi86YmMDVBKbIE9QIbGD0VWM
jhSwzbKZdMBe1mlGUDpYac8RM6wOxTmNz/lXNp/sZitQK6wXl9GAmWBCenwBV7W+EwbRhK7bzNeE
ZVqbEAztuotrQgBLeHsxB/+nRQSnzBUPsY4M7MkOLFPP4lu6F4X0rRcM6vYK5EC+riOBl9EvxJMF
woO4Mp9wjTFxNnWPLE05yyu0ia90EO4CHWQYInrb5DrcsK0RNlYdgYemY9Csp9E9USKcSCAptkAy
P3NbAKfTI1uHLQwiJ+dwY+QpUssUEgkJi5insPwMhC6S755vpA5iVDqSMSsIZ8wL2s+BDmysfObJ
cUKIY9kHuyQm1hHX+00yu/ajc858DCbotqYOgrTgHawXHQ4ZSWIiFx0YWZEc6esIySXNnOfZsKc9
6SIKbXmwD3Xk5KTDJ5WOocTJLF+N1t/aOqKyIGrkoJiDXXg2AZbQvNPNEEPgXHS8pQEj/5gqgq3m
tlvW6pyA6YKDY1YbX5c6HzOU2XzjmXy5jPDMdOkK6gTVdGuhkFZ/V7X+g+jmY2cE9YYNwwHFCC6o
gPrwx8Iwidw5T/sgPWZFS1lnTHiGG2LOMDjhBPjkmmX9pjhLQcLukQD++uIfW3H64oAIAEgEIHSt
8MPFl7RsxLyo9GhNuMSXrEEJmeYJY49Q3v/6Uh/7TFwKZwP/1NVv4H/UrKR1mgmwnFwK5X4JtYXk
n1U5x9Wfv77OTw1nfSHXd0OKfnAA4qOTRlYzVHLpx0ey7OYdk0j3KPqzYzvtkPhKbMdDmJjpenaL
V6X7wawqCG2NKNHFdZTw6X79kX6+xb4dIg2m76Xjnv0PtT9RkkHSUWVg3CaT5Ww2c7KRCtrNQ2a1
Zpw0b4wEuc8WhIDztf/bP/pt/+j8NP+qf/SWpPFr+WPz6PyH/m4e2X/wDH0P3fzf5pH5h8vDFXou
TxvKSgFh5G+pIy0nAkBsnGWOoKegW53/K3UkmcOEb8KzQNOV+JB/Q+pofZhkoFmyWDdYNcCEuq75
ceUgHQjDeN5apxLhfEcmJnkH06HxEJpg3ikF5I5kLqrLTFrGyMgUcBRFdQJmqw2V9+qn1CcWTuZM
j9c8ggzmBiQENc8ptnUEMlZKerN1Cfps/+sX4kMzjLQNPnDAT2vSePZoO/+45gVtTwRts0Dcwg94
byWlsfYY813Og28iZJ5RVvz6ggx2fuy/cUnXRLTqgn1EGMVv9uMljTR3lEE9fkLVdkngk5Gt84HZ
xD5zsSSz09dGfbAaE3/sCL5tooIffPdA/sQQ7bw4sapj5MNfWS2Dz69SUsHBYO7EdBuUKQyDqiTG
K9H+gJwO3rJ3o7I6Za0VNVj7S2YMlowaOkgNAeFryPs4jMH98VsbYpjuSaxFNwCb6rUrVUUPrg64
VIicJd42fqSH1tSrYIM5QgRrwR3hpN21fb+LoI2RwgwBpQFTUjM4YHTTOIzSZtcIm+3SKeu6CdDB
rP04JVkBs9AYbxEFTbdm4uYAEpLYfrCwwxB37Ld8t7bB9GrQrLiNhV6lJjsNpq0DSvjZHka5YDKw
6+SGxZxPFM4erT4OFtPnBqTOktLYoaa1s8RqTzaMU/t6kWTE7oQ/C/X0P+yd2XLcyJZlf6V/ANfg
mGHW1g+BmIMMksFBFF9gpERhnhyzf30vMOt2pag0ZWVZPfab0pRiMDC4Hz9n77UNzAfxsZMtz18E
mho5lmsPFyVL40Ezc2P6UnuCGHDT6LhySTvx+8yM/auDrMHLBAM5MtQIDg5CZs8Df1v3JAZvoPkx
AZpUg2lN09M0XsxeKNIqWS7eZjz/SZBmpf1KKnf41M/MzIeenFJai6R5rpvEuYsRKRF42TZcJMKo
uQuOhVT6OYaqUu8tRVjahutIs9ROlqyqhEoBSoqNu/J+VhW3dTBsQ5wiksbjo1puibtcHL9JMu5f
bVYnn7aqANjQAftWwzBexxH58pqnAylAYEVELI5iD5sYfL1NSywkrhFwGAyoHXd019Vg5BtYIBGE
2UYsXvhpfsBl252ZXjDbL9IQB5ai7fcapZ19Pc+R86QNrjiPQ53fggYknwZxzZ5K2/KCxCjd1zLK
hi+1ScomBjce2XjEoUt133kBp36ueJGHZLsak0N7xq5c/4kWXdvdGQkwxbU9uDw2g3S5vGNSOPKG
qEzb3LZ2RIxOUPSNKRT2VC9WJqoTSyNntpi4d4nJkOnHnM4c0Pljkf6op3G6JIWORMbJ8ySg122/
tvg9+gDlhXiAa8TtyTNikVcabE0H0oDKkeG5FRk9g8HLRSIbL2VWV2O4bXVSnp+p7aaLxxIvIba7
XODEqA1nl9F2OtnQO4jOmFr0IkOK5i1deumIX5t9H6t5ujLLnkvvVj2fgsiKhA/B2+ZvQFNxXVx/
MZX3NvNq8soM+ZAppWlPWg/09qozpCZv5wkuArRRk+VXFcgQHhNLL7JLCExuj0dVNojpTPOgiKwb
VmouuJZoEriWkz4ytqRJwYVAwyz3IX3DialTyNtTN6Ctgo8HOZs0blwF10GunWF5KTpJR2M1jVhE
Wcw5Tya9BvUH9XLsPE+51xs3aYiZCfOZ+IAijoJ8co/ho7cEF4IcjtJp74aRTF+kkBhQqUOBlJih
12VfJCuEiMG6APO8qYqydDxmY1rob9w80gDRZoKfpPM4HdvG5Z53uRTnlODX6YvXh032brulYaBh
miHEbgp9MIybgv1HgbXv8ZAewtIgm3EFuVTXD7FBhAcgzUUfqiWRDkZI4WdKIu9cmrr/bA99iAxQ
3LtDNAHbLar+ERCUtsG1HROgVreB2Ufxwcz9EMZTmBCqmQzjSphittexW9h7lEPOyIwlbbQEGSa9
iq2FgKQEu1rP5LrndHXq2tOfWrKJA7PQXzSkQqQdYUbKZhJzknicvL3IjOgtb0P3nSNiCOZFckLN
nat+lA3n11xOd07lRi+2OZSbgk1qzdjQvCDaLl+EFRdbo9SRK7mqIFmSOMJbP6L95NYEGyGMyPLr
pI7yRyNt3ZWvt91WaTTztWECJyixZCJarm+GXBVXNgqZTY9z8Y5lvX5J/T6+HywO1q4+pTvZtNa2
mZuJdNKq3A1ksd5HrZM/joXVRltJmx8ELlVBnjWKJFg/28Iwg8LfjOVibET9kwxm9cCmUz+XdlHH
61S1SwdOr77QoF8ubYEb1XNsonsIVp/OtTOZxJQOBKiEbvsjkWQt5vj794ZKo+2IQ/dsR61rrWPi
h2dQEpQD6yWkE0FfUe28vJkXlbRJIFY8GdvIFndpWNU7fYr7teQ7PmPQQ70EE8k5lMzvh81cuP25
6azwHhS0s9OIYdrahK3SgdAUx77Zcc5a3DUnFux5r5flfBg14R9Ul42buZUy6LBTBw0DLPyXrfMw
JIP6rut5emJEo06ylH7+NyexX4o5IIBolhg4ohEhDG45Q/xJltJUhQmxEfvc1NXIccpFFjiabEKW
hqQQsEl1CnnL97+viz4dyqiKCOmwCVN2qHQ5M306mVihit14tH36bqyiEK9YGOrOoMb4/ed8Omd+
fA6oCody2QBXqH+qvoa4cvrWj8Kjhc6SNVWXrNmLq9meQhaMf/5h6I0AUVAgI+D/dCkF77BGj9s/
ejni22pxn374S7Sk9//mZPdrIcs8E2M0tbhOWvXnQ20T+W6tTbpzNEnKPZd0v3f2iHkcLWV1al2U
W7//an/xecsQW/CY6A4owE/SHuFVvLZ5YR/VFIdPf2xBZUzISGCXiyoXSjKX9/ef+en0yr3jyy3n
VsO0uHmfi/WZxLPOl511xDNMdeXi5E0oS9A6YK1HlYesjH8VaMXAn3U0kdM/fkgRkjM98nSOzoat
f/rSVWk1+pRDReh75nPjyGx5EmN1+v3X/PVV4FNcARHEQZHDyeTnFzAPjbEMk9Y5kv8t93OC2dX1
5r8TP/3Vp+D+9Gx78e38ovdxOtNobI3v8uHccRIUyBiY/xuPie3jTKOrw80Dp/nzd8ka3AXkhtpH
I8SOTUoLD8Uwj3g6sASJc1dPTEh+f/l+Xb9Y01lN+FroA/jYnz+S0HlGa7ljHbUqpCeJdRl5/0Ap
0ufozUoc48bKaRWPyO8/99eVxfNpriDs0U3f+OWN8JGLMmewDeiNvN0hFPNT52C4Uike/d9/1F98
RR4OrHHU4DTPPy+WLmQ2Pqow8BcvjtZCVCfVorAnw5AVeznBTctT8/sP/avv5/AKYoy0kYiZn1bo
AeqBGRO5cUQDgGawwHWT616846Dzt2/6hwrrT2o0XnWf7oQNxhzpi/frm7bI9nXWE9T+LZbkVBQ2
abtM7y/1oCR8Z7xfiOMok6eRug7t+NyehwYC2BYRm8XhokLwDqPiu8AITNWpSvwjXuYw2v79Zfl1
IQRLYtJWY0XCNfrZqkhXfEzAXvGEF0gggyTExL5ELrcrYqd51FKfsv73H/k54+Tj6ri8VYuUDZ/k
Zx1ZlNMvCdnjjpqnUetOnsn5oYMJ9t2TCDYCQq2X5z1NxLnp8+YrRm4l1mbiTxfmTA0z0ahXzZYq
CaczfJL4H28OiEtx3uJzNLl3Hzq4P5UQegNzlVBi+1goj6Jbt9MXEWH2aHOzTHCG63/Xxvnl2cSU
urwNtHJ4RIEL/vzON0m7FP2zOqIJsl5bGDCEsTYlj+m06DF/f/n/6sPoG5kIJX2Wms+7AG4gX48a
fz5OaABu05I2LiwbTjm2XnNK+v2H/bJM8808jzadbi473me1VpFpgrmAPh+d0OZgSYQgTxYvIqfE
33+Q8QmehJWa5XIpHvDDsqV/roxyM04mpgojFYSM21udMxyxgmgQssdQq1R7qtOBTogVgcGIxxjh
eF67pkSLuGyDVTNdYoDhzA1GDkvo1UGzKBcLhK45tLLoepmooZbux0iSrNqNqJ9vuxJUX/FPF2Iy
ZinvaJj6Nubhz6VQUkITdYu2PRoKC8SI6PgECybZRfr8j6suPopngCY/EiT3F4EzEDGjGyYAGRI7
OtCJlO/fVI2/YURUnaxy+tv+4bJ7/WlhRJzCemjw6iMixcD++S6VqjBFI23riIjIeidqaTgS/+Y/
fTREHLelq4O0wX6spsn4m5XO+PyIWIvJF7OvuSgbEU3b5s+vmZXjkcGqlR4FzNRCoaxhyg0aGsqa
aQSk7Xpv4LAyaz1U+BXOfoSbpzRllOxRXWAGIlNlvuh9QRdRZUu/ppHucrDoifdZfXAmZOG0KbxE
kdy63ayV/KQxsfc+ljYUJojuqjs7bbGpLI9XrrEZ7OZOivo4yLluV4bTMugdJ1pjbYj/4JTROMIC
1AwkDnsRLoZrkvQyudZFVtyNdBvO0um03WQlzm01C02hqiHogy42JFPdBbB5RVtaL4PWtXt/FZNg
dNVlFhxSN68VCC9EAxygVXKEDCUCsDF2j7BExIQIE62a2B29b30AamuqdHHl5yKledTXIhffR+ll
NMW1lPfFn+qlGQpOMr4d5ok/L/Py6uBUtChxnflhvHeGjFNR2Sj+VjXufxSfQxbSefHzpa5pat61
uMxt0NolWQ0BUpvFGj3Lyc8OkadNl3pSRXyL0S2vrhCzDN1di3+sWONI4+2uRFFnl0rhiFrLvkM4
gqNgumQ6VvXIcars4tai/Y5Ui28BONRW76ZT9ta1bMTSihpzbjOAJP4hX91+tZEfqvuaURxSfyO1
roYFjUlHA1nBFhFMNm2dGorXmj4InatOxTTCPZRKhOCZIT+xx0mJqXAk+aiZ0l67n6qEj24y4qLX
vo7zhOTR3GwJ6xgHu7uggIgJj+JxiW85ryJMFbMLsBIHqnUYBtm62brvlpTvugS05Bgs4TYR0fWx
ZMCPbsUdE/fKGkIxHogvR6HaTQJHViVzelpe3bdqN+WcYVfI++kyYiCZ5IMobQRZ5L3ygJUx9vyz
lkj2ho86gJ49Tx/YJ1oNsYOK+wjCEBBcSCPEa+i2VdMPv1PhLVA3BK4fLTg77/llzHgSD1Zq2K9J
GJOU2CJvwWr/8Vo5i+tTX9gso2um3mtpJ7TeUJCLBzGJGBU9u2ITGB3enEA6Nk9R4zmLXzK3ua5G
u/TMybzq3zC3j8N2wlt7+8doRnjWa2ibSyGByJB+HPPz10KkSydW0p5f1SnHHwBsdOA/tj/X6Wky
xvSu3CvbZR6xyvRkSreQH3Wie0Bxq11Ra0wa8tniwhJcZBEl4xtRcteWDb+IQL0lt3VutJdSiWZ6
6SfXRG4GdDjLLh7J0P21PeXiwUnT0gp64O3zu6cxydjAGzCsu1nUdIHjmdrY5P0b3YL9mDFAXK1i
2hU8KxbTHJzFVme6XyjMsw6Xg+yAYq7yZKjh8oYhvp+AJRzxWS5buvVzbmJEoYOmPFoSGCaPhf4R
Tk2HvPNokKl+SMc/dvz/Pyf92zkpb82fapZfIyySsnxvq+7150Hpx7/696CUoAoUHXSSwAYLihiq
9X+r7N0PuouOIH6ZhX4I8P89KPX/RcIDvgyLnhBHN5dN99+DUpPkC9+0McZT0fr85H80KCXR4ef9
W/cFh2DDpYfBL6gThPjzFmqiNSo6q9RPpa5VcdNDqHO0NYS9EKK4mOpNZhFsRULTUMvtpNFX2jh1
Z75PU47go0AnwZxpbq+BLll+BRgAv+ekcst6Ej7V1XpsxVvkGdFjgSo2SCLH/jIA9EMnFnW3aoQx
vU2q1EZegFv3OkI8ZQWDM/n1TkvjbC+7tDy5KXQscAh3uezMN22EyXxiGjVBTXeMjlBxoN2PZhb2
7lWrFtFcnzsjSiWrMPvv6cfw1mgnZmMki8Na3aoZ1K4isG1tSt0EhmD2XzEkj8yaetIdrjMzgWvW
EOxWbzPu7T0U98IJTAPT/KbOw+RRxDPOWOZfKpBJSnuVNBKYe4BE7x2rNw4tUXg7Y0q/59TlGywO
SzoFOo/VQFt/lxrJwwwy69ZJmWDu+V/Ma0jJYQGMH/BXV5qdXElMeptOaK9ozKaVpyMhgrHoslEA
DN80HP1x/ELBWtOobOyN4ph5ITTPvh78RS7c9a449MixOPUrP3xShefe14sGSHaz4R3AeJgaiUy1
nYN0s1iZXYLCnweYVBvNNNwADavLNaiHVdNP5dEh6+eEtJ5BeF+MyVLZhMyG53k8dX0XeYEW1fHG
Jen6ghfASvRdGDGdyQR08o642ZXRjfs5HVW5pnmEks0iXHXrzWG4t9DsPtfKhNKoWk09+LmbW8RN
jm6ytzTdy58S6fXlY4SAxNU3PXvspG1GyOdtu2M2MuvtAfQccWNFmtuJeEXAJiPuXE7UmJ37m6K1
AgOQ4FlhxEWYG0KiACxwoHd98eLQ2fiMe4Msq0bSIG25iGwJiosdv4MJAOV2lSvNxM9gG8DpVThA
sEbGVmruQzZB57aNAw6Oa3v20pUibsxNqrPVKPKT7WwHvTA8ohLdllSmj5oW300YMFeSj9lGinRg
WB9fhT6qLSOEcBsO8z3d9PbQQHPdKKdJr5pCI7TItrItebTG0dcYrWSUs5tWwxdeWFNytGglbUev
grudz+qgN7yahpMbj/5svJQdgrVGRO4qjTsNY3U6bKvS7boj4qv0QFX2JqkmjnhlolPDZGKtVKFv
4G/vGJ8hma37rYW4LGPAuE4KrQyiRkOqXQMFRqsYv9uqeYbpAUie6QNmAh1RHTojL4B3BeC2n6Or
chEb0oKtd1At77tEQ+xaJWLFmIHoKJmKW3779JTaMyl0IY3+AwKP/h3K3Lz2YqT7Li/bviGBDwu9
uSojRUBM0+C9tu8bM79kXnKlREhd2utoytVDgva80ltCsYh2bH2wdaowSFabN1HK1Y+cOPAG67Ft
mp03T9epoU1QZvtpK+u82wwhw7QotJ4czPWrsSxIby/y99wCE2mUIwrjPO7vE6289hohAr8DmwdA
mEUw8a6tGmRDWkxMkjxfrAyctnc6oQubYpIlw9Fh5NmqW1FyP5wddQ/6z9jv957Mv6G1RyZg6P7R
Ybk89pKJ2RSa6Tn2u3SPxy5e81aIO7SDd0PabjSPL6Wq8jx5VvqaL6tZ1ocuMkOy1k51bViXxGic
Y1UTPcsNo6SZah+rffysay3ljDH9iDtC/CK35YiS4DYBfzsHNoPLI65Hc9OyrN91JoJSWOP+IUvd
S+jIO8bg+pZlwjtVqTa6QZs53RfWlX5tDG44rGqzS8+p0Q9B02XdTudGbfWq6Zlo2fHFnCb/Wk46
6gatW1tp8RV8qxEwkgMaUCA+BuQ8pbVLImN7aZ2S1QUbNHyvdAsG3uTXq6zX2EpABsfsDk0Y4Fnx
d0naPeRgNLZGocL7MRuva62RwSS69BFZy6MNCHmVa8Nrq/xnJyKLoEcZXhM8QR5LThqCMW7BPR4q
J92RJB5yFRvrjFq22SH6/VYSl7uxscPs9c54qEM34wHOmGQUcU5qaDPq51iYl96vr/I2fkJvDYEW
MLVeWfOKlXYD9eXF8kdGrxYxpstaWmverdeauzZJp8vErYMSMEQQ/h3lvWRhJJ5z23PW0nR51TTE
pYY7XOOs3wxNduR03G3toTFOksiLVTPUCWNzv4qDbM69HSADdYirbt/V6XFIwmwHKTEhOlGrGVVq
WzazPFChj98cuzvHQqu3vlka9wugqeadUYhbd3GxwDxd2VyTFqAF8zhUG5JW4rd6cki/M/qrKSHO
sBzzR2GRM07egz8oNtbUhzQju/uBPih23eLbMJV735ufCWfMNwPfB+FAlQWW7SanYQZbjOt8a8Hs
NoLIthUWCCuHwxw29Zq8RnGyEzvazpo5r9o+Mr+GVV9f6B5l5UpjOFtvvIyVaSjM8jbSBmxblQS3
27Gv1eQO7efKTnHGCJTtfd1fGXBxUXkYHF56HWy+qT3G2rhsz8C2K4ecYw8HASC4J8Qa5Y0e1cO0
Ro5qYbyfVdpfylTzDn6bqeM0mI8WsbZvmhy0aB8WaCO2tjua7crMxShXFi7FYc8+a2xwsXwrtOFW
xC6QBWvsLq1d3o6lpnGA1O6KOe5vYL19aaVJxuzkYGpQzhevtfKHKcmOhob4hcblsDbgab+wvFr7
EdzCa6qE3KCDkgdz0oxNWg3xzgHFufK8OguKzOLLtsNXH5PBptQ97TpCrfQEI2lc4Yrwfjg9USo9
Y/yVHZv5a+W58707aghJeu+rmdkoi73CfQIZmqy10CF40o3TB+DCOnoKmqe+m4O6MCFHTUSzj1tu
WLoiGgOwKfNv3mt+vYgTzKZIv9cye5t1zb34fjl8MdthozOJP0NVsiFnsGW7aS0ALiTSIvy2ltaq
1mV+gpZQAXvtLWqEMroWRr7vsjALgJQDxuz96oI4An8MXJ7+jhwab69cp/miKX9f4bB5GMAqbYWf
+Engk3lxRQrT9ybzvrE6Y5VAsrjmDNc/Jqk4OaXp72ofZIyNyGsDQYcNgsP1ujNg5Ma2QfsF742B
0sJEjWPYzVVKKOYq79r5qgBrtB8rMZEw0XzLo0IE/ZQn5C/Ug7hngWwRjBEg6uG2GeN8Z5URuorC
yti8Wq38Sh64eYqc2d7m1IJPCxRmhhKSewsXYzbvi9gUbzRUnDcSYGPClboIl04MGoa2+Ya+V7Y1
IDKhdQLqAlrr6PZKA3QLFMMkI5ODypJaWUqSyWB5rwsqD5hEyRCRTxwK+pIniUZiiy0wuvc1ClHs
HLkfFOXwJH11gFLxnTGWs2ugna4L5mWbHtIt4pTKWKnJRuVu6Tvu2tFOLSxUnGTXeUXW9mT1L0Nn
AdJRdb8qyW1b2zmcHBk27H9ZRdZaCao2rDu8eCLfmwgNVrFMgYjo4yaU5jmNUxOZkCN3eY0XIIkL
ZIQd86bM9ZGZEV48NPIiiXre6eKtz2MKJvQQm7QIH+k6Fau8MdahZpG+Gdf1urUl9oUUSbkzlxu3
yffEDSPqgvC0YrAmggp3LrjAYY2+qGE5wQeLgHLAJoDvQWXxC9bbK4cCf6t7XGK47o+wF6oNFE6U
QUlxGh3gP6nwENFNlIZo2wiiiNyaPTGvDlVlXXzEJTtMh9/ysn9EVUPAl6PuuoJzitHZ0GPRQRKE
0q1ra45XZm3La01OAzhiPMEM3VrCVIvicepaGijwh0FoE0GaCgmrv0IbEjNQXRlpRWetUI+4p1BE
odMKkipMsIWItZhchdOWp3zKHXx3FmbOyQsfXZFfQS2yztICpNY35Q+KX9DAcbsRqaqCWCNAe7IG
pI5tvFV5XzxKK03WOZwzvLilv8HMUVJ0ezZu5jS/JnTMWM2g/ra+ju3Q8cI3vZURTo8JvAZ+s7tm
Rgrpt44I5tyl6hG1f6PX6bmc5v4M6iUoqmYMVCuXnok+nwHwHDVU5WB9KjNwh4EBvO+OV0x9v1ec
N0jp+Wp46jWqnZ0r2h5jKNuwkWYoa9Qh9LJhgyptl8c/NK/pV8Jp9SvRpvW+yeRtk5gEIcUsj3Hj
BYgX9G1dc7xFTGfuyLzbGRXmEzNNT8RpsIGmOsQ07xE+r7kyE/U6uf23sI/eqirj+anMu767dqsQ
f6/qABSX0YumERDQQ54GgUzYrOleKd979vBvSt+vdhmb44rYL8LfAEuvtFIXV0Qs36Uj1ZnWpnrQ
9YpYHqxKOqioaqQ8027JpBm8VVZMii0hDfm67AQN0oM63s6e1x4kT/DLLON3M4N/YoaEasem0eJg
tCDHQQIvvuZVWlSbJBHFmS0Lg8xUmTkFXgVjzIhleTciq9wP2tQsSLcM44kW4XIxCEcIKnhiX41R
INOj+ckhp24ex94je5wshwNVdQYmMS53ll9a23pW0Qm6nrOVZf8wS4WiuvJvfK9Pb8tEEz/spO1P
Kk6cY216cm/kc3bsCW/a2qMlH6wSk6gnjVfO8Ok12b8c8COdmPpogGhdRVcmHbugJzz0mpYxGUtq
IvO4ApqYDpyWBpL6th1TjbXEIRaaJZqv0rTWEbrBVbEwV5K2i9b0NjTGWzqBej3y4jo1N0achzcO
MuG9m89vXkEbvjBcRLs5V4yi9rrs83Iv0/lgywHZ4jickd9RVrQxQtTMfwHDk6wbz0X3WcSIcmsM
bxZ15XrM+PGtD7CLdydyJso9Tv1by8Ca2k0GpCV6mDFJbAfqxoNblCi182LYslzZG1bzmVtvlxtM
fjC56hsOU96lTzVrx1GYjos5pV+HzPeXiAU9u2arZhcaOS2c59Y/lW3pYSpOCcwIXXvVZ0Tr0vJe
VcJooOS1OjbvPNm3mSUCKWswBF2rn/CadRjezR+NInYOGdZqOVsYKjkLVvfNRDLEbSq5jaAZGD1n
REbm+RhoqMpWTpV06ww992m0UrLPETdmVXEdOe5T5fktyfGiwezO499O07YU+i4a6Xfknc1Zxo7n
JamJH4VwE+Fj966qGiVhdz3Tv8cJFtLhNtEEN5yzDLPEwViUq7GL+Xpw4KG/B2iLWZVtPdzHVY4e
PKttipb5OPKmBiS7o9npO9ZIW0hy5oa3wU2xjdkHz2puJ5TXh6SdjTVHyBNL9FMdDuXW6qcNRy2e
ZLr8QTe0oKREop+V6I0dhi3aKIpNl54vqm2BNx0Pbdpv1OBkASFNpc9BR5VfGkujbTKOI4wGesys
nRdjjma+0dBtMmfk5OWNEG84Dnaajh0V8D8dgbUIk/EYE4i0sq3yrewq/y6NNG6kZ++asYnXKA7V
I4qKW1f5RBbWwiDaQd92rU3yt5SpE1Aoa+R/uDPRqm76UITxuyeac6uMU+Y5r6Yw6Iq/dqLY9Z33
Qw5Y2nQvARsnVBq0hb9u0jIQaZ2uVTP8qDu4EWSMv8SNFm+apfW/EPsyo6poqnj0SlTqR+uypBcQ
C4AGrFovaZXeypgFOmh76UzIfC33Bi6+cdSo6WtktTl6/4FD+dDMkv+JnRzBOzFZet1A9ZhKuY47
l7m+c6oJ7INVGTjpxOxmyvJ+SxcHBU7e26tMCbdhh56bHgimkjsLrpy/wiIhD0neMABhVcNt1wpp
F5TGDRy1iYq8e9AAhmEP9VB7biUWTBmYjNiqk8MZYWb5MHp4lJYvGkJWuEZ2WNNzIE1Dv+qxwLy1
2eRmHfhIfISy/2Pc/D/dr9+9V+fX4r3938sP/kZxwToXd//n5/9s//jv6L1aut8//Qf0z6Sb7/p3
OV/e2z7nn/5BCF/+z//qX/6v9/9SmDSv2N904mG7MZT9uRH/8Y/+sxEPZs3HVOEsrsL/7MLb/yKU
C0vSYjn6f0Yl/V8OZ0Hsf9D/cAAuH/4f/XfT+RcaTQOkiSBSFymE9U/671iTP7ffEe4tAiaqcUSZ
AOd+br9L4cDObSJcEbZOlQlh0Bm6lYXgnhfQsYavelS4mBjs6pLUc3leOuarxsMMEJR+n26Em+j3
aZepeSONKbuJsYQD2dZQafuu3E1+Yh7hZQrajEndrG0PbQ5OPt9iE8B8Ao3Yjk9DPlZXesSoYFUZ
+RXUu+zWrUxvV+h+vAvd0N1ZGb77ICo0srcwX+5UEssDowHnum+XpRZuuYainNk34TBEJ5E3PL5k
5Mbh8kUyH5hxDyhSWyoHUiwvVWNB2Uu0cTr0+luWqeqVtoB3rTIzxM0+eR0FJFPlkVHANgsn52YM
J495tOOT3b5kTh0WzOA+k4b2bcSK/MNdot5NwuMPQJ7lezQZYRPERS1uk7juYcya8mK11nhMM1dn
AI2PlRTo1HhP9YoTqo2HgW6jyTkKa8g50svo1NZK+wYTBL4V+EhGqKopD3PSPA+gYggVW+wSsTc8
xnXX3ft+R04NqdLybfGhPLMqZMBObGpOCCxpTyvLRwLllYjUkBqsDD2BbWD7mUvlLuRrw4y9B9My
fsGXyq7Sl/lbnnTd3ldJtxUwI74pvc+vEl3eaCqyj5ns6qMMlTqRbzwEpe22W5fsYmMtOXfAaZ17
Q3I/o+yZUy8NNa5Sz08rtHZrtGZ+moUbArEuHL7o5LPJirC/Eomt7VNbj3ewFvMHFKbxl6xLcBPD
MTIp4Ylb3hTgMASNAPRF9MzMDOMBzx4ta6u/7i1ftaT06CZkbYFDLFaLKDaiSR+MbRljtTaxn+PK
GX8kNAgpHadFhFXmDLLrNC5vE/w0K4vjwFUkK7Um9wm8p/SK6xqy9ZXBCArqRTHSl6Kvxj5lV3X0
BCjbcGA4RNZbM41WDafGpu7POQlB3S72qlbMvCn6qMO8UpxxE/h3UTjHwehpG2I1OdjPw9qR9jnJ
/eEbOVbZQZe0j8aUpv16aPuZs3o8nZSi28usuCsf/SoNn0krjrQjnfkm3filK77TB2z7VayP/WUg
XyXcDHMmvnbApSjqyqa/E33ZvEjkEYFfj+I1o9lDyTp386XFneDtSUQbyTT38M8nxtyS/mhCTgk7
8mhWfSjMJ3PQ41ODR+2Ngl8njo9RchS4EjhOHZXeS+rq7nVmT7MOhyjzHxRdSnp3DJuWJKV8yNfA
LypSfMviFTGA/0jr/03Tx3rt1NKEGO3M73YtGXG1QlTlJvTC8jmNKDGCXBISzs0q5dfO5Yi3Ym5V
H7yw6siYHpi5ddC+rpbA2TV7/x3iPx/oS8L7zC7cwBeV1sZDqQJAFWqUGvqWllGdrC064Bs1doQJ
VsI92nqLD8yMaWtKOtu7qu9Z0WiFuAE5v/puIG3qYgyavasSPZvWmt+FFvBCqX81shiutMViOhh6
TaBvWSQpNI46P0Qzaco0w1DE+JXZXaSXWFxYt0i/ADhuiEkWdLpZzML+EEZkk5LQM9YvIK0wHlhI
z/aQXiMYwvrc3lit1L5VtkuzvxXpAK1j1lhcFNDYChYF1GbLGrYaAeAvcGfH9yaPx6+zVYprE9xE
senG1ptXpj3LMPBDs8H974fZmqCgggbFGGLx0YCyC72+j7K2XmM8H2n0ygTfWdasndI9WvVMDHxZ
wscicRQjfxIe0oxlsxJWs5v04gG0SL9rJZyCBLUivQuJywQn01wytBicDfJx9V3hMio2gyBCuDJ7
wFRVPOAh1L30ZtJhRfcnK2+csmNQM9bJF6VFnG9mEAaZ/uzNGX1uGjWm6DrSKec2vQkngEqGnzo3
IsXlpUQuLw6B5xdHuNEty+KEfjxTB8ADT9Sp5aVBcXjpRRsaKz1Jw6cRPT2Bpgz9ViUEqeMSavvk
gbNmkRp5rTyglrc6xPFbfLSgZKKCdKQksxB4MUzhjE0LlPkayza7XTAVc3LuDb+nGek2kDvaojin
vs6v62TaVrQ5h7AW7Ravuk/TScjWucJE6NwwnjOubbsMOcWpLry3POkc0iQbH6jlPHQ+A9WxqbT5
Bmp5X+w6ramQZ/1f9s6kOY4jy9b/5e1DFh6TRyzeJudMjAmAIMFNGASQMc9z/Pr+PMAqCSgW1Wrr
XrxnbWVWJSuJyswY3P3ee853Jv/aI072nomTPAb88Bca87B8p9re40smxs2v5q+JFY8wiSttPgQi
nTguTrRUmNtuq5a47IT+T7/pIjFfGO0sj2EEPSYb4tsq7TB+VYZ54xcMbllkE5KEZl9NLQyGKkVQ
kD1mKZ5xV9wGePv26no+1MUoLsnFguNlaXIfE+l1kyR9T0FrDIzWvTl89VsskNFIdbaqqxE7tK23
JBUzlTobST3svcnzjr3omsfaL0i5E3Z/4H1yJobCRU2DSjJHaAZyoVARTfqG4X1INWt61Xkw9YwR
amySqQ5ckCTdiPCuKrVuqDT9q1l647FhY0TMYwzXxD696EXkvYjGNIqV3djVl4iW3ld98BNS17Vy
j+ZUIxuqZ6nh8QvZpK3UtNcEoMtd1MfJLZOQ4Wsp5bBJWuE8GUXk3hhTzpsXqkUTM4oR7edhABpf
14ZR3OeT9wXnJ+67PnTDEpdV1Ym1nrtGyGBh8J4izU/uEWA21a1TN1FzMCW+1dXsOAlZwbGo9EvD
oZ9D81jkeoU9N4zIq4K5Li4LY57u6yrYjJ5J/p0ZOnJXeo5ch1gF/XUcDOdZGMxA2zptMrLAtPCL
XZp29Gw4vOJrTJ66va0HJtu05R1VhlwJMQIb2RcBIQHdiUfWqJkK9TlW6OfKn5849o6fGdvmL3E/
Go8emoAHUQXlCRvtQ5XLaZuZVXaUVVOuZQfUWRbjnZPOTyyA38mrfY5b50l2Q/c7ditOEBZB76vG
7p6kp8UHR7rpbSXS7WBl2iU3BzkaYTwQzNrquznbPXiZskqoY+nG447rIsjC0EvOpj0k05pWPq2p
smYo8eA6Xb3NZmM+hzPnHeZPg51p/zN10VX0UhdN8b19Xwkt1c0fZdL/Q9WTiX4abfW/5z18fobr
kgfwWv9cP/34Yz/qJ6qh39AcKaMF4EOmBBQyP4RMWAx+I66IlgO9tD9qKI9CybCUbQLhPVoVvsKP
GsqyfyMwRKg4IJx1iOTF36qh3lVQZD5Ru4GvRVpFG49a6kMFNQNjhuvTOeesT3Ga59HYnXmFWofR
VNV8/dOF+UskzfJhsErZVUj3cvi5FIZ/9iIG9miRYdkyF8Xm+bS4iKe29x6TqK2dlcOB4ynQESd6
ysf8X/hoVi+Q4cpp8y8qci0RNJ2EdZ6R5j7lXo3f+s25JDuVy+Eq83ij10rr7qsz968//r2tRP1y
Uq+Qh7n4OLlxHz/eMCMSbzGbntMMJCgHI8XV0GlCl6eoUB83ZsQh/vozP+i7f3woj4qFrY/DwUeL
T17CBA9KzzjbuN0fcoJUjkbm4BRBzeY9loTaXoJe4sM74vqafYgS6dUpm2ifag7XoaLDuIdjg++u
0WrWdZJyrWeQzxzrfbvXxQVpFQo7oDIBVg1jx3Azpkz1/sIz8b7If/sZ4J1xthk2vgnrg8bOHaDt
jTI0OPlrPCtdCm4k7ZAauw162jSaigvCUprXX189QCt/Uub/+FR6HqzDvBj87/tn1dF0dHN2jSlY
9OIh11RMhMzD7wANKuSp83hnWxAwbEncJtjb7u/5s5bPB2uk3EC6x3Pz8V3pme8mVTIK4F4otiP1
wkweKJCgr8T1r3+qeO8V+fFZHm+Wi7MPIvGHRcCfCBrS9U6cLeUpYtyBtLePBIpk3zSRhyeW9dzr
aNEDHVjFGlcJL4sWQ2Fb4o9+/W3e+3HevowJWxlVp6Tj8/GpNSw48sQi6Qx9Kl4SS/pI240WS/8q
UuacX3/az14SybLHe8l/pP3R8CXKWI80szfOddOSZD+RhU4UN3aPDkzcRUaCw9FkIHLBps9T7oE6
u87oYAQUhNBvVmqe94ZaCSp7DLaLtL5Neu+NhEK4DxrtnE51tLLdnBY2hKgu/Quzzwd/3XLNJF01
SDRsFUxdPrwicRr4nTt54kzGFEf6xaizPDdjm5VPS5xL6g6sexMXMHNxLwdEh6KqnLzqUE4ZqnAK
AJxkCPCQnQtfb17dGoTOry/2T1ZBaVroKnC6oM7VP3xNDapt75AkfrZxh0CpUpdZlFi2he6Lh0oh
HX79gWoHffcWw1DiqWbP1TG5uNDw37/FWRsYsZ5MzXlQmJTFw+ATyPYMAhZ7eKerPFfTQZvvRz7i
c72nhcLkYPLuI8YjwPbyCURFgZA/1lkBdGV+ohZk4VTPxHKJGnYNh1gQAo2aXpJzJUz3cvEnGJIf
RP/lrxzF/IKPP4tfwn3G1W8ZeIg+hgLOVLOyArpzLjAb0QeZ5noTo9G6Qc03tYeceeGwjmUftxvD
1lJnDSbBD3ceMWIqyQYzHMGppbc2AMhu9ayVu34OtBY/Q8OZPReU+rBQbB9PkDl7gDfCQftUalnQ
bnRJqM9qCGh9ri3Gkc0GwyBvRtwM3ZYtgAlDEqcFw/4yP3c5eG23yWg8ZW5xjV6AiQEuDr2jTkm1
L4x5khtRTOmLnjTAITgHkNcxMZHh+/Xh62QXE6H1E+SGqGX/JpjNzkwlkwZXrYdA/kY8rDjFi0bf
MD6mquyl1MpH+n8xudu+lLQWKyjAVRwwQoP+gPwgs4MakaXjMf5w4Gz+DpSqJtMrwxx3mMe5xXnD
+bo+GtUUaQy7hYXkqcOUWfb+ScepfI+SS3RrafVBfdYG0kkItmlze101NFDWWRiU5S3ZKCmaAprF
/saNB++RgBS23YRnBH46r5xT4GCrspCWw5KTJ+E78e0KGz4Ncb7ROndZbTgCshD3yGju3lz4k6Tm
3jBz1dZu46P1RTyayks3kUnHzixC4aqyqdMllGVwk9OVYxbVpTZ6rtgFU5GFyaqMRveIHCu8ZqTZ
vrjI/opVAPF4Twuh3oCgCa5rw6p3NZq/ooLhMBCy/YWGVHQyenfcuJwDfgegVAAtqhg2klq2M2az
+Jp5jf2lMDUiiJ0yfOVBGb8FnR+3qxlS40bvuD20oNt8XwOr3mRC9lj8g0w3mSPnI6r0SdMmTCrt
K/Z8Zz3aUVA+aLYbJRd97jJAxdqTetmD7OljezwAhFzJTSbJyUR6N+F6Y/hn2R6O2mQljMFAf0VW
NlTwFc7eyQHEjNqx/KJBrjT5uknMwIv2U+buNF0dfmZ7vCuShBuUa7i+dfT3Jqu9Zj1XLuacbUPU
GlMqVO2fRhAgpI4p73s2TdjUeumxrngFa8Ub6olxIpupRbQYpjAhsU7WDXfWETM3NYppLOo6HI7B
G3i8EDNx65OeJRs18Zlh19yu58lR/p0BjUKk47RvETPdMti2n6HleI+DgSu6mWFROJ3DwkMr8FJa
GbLtOqzQ1fKGuuuMSHPkQZXNl6PiIIlDKlqV8rMnkNwuSAs3HirdVv8QSeeXLZYq2g1oUX0USV4G
t160/D/BPConNHhwNCUK1wC/H+uqa3NxaoOdGkWNYovUoYiv6dOyxMC5w2tWEW/nqfrYsB029QjC
zO2yRnKGA2dqs4kiRAVHVLiEXqDoJ0qotsRD03T85fJtM8DTyOIqa7xFxcABhHDq6bZaziIJgID6
Js/IzgiCHvr5zB3picC5mNBTPPRiRk6p3IpdRLlhpjFp6D5u87DFp7eZ1OlxMrj2Ipv4UbySfFIS
9s0rrAMiCtVfvTkSg5jTp5709vPCAPHU8ahMscVWXlA9xQmm8fXIYPtuOSjMSQWbdIxT59kYOd/H
Tcqtrfgyo+HGrxbKEK6FhNRUVJp+rYe80k7h69cAO7ES8hhx7wz1bfOiYuNBRXJYyFO47jiEF8qa
aoukfKIny25OYjv2cV/lUL4REfqClKhj1dR4KX849YoBAFWlQS9bLwecTh1VkjluX9+KH1PtyVPs
4eHDdoiu39KSivy00uksSMoTZuHMRj2MVTjds+3wBUucGvOKBMQh3jIw9n9PtRCXZr68QsK3sTP2
Y62OQew87aYezq41NK/4D7hHJUmNeBuaVy9QSDvi0VnbGJ6ZxySENScmwcFAuXEd7vQ1aCN55OcU
F2avOXfR1E3TSiNKINv0bwwPdtxWPZ52noprPVAOXiDDylfWc1y13HjqrrBmauEhC31qQOFAxFnB
5SKABeM2X8a3eYBbK+GatQAZH8c+kg9x4lbptq10kn7AUTOSwXf3HGYDp9KxzPj9yyKQpOZ4B+KD
q4KMxLtEiGgeK483rHTUx2cDprtYvfVpKwALiAJ2m/L/cdyvDpVvclcjgwS+lI2c6zBwBPXyyH9c
qHkjs7Xn2oUAk+gI17ZvqDQU4URH1g3fZHkSrRE55QXQNPVscEbfijpl8QFGGDS33giO5OgW6gbF
KM2QOxZ+dchqAiqjdh49mkcznF+m9ByK0FtyBjKGILvHNms/o9gSD4ameHkQtNmaRlc8DGbNRTYN
xlXMV2IP0njkQUcPSl70ipQKkFP8woXICBKKFahGDbhfCt55UNkiwuQVDShRI5ZugP2UtA8K8PYA
FY7b0qpT2uwO3KflxLhsm9Os80SVyqxuuiG/fbZL8pkMV1vFnZHhdu2oZBRrEA/O6G3iQaTzplZf
J3T4FUkEWYD4S97XPAy8y5RA2Dt9nkx/I80ZTnGTCpfOacByFCW8XAasOeZ1TW2bq5BHnuY6k1VM
8j7m1qGXFWgXG6Cb7RFJejfWiETJtLDwVGrMbp4ttIXRin+aNCDGAg8pqKpjApq62AKFGNJTRhoV
nOQuNKp7oRsDj4ifcKFntblE8bL2jTjS6VcKFnkldFclOTh3FKgZz8RyAd7WIlW497HBuqAW1jpQ
FL3l2WUsw7aGQQS/p4ym3/Fd++fl+URb4u9jGgHouCoruZKdyyPi6h2jGzvpT2Ew1e6PByIbMvd7
KXskJlnd1wfI7t6WIBb7OYCB87A8FW9cu8TwxbVjAS8RFWPD2FbdhqTRAJ87eY6Ho7VzVqJpJuFU
VgZNiNoGxbyK1A/SBsWNi2pA0rWFWnM/cRDCEysMwl8tfgKPHIB1PLjDRqQBb5Yk/u/OgDdk7jCC
jrddXLDam5G4sSXdUSp1HmpdE+ho2oFFe1kBLWzL2aZgjpWtW19T2zcigGBlyoHXRm1AjOkCcizW
Jbm+DVk5NXPZSnNh/5HhybeNu5bXzKwmPjcop/EumyxKgpJS7dEbJw5+UAvpsky9y9NtWC3OMase
xarmLDTf98IFINh2fR7eIKHUi2POMnpdLyAW26Ujzs6PehOXO3ntD63dcQghWcZD3lxG+5wJML9X
esMt3jl537ljdoPf/yXUfLRCXtwc7BQQqWS4cTFA4fsemKSBSYN0WpOM3IQgTJMXeGR7jMFXM2aM
UDW3tDw9TiiT88iwn+sclaxyhT3M417rYugPsHf6VVAVDBCYgEG+LuMr02LmiUDWpi9uGuMhF2U+
rdOyzMk1MYvv3phyXnCUTRvLJ09Y3RitC/mwafVTpRb/U4zzbV4jwuZMRdoJFUyap0etMOjC0GUD
n5b6g3YfxAa3p85K/rvyBBeJvMvxlg7gsCKUkgWnXvANKiQ9U0c65Ec434OWE95YaahyIT0thfIC
bRxMj1cVvSqGd73m6/nMVB5RWnE+sPyBbzoum4kfsm7PdlQk3wrOmOwuXultY7WHC43hG8NenqCl
MAz0IC9PxM2VLHkta1pBTqZ/QT+tPhAS7F1GKnBzKD1xHSD9JtO9VVG7QC4cMyFbhscJwjljO2xV
yqHdZQGr1cL/7FW667JukgzD4shQxNwuhBQEbyzqpe+5lxkD2mzjl7SvBqbET0kK8rxg0vtcV7xC
bcrDE/laAlnJ3jmBWplxCbADUduFB8MOo29W7+D4JiaYNw6pHMK4pCLj7O2EgWCr09iZsyR3rSPu
Bl0eKdjG9kB0Ubdyu67eF23TEZpiGAyDm9Z+xmMuHlxX0LJDvBGt6fNwSWQMaBLDtkElkTlsLE4/
OQ8hHWtkcIARSnvkfZgDtRwsR2Zbz77jQMJ0xnxa3xHDI92tM7XGjk8OH8K6Gz+NKgo4JK/lU9kF
yabhDWF1ptohj4poaYlQLUNEMFmldltrDgmwHKdzd2vW5ngwAlt76UrTfsVVNX9LOVV+L0jc5bg9
pLhtncmgc6E0zxzK9inNlS8wX5x60/l+iq+gyuNqWxVjhUtwjK4jCYoriJ3oc1a2wb3DGR8QcEbi
b9LY+n5ybdD9Zuljo5HJS1FN/JvsXI8aTsq5F9zOuUbFmurBAKmi1WuG+V7vPC3Nkv9u5dv/dxMe
GvMe6JN/P+G5SdJnegnvjepvf+jHfMezfrNMkDEYzgVnfpRyf8x3dJNRDngvthgM4jS//jnkMaX6
Oyo4ULW2/zngMU30cwqe6PDN1J/7Wwlxtv2+u0vLHJ87Gj1P8A04Sn3s7tZ9QuPREdWJjWfcmBh2
2rBvd2bWumc7JCz0aJM+zF4M5sneJjX0h09ha+O+lo7BWXgkmn5GAZx5kc/Sr5n1QzdV6YWLHzC+
JRG5/trDb32yZyc/hSLA6DzExsZTYBYOzFEG5Ndn0SeBcdP2cX4Zl5VWPOVk2F/1U1cCk5gE4uS5
JzQ7NHATYqP2nvpowoYEwlitnrwRX/ph7NzbCcM/BNYovIyNorW25jLf9QISl557NfbtlglwURdJ
sCuV2u6yRZDVBjstzXRYE0ANwxGZXcQucU3MDtrGHYf7ubwukEk2q3BsarmW9Gwt/8Ap2KzHLeYJ
XctOOYM5FySQ4SMZ3yQdaZ/XrsG4d1j5KdeT8I4p6wY1HvF0YjZ6EMlrAfFEfxmGtCGLIwkBjGH8
zhsbAG0eF3iwsg5DCjq3Luekwbhco6tFig17S+jOlSU2JMpYM45yzsjlmq6JEcoE0wRxXvHr7E9T
Yyfrlswbe9MHRWSxtVt9sDeS0a+vZdZqR53D6C10H59IY42gu97CYtuE+THUtH4f4Fy7TzSHlG3U
zFCXRT6cBUHvO4fO4rMs42Q7pF1KfTmFm4gdYte7WXJZa5G5Lxorw4zTdvsk70l9qvLCWaGR6o4u
SxxReskuy/JiYzphcGMbHibDMB03jsWSbLWcpWMnKA44Sv0zQXTZZz/XSJ9JwBKvZq0vb9LY+YSs
PTgTBd3cImCX57RM+qcwowmF5hIDUhmOZ56HYjf1RfSYNiN52EYxfSbYVQNj1OGi9aXhc3CM5LXn
Jf4jqfHmgf1Bu9FG7NLoejQPS0NtXvqOn4JOgFm+EbJOpsdSeXBobDifKkfk982EVXZFLzUY1+Tu
meM6ymo5rgt6lse8NhxUdNiJsNTl7XEggGk/pEnwaJaFeeHNkgpClPbwgLaZZGa3hBmw6ZI6/S4G
y+EMJjmorIIiz6HrFNSUzFAJYZzlsR7sh7iSmybuLHNlYc64FFMZEM5DHx90Xt31N10QsCmNY3Fg
rtwRbjdxr7u0qc9h6uSPNcrufY9f4ffBCD+LCtUcrST3xJ3OtlOJr21qSjSkRHiffacJT3hC6odA
mPOXzpwzrEfDaLzENG8vtDmXMZucKU9DOno7Ky6/9V7lH2jCV9twTCDGIH+/9xK3+0JUXPp5Subo
szm0kb22Kzf5XLGtYdjgDXO0tt7rUhhb7EftLiqdi6FASZ+5UbqP0azd5F5un4YRZwexHkkMSpqc
QcRRQJdne47DFUkK0W0ONuk0auVYQ/hOiIIX9HBCFLu02Vqt2WDNnbbF0KFT8odQXZd2JWWqjME6
fohmONFNzDfmZBuPFhyem1arP0VzfR+Xmnwd7QKdlu71erKyB4aVa6Oc4wfJeOgiQ7J0qbeoJp24
oXyMgqNnNfJqGuqKV6Nr7mcg2xu71osXp9OxiQxzcWv63vw7Z1AyooWGe9rLhpKzYWB9AhaN4r7C
PaQiKbEt0IG/YrjcPbWYC/IiDciyyXBuJUJA7BnrE1V68NxAfPuW4ileN311STk3bG1nGDdh35lf
jNCPDqYmDST4jDcuFzaohReCJkdrYGlOrFC/htSj7epCaCFmALc4J3HDcbBsBeVdxxGsbyKOxxA8
qLfpfTAYNuig3RWDRcMjCQbzvm+BhiVDRkeAaF6O5kubzPfD6c7SaPUUPaj8TrHNadtTI02tam4v
c5gAaApGDDcEvjAQhQXtFDi70JprGUBBWAUd4kKmhphkmig8FpmLTqok7uWSgq64RlCU8IjaJFPq
4wve1PyONMnpCES8WfMvDdZB7DdHOym9fUsT8VJrDcys5Dm+WEVtfy806xWNt3FJQ7pp11OVTcBo
421FGcFLriVXwxi6V56ZJJehjlpsFc8voQ6vqtLVuGMcPxV6fY+ySAeKXoekc1E0RACvdpEQNn31
2TtXoi62DNdD+jHN0BzoQ12nSR/gfIn8TZ3X4nNU2dY+Dmx9x/v+Es+5e1cZzbAOcT0+BFKwgoR1
SXh9kiG88u30yi5EsLbJ4b4qYH0fUIVDQXAyEA4W+tMzT262IWh6uGVSXr9WY4PnxYBYxrHHch8D
BnInvuG0MYYyXxd2aZN+ldjZbeZr2GgNOogib0nta4hDxMgUXSIGkCvq92LfdmO3sbqxfTII0dqk
bkFYlEy+tmBr4grz9Mz2eAmyIehWTjOENOCqbJU3Bbr2LOTwbY7Nd2H2ybYTU3cf64697an1t0Xg
0jV3oQPQXfLvIzIXrh1dtvvBMyu+RVTf9EFsCqI1PUUcYbxEnyXUjkN3Qe88XNs5XA7dSr+iZ+5I
xHCTVxAuYkvfiPvqul9DN/1Wk+d2RCkp17pMkk1l81fkP3mrCTHCoY9a/ajT8N0wCzd2RhuJyxmy
1IsXuygm01Db077QVhZDmHNM4/tkkI+7K9u4Ah0T4KuuUu9gMpvaSSJVNhoQ031ihP1FBK6N92jE
UgCiRtvoE33+sSz6rSmb/KW1ByojXOtRF+B/nkLnMPQmnUH7araG8pBbWbLSEXbsCmG/VHp57lDG
r/IIR5sVw7yrdQ3kEOO1CP18GDoRbLaZE0aqOwyoi2tZ1mepjOdNxcQ361Z6ltBeCPM7V2uTE0HC
wS6vS6AIHjUfPQID4XN4auY02PlWemVmmnbnkeC+T53OO5DfGWxmMztrSX6LUSbcMa1nNoAFeO2k
09nrO7FJ6KLtmxaHZgurbWMFBe21sBP7vDdxcGrSvAE9j+HHAwwD5Sw6YGYqGB+Ib0SSaVsbrBx9
ITTSRlTabGQJ/tLc7M6DIbyXKJuqrdR4/HDoHpyxz9FNYOak2gtXvc1QE1txdxyz2jvEeaDRUZnd
U4ZDJ43sr1gOPv1vLfWf8hrBHUVJ8+9rqetvv9eMsN7XUm9/6B+1lP0b81I0b9YfEUj/0Mrp1m8M
9CmaXGosdtl/llKWKrJMw0TctRCG/xyOpP8dfRw8mXezdlt3ESqgoWLcThKSzRd7LyFIzU5jgw/7
SzObvT7EZIPcldGiaVXxlF8SVGJNhM7CqQ6/hZ0SNvOoDw+2Ujs3SvecZi4S6Jyvf1UrXTRtTudy
XMTSrdJNG4uE2mCh20Ge7L5YSmFdL2LrXumuvdaNrpkfAadZZNlQMo1tCQh5DVHFvG6Vfhv4YLXT
OZYjENfz21bpvL1F8o1KIHmEIDWcFPC/W41KHa5XA+M/PdSYdLuFd5eGbnZXGy35xijLG1egMVdq
c6ey5ztE7PWdSp/YmUqVTkN63DLzbk9spTNWZZMOoiPGrRVaEi8LmcsPHUCWZymz6kB7xGd9nqER
VlXZ3CLOCz9XWdJNa72Iy40Z9Aa6BCnupV2Fd/boxNtep34hbScfL+tgMC7dqvlE1B6EP4EkEiRI
D55UN8v5IW+7ZK2L8fdkHGuIIX0CXUbro8uKtTCBk2A3XwlJ4rxXcQ8/pUmcXbtDH+60NpxPdQaM
bhVOJrk3vSsV/BDqQ+xr0a3hNfFBS4MbTMXxDiVYAijMxqLJ8P+gD8VwOYZ5d5lrIoJakznuqs2G
6X5S+vQE18i6Rdd/40JDOExGlV/JSh8urSafDiTLmc9EoRcnuB7tPWP0dMTXrCXb3CiBx9QheLGs
xAs0o4jeVUJy5vPT/KwxB7lnvt0+Ab1LvzOv1B8Mpl4bJxnzm6yxtWszkuRYIM3nWuHdIBXOu60a
N/ti1lG/QxaQb9jJdULEE4i9uq3BKqvH12pomhsSTIGXju249sw+qigsJsoLAr29F9OMMRqRLImI
WZtN8ndG8BBby8nDc96oI7HjVS0I+GxeZXqBo5pOAhQIRGNoBS6W9AJ4feW1VXNS6XIdS60xE7/T
BONuFJo3bnvNiy/LGaRmSiV/0BmGfGOdjm/Z5nKeqWC+SSiDS2QWvvbiMiDMVn7QCG9VDQ6nZ5Rd
3UUeORJqITtVRE21or0cbxT/8UskMv1zPcbjpeMl+ja0mu6Klhy1VlFW/bnWgvmpSkvDJo+yHC9K
JAcPCDDsG7eycNCUwZ5KHmuV3rTYZkJjm9hmS5ZqP2ObFSKXuKgqMJkchu2N07SU5w1YGix6ruMf
mZr5RwOIy5E9rElXQK/gAvhjxQzJqf3skWWkvJ1y8rvzoNK3+IDsbaSVHIFDSvF915cIzHEBbWu4
eTdoJYKbOrSMjVMhYEgxXKF3AGzxufFDyXTH7aZ7NPVmsC7zVNvOsQgPtuNnp25GCr/KNDn4616r
7H6Xl5NObA+tLUgweZJdaxARHqVgck97tPDLtVVVPitJRLztnBWvKcIkd9U52XhlzpIjMinwUbKJ
p157DPqmoRVOEoKPaTmg1RSJGI9GjPhhN3Iwhs7kluPZSHXxuW78vFvTy6jLapc6Bf7NK4EycYy4
cUHWkchS92WQeetgmBy8i6PeNfq9j2d8cj4Fkj7qXatskYDMCCXIT3NpQL9bty7ssHJj9UYy3Nfx
GHC8DxI/zOEUpvpgf8pAfFZy65bAPXZa17Xx6yTLUiR7cGN1zcbF5va/PVXeo2//9/88v2YR0qum
raOX9p38nXhMNsp/fw74HDUvJBFF70Xzb3/qx0HAdX5bpLfCJn5BEn2InPAf9E/jN4YEDk1NC9Sn
6p/+cRKgqYrtGFg9f8eQ6A3/2Vi1DOifJgAZJPWGkmL/LffxRzEjOHL0qYj0Tf5tLNrq7/+Jio/Y
O0w6po9vA/w6E+OtLWDUY91hkrQk0f3pAv1EPf+zD8SAjXaeNorriA8HEWjZRom9zb4wbcPdiB7a
/6wUwU7qVodgQk3x68/7qJ1UP5A4Cq4XknXXNT5oJ9nr58bDgnAhi9B5JvhAXC8CgEYFQf76oz7q
GfkobjVNcOoqXZLh+P5a1gDogy4R1gXOVOjIEvm/3c6MexwjYFJFB+RRJjEzIJ9B3q8/+ie/kicJ
W4br6lgTFmntn24j9PoenlZtXTQGUt/cLZW02c4ZGtJu/ausAfG+F4/MGEU5qk3aw4AASeX98ENH
PGeZHCOLHhcGCWQ1THlXQ6wjMOhbyQQuR9oYnsAf0lGBNNM3zJUKpCBAsJCKGflf6Z//9eeTd+Y6
DuJY6cC9/yD9Zm9AOwSr8QKKHT/XYy1F5QoC5b/4WWpIwoyEgxVq5fd3mXpdT0NCdC/MZkCjZWkw
X9tsBLKCVOHXd1Vdxz+4+uo6O2ihObpTLfBofVTPRygcGOl11gWn8u+Nwb6EKET7C2PCz64di5BY
PoxV6sPNRCxsydZILTK+EQPHbk9713UAdAj0DH/lIFlQwh9/EkhIAbPf4hJ+HOO47NL9rAnzAv4t
HZ1FlC58DUUDdOvyya0SVCYqLWoJBpnC1jwGvW8ef31hf/IEOwSkoOlVr6oa3L6/ib4hDN8nyf0C
yoBxMpNcQFRQ4+ZSa3hCEZNk24TYQnp7c4c7ZHl5beUq+U9Ep/zsDliUZoQyc6cpDN9/mSTFopcl
JS9vjxZnmf0vARGoQ/4qG+JnH0VWgosrga3F+PhEkaWEbElW5kWE+f7uLUGRvi1Lvetw9399ld8v
9SzfhMrix8DjTCTXvz6+ZdgWKeUSxnh0V/OKVBi0+ybiwXlA/NnnE6vDrz9RvF+C1UdC61AlrsOr
w2n8w3ZWJjPDSCG9k+6jzrJc8sqZizQ4GgdiBqIGev92UViEboxSK+CVylBkX0g4b8PGjZzqMKuI
lmUFeZPPTTMKNeh6GukDkZK6/for28sW+8crgYvOAeenjEHY5EyHrfH97c/dMbbGjAz7JtWznT6H
866IHG0XiCbpCGrIJnwaCDBqiEQUm5OzZe7qnGsEa4w8SMVrVjRpWXt9myRKOljt64hTlxnOohQy
0IWHG6btKNtsgXRmJQKKmkVIkqrUJIJp2tdaqRMlBtOa6YwBv98g5bZVTgA3sMxTHXMBF2DGbRCl
6DOxAnqPtKUICg49vxIHwfwOY6gM62GTeSEso7SO4HgEXWQ6+zSv+Awl+mMmg961cnWdCtgymGEo
oWMTFjwhpYUsBR00AcEaMgbnNCi/AwiuDG1zLQgpSNKwfUWZXz3JkkrzlIlouhNU+rdgRUDzz2US
RF/F5HHLCNh0lPMUzd3jEuCXt4nznEQGT/uSXzDh4n1tRKl2aNKInjOkpy/l7BuHvpLVXe0QbG8P
SIkYhlj9ivUXntngAZleL4pOzUQ8gk4MH4WP9AtAA1HFWDAeJxp/+8V0tNhxFtVPOxtcHxJP5V3T
BPOj0SPXLT0lscocZPWC0v81yQKDVqXZQi9ooDys3an2Hju4PSrVFUDqW+h0pqRMS3Sx1SkJ7bLL
5ezUjIqdFLBJBjTxEFhji4xRSiX+CR2aqFmOjfsUqoPJ4ntaBM16bKAowqEwblNdU6m1SnRagQEO
N4mJ6E86CVdziuOyRWTlgg3odV8CZFPrJfm5yF0aq8d2Y4zKVGfaUjX1mVa9OvDcU57ggMzgJXUp
1DATbCabof0akTRqMDlZ7DdQPBmgiNzkWe6R0Tw2OkjIvdt2pIZpaOBKoRKfW2rScQeBlUMHPgUG
M6UZzPjG0zlYi4hoj76o7GcHhwI2yCWG0p5EfR+Ys3GYSSiBXkfixde87/MHd46mq7QChFE1YyFW
1NjC3QHqqk9RWvTHIFXy7CYlRBTEe9Ft9MZ3UDzO0bCitUcgi7Tj6ZpoQP0is8KiXMF1A6toN4in
kZKvp3yeHhJQh9uuADZ5SnQmGjnPJIQrvcnPyPDod8d+lyHCqtvvrkW0Ctl73bXn2OSDTmPso69J
WJnWRPlm20Evay6CChd10qRudo09OS/jLMWmUdGk2EcAiitz3AAFBaAGhSvD0qIrrr24FwNIgCb8
GihXgyzaklxs2NNou/0LMbUSCHYzOE8lqsUdpfz81QmG4mRajOSZtlnzV3CzyZa88nndiJ7b6GKf
BAg+5F8hfcl2g1+HkBO9lnt1GG1WcsRHslG2LcZP4BV6Di+7DF6xWphQVhe6f9chozxiESyPMflO
u8nupv9g70yWIzeyrP0qZb2HDPOw6E3MEZyDTCapDYwpZsIxz+4Anr4/Dyp/U6aqpZb921ooy1TK
YAQRDsf1e8/5ztc4qdVWGKnxMEd1+ZLm0l0XM8DzpmJYmrUQD4O8ewsGl/uDnOVNbJdiPcrO2pVN
zQ8KDTS9mEBIZYhhjMFWEdbGD9D0D2uUXyCYVh2GyaTW33yjrql0w4Pt6NDbKpVq5V6icF2digvK
UiA0bnqkzmTmLjo919Y5uk3ut81aVv1u9DCykwr3G1kI9UtUpJDoImva9QZ4Uxzx5j6Kh/KBpxIx
vWTYiGvfbdWqSUy+0QBn1zWaLlAWw9jcM85lURtkOw1vFym2YWfcEr2Wy2/hd9vZFURACmzbmdAl
s9sO70lnsiHVS8SckYQc5rsD7oAuGPHxhePkmVstFUEYg/oDXw4qgGWNnap+jS13ur+oCIO56BCJ
RDyPw9GL0YXbbn31kS5DX7Lp9x/eZnZjCrOmZredOEf1PeO7jS8Rw8nG5dYfBenQ7gTU4nAR9DcN
y3ZdByQvrXL0j/AX2oR6TiA1sZzarrnnRd+Uv3qZCJtvcyNdbdcY4m0RDFCKM1d9xefXMhjMDe8z
w9bo2ImoPxT1nAjyNZN0hPGZiS+9HN4ypKpbz00TJssz28cLxP7ReEwXZAuH0BbhrUSByCwnzbdC
qfaQGf4CErNqPjGbLgNgWa76JL2uPCP7/ga1+2WyXesu16xL9lUdRhl149YdG/s9AfD3vqSpekzG
gG+OO54pK6GDEfLugAAAKdIcmEzRBycfiCVUZFU0Ja1X9vF1PvaJOgzRZF65bT3fEBnunP1lSmFu
0FUGi8i3wBiMfgLwaajZW6Agxc3Ude7dglbijubbeC7TsF0z6O5/c6VRbOthcb7UkS+vBr9ZUDnG
duqv+hA+cQ4cY6VGwGFw6Qq2iyj2AE+G7gkL2Je4MdSjGpIcb/Jo3sCI837NlZ8n664QEc/KysJO
QoP5NkKICF7Ec05GpCJ/JWTSv9kpM/8ycMixTOlfWr5p4GVDP9LtLba8nUExK0kTsW0myQyppp3A
X/3k500DCMxZHptUID2Yx+VhYCYNjTpRr7Dm2nFr9r2bngi2mbx1WONbXIUxQ9BbnwTwZh+JsT9w
yjWus2CpPwHTsmEn5iOMR9sIzBytaahuFU/4b5Zs+5uxaeQeZPl8VWV9CQApEjFKaIvjBfFU7R4h
B9TShsrCWCcykA+JLQnuqbKYYXLPlveaTwNksrnwIJ7bbKOOOYPGJZKgUhu77IjbLmAg3wzBvMC8
jVorBHQUwN5k9/1a2/4Y7yIStNBXo5l13dbeOoW/HPoxSM9kH7WfGCD3zyGBRFtCvxk8ZxNKc1iE
K9dESryalizYOA34/zUqavGO6ZHn0GDOiIMYGBQbl0t1L4HC7mnEBt3aA/J7h+d2+mR2yrjx0gGD
Wuq0zi6kaR4wW6i8XdsHnlrXdgpvc2TtfkP8OX1uQmf4DZ548K78geGr2fhjv8ZQgJI9qwsmGDHJ
Z9+WYWnTTUck/HgIhuabJ6bkvs+waq0WWm4nB8FBTWB51W4EmPh55QYkSOc8ne+MAq+NbfrxsIkS
avaEWHkCE0QdoIYZ3SG8ykfm3IYbyBeBBwirYrJkd2htA3MV0xZGVFMUw6oiCgQYg8O3VtBAcg9l
g6BnfJ5EO8XuBwPhP73Qv+mF2g6Wuj8cbTTh8Xdyo0ZI/vd/3X6Vb+8/TkQ/XvJ7I9SyGHvim3YQ
3ZBJ6v6hEWrZnHm+5x7ZzEDxBKPKxCED84FB7Hfuosd/wmhHq0cf2T26XN95k783HkFVfvAn/00j
0rKRx/6hveIBCwn026CbJajT/lMmoxhcJuxd49wEcR88zzh2jrNjGRCPlsLczKJsW/Co9cm3uJPZ
J1pcxgv0fCL6iv1IrXvtxeZov3hiyW9rOHMA2SaJBM1uWkYoY+fOYNpc+YI1o9sMycxspZltZlMy
ZDSIxAL8qi8quR/VbJ1HDA2vlYzl3dJFVH7aizbCJ+0CcojiTu1SCPEHxFqY3rpcjvTd5mHvR3zE
VSMY7q2ThLSzjYEe5d6d58DfiSlUyYE+1jJupjwzv2QoxlCOzHn+3gZGe8dWL0us4uV0F8d1D7M2
ifndy4az0IrNJw+O9dy5CwCvcWr2zC34r06P1vJEhjEHOZ74Wp1UkaxQclA1TiEfkFNRvBikSbRY
Nh/ssKkfIjdLzkuWy7u2oPjJgBFvFPJHntV9DRVSdcGhjDgmrjMX4QYAqgHTU0j1uzFwmVCtOrn9
aWiaIViajYrNemgPseWl476M7cQJ9iGjn2QXdAQem5spK7vKXKPpn27RI5aVtR6Y7hzd3qpHjMNJ
SzBE5tMgqPJtGhb0QD73TeH2zlliI4Uy56NRCr00ltNt3ko3ircMb7to1eCcKXeMgEKc9w5tdYoT
Mnjiu9iajR1uXguZk8fz3OZijhQz1z2zXLFhJuYH9cGkaRhf2R386E3r9lIvnGDBr01q4c6YMpXD
b/ZVIU/DMI4Nara5zAaHKKi+l4rhU452v7dekljY9vLKoGmuuvdBtUMJnTZfliJ+uNzF/9nw/nbD
Y/f56w1P/ev0teu/zn+cGXFO0C/7fdMLnF8QF9HgYd/7Lvb4ffoTQECijR4iqKdh9QM2yfqF5RUE
IcCWy+yHluz3LTD8JeLHsQ1GtokX459tgYTQ/bgFQmbyTFApHHBCWtmQ8n/sPdktFloHJeMhwiqN
ibBzmIBjdMyvRCy9q8nsWvmYeH2MrjQV41Gm1fCAIlmWeyYZcw4FHOLSigC5FN/a6JDPg63DbuhY
YexzU1RTvQnEu6IRFLXZepkMdZvklnA2FrFfT5NdeS9+Jd8KgJ4JP+pJtrH3OOT18tB30RNYT/jm
VZO7uFUKqjUamxizCZi7GdmvKwTkoXXu/dqBMzaYL1GONoVOY2qfq0rlp74Dlo3IkrK/4YXKD4wt
aTPTbYkFfGMZlnWOF9sgHcyI6LB3hC5wWsBhJMul46TCNoIoMm/eHEnsyqL6aL24fba6XKhLqHkX
iC98/ylhnj2vVpZkQp53S7gPCQOu11k5HheI6msC5nhh7ykOxTYj6wx1Y1RGn2W2cMCpitB8Qea+
3PiNjNZozEm7A8x4wFXcHaUx8u5WiH2e0Jl516dDtFZp7cAYHaKOUIqUttZK9c4CdD4cdXJqYryO
o+M9AgNma/BHx7ruwj4y98qziuc5L8Dey2S0XjqYA1SZk8lPK0ox3YUYUr8tQoElcNr4lItJvBso
0m8bRtv7y+dD9tkdWdkdoUb8ebQBsqPdK3E/0O6s1M7sxmo/YhYkt6RZiPfjIvfhPGyrRY5iFQyp
fZ2EFsLS1TjQRLgmOhS/VlxY+XJAfNA5O0EjCaMyOIaaLgnpGpVR56fFrY+yc6FbkGE27oY0sV8a
AuL8ndXMIbEjubtAzitZC+TenLKx71H7a5Fs33speFCi/OpyKZ47wykeRdPNL20j+uuwcqKnbJHh
Tjh252+YxztYJcbkKm7h32Zoy1HSzt6V0fBlh34GiAM+IxMvkn3W2YIMxVvsvtp7jD5XudeSq0N4
HASyrAGmV6l5H7p9hMvKdr4p3yH+Ne7KsuYgvEw8HmyU4LsoMwdxmxc1PwsHbrPzax/2w9qljICK
KLs6yLYc1PpzXEbzTbqofO3UebpZBjO+Kf0yJQ8QmejeGiILg5hwnosxzPfYDAwaIb4g7WUa0jLc
55bZPw61++INBbEYnvmZR+WcrWdIPwIv6GIsW5kXNwAiUHX2lu/v0nAhpy2wmzXuk+qUxFRpSIPD
jryFor7v/aV86A3H36l5Lu+91LVOI7ww6BUt7T8OMTqNZ9hiu1tOwm1zXIe2ctaq8JxPE6fGlVfO
JNwgqOZGRe+KJJUjaGXTk1kj9sh31SCnrbbLkDEbZwQWq94gg8bhZIem6w5tWX6FXsW7H7yEnCXs
QTqMtgfTAsMkzjD3R+51QQTtuFGTGbwwiEpvYstKfpu7LINSXh87Oq2bpYnyTcWsXBGjUpNiNGfk
Ca9NXvO2tFEbboysI8kqqcv2EXFpk2GdtsR2FJKEQOSjy6fJm000K624lU7TnRazqZ8N35v3dhuY
nPpmA8MpJhjT2NKTpdSQxUDogqh6goEqz+JW9pSFvl+ZG+n785WKKaLEtPSfI35/h7RaSoZjU9ZB
v/GXBPV8TBIfYBCdc8sRmUxBHb67MttxXJMOWWO5q5qOE70tnvwgMdG8FXD57a7MriRW4Xkt0byu
6AYTGeX4dLww5017gf1zrebyjfjldtulsw1buw1u63k0nvKc6InVaDOxwFaRkcBSFQPUlnDpqN1y
OJQVvtVasZkDsGRX6jkBv152ljYfYny0ZX4qMCxtbGuxIHDru6iBe/c4LexRHQ7tjW/A5gbjS4jJ
Clskx+/ar/ZTwvbMCdB2uR2UfbY8/UaD6KZNhX7ZWRcyX26UqSRud2VE1S2P7RkiBY3uTV0vwxa4
9nLThZb3Mc/5T7n09+WShpz971qZ26/qXzdfp/S3+qdySb/s+xnxYjN0fQ8uJEqKH86IJjBJhmdU
PZRFP4hlLg5EapsoZM6otTJ/qJcopRClobTVwEZtXPwnR0bvx4E8O3fE23shBjkOn5H38+y/zdyC
KUKVXXf2mM5vbu16/aqiW+tuTUEoZ7TCs62y+ZDCjymNY22LxuuQfwfVgcx4cw+VdX7vHEDBa8Ns
vDV2dblcTZUffG27Itig/fO7pT1UQ0JUKE+YQs3uo4ESMRwT3UG3G5gjQYUw0JwT9IJQTzAPRXfg
34bggV6/JJy38QeSOx+dioDXta/kYL4SGg1jcEVCLNaaTtT0jE9paKj1FAaAmmXpgS+AjOPlEw1q
6AlN+Chs2mrEoaJUYs+ySCzB7Zdh6++f6Cr61jbMgL+YmD2Y2I37qpGhTYfTLEkSTq00B+Ztthj4
+24XtM187+GBh+g9q4yX+rOx/NpUZpDe/Oe88n8SrZMtjVDnr2/AV0r3n24//aLvpxXrF7oqNjI1
lxn5RxzG99NK9AsMR5ssZUBtoF+1Pv57x4a2jL4pELQHyNX8gPv5O+XV/P9Jqv5RvOABCNQ2Y4+D
FMcfrfb58bBiSb+VpplQ/wHJoqldJd6d06nmdilUuPnDpfk33aGftAuX90IqaWrJHgajn3UqnFpI
egit6hg4qHwWiSIlo8p4vnDxWg0/+uv3+0m4oN8PnqBtByAFaUj9fBCjGLWDJjR5v9JiTsyoD98V
kdfoxibXOVaDBrQ4kybV+Kn99Ndv/vMpkDfnGOi7nAKZe+lN8gcRINQmJqB9Vx2XjkTEsii1HMeS
4fWFEHoBdMW2+Xe/8r+5xACAQ8f1ab8R28yy+aP0cOiHrFNhUB4vqsPLZF/C6Ydpl3YQQmmt/801
/tMbYkgnuIVFpKUWaCR+fMPMNCbktXhnYIog+aCFQ5OPUXsZOsavTvwdRfC/dxj/dF0DDymKPsZH
XFzEKT++Ib1o+oXxJA8jDIUcwXHc2xTLeg73IVSbYbvfhkUFeIJ8iHMrveq5apoAo5yfL9UqCfrg
TFS3Pa46/D+wkfRRxZqi6YWc3b9ZBUiN+Dx/VKLwvMB7wL2PsJS2xc8CxqqMwiQrh/HgBU7iPhkl
ycxXfVLgykhqyl4i0Sx1oiSeoUcAwgBAVCXzGewFGBtT+P4p5cFwLGcN0XF6RAvCL1hLQP2BkC6h
dTulohQnadpIVwhFsm5LW08vUX2hrqGlitvV6JigqtleUDN4k3WLsQ29yag5po0BlsYacGHEqaaW
LJ2svS8hJfZMascySQJgW2akneMhKGWX8DdpCBrwkJnS+ExecxSf246Sl+TzrMWnHvSzkZCxR7as
9ZVVOhEDZ6XYPm4GN5Luw1TN6royBeIa4k7oCmitE6cjNoLuwhudZM8wVNGrjPIW+iJU/+b1ogRc
OhPcl4SDvp6kRNlWOvKeeRa0x6glfHQ9mZnWmXdA2DoYpR/T1lLGzauDAv9stIb15GkBRLqk3psX
gT8+QqefXv164Bnuo6hkMqylpEAe+U05+KpVyQS5XV9gW6QcIuYZQ6SoF9truECrizWODlvffF7C
FuxeuyCXuKB5E6RQraM8ZzcTyRauo8lAmHFRpH2sVZElQOyEkypsB/lEGZLV9A1czybub5YMiXsl
mS0b3ZyLUxTEaQkaymjLAf0rgX5b7HDis5BoXcKG/XQz5CPAoQ/KELx6963uw+YV6CQ3/4W0p7Uv
TJAZd8NeYmXQhyG6XKPdOnwwKOz1JJoeA/oW6dtcUu7u5pV8PIbOSU13ZidplCO6EZZzHAVYoJVq
NIZYuYBamP93h8v1RydDZsAYuluRB8EmCg1cSW0VmbeXvzPEhLaUSNjYNxZxMPhdH0QwyI1Komg3
tj0LWOjbwx9yfI1MxWMUFThK0Af0aiTdbgqjs4M7vKNLRS2Fq51uT3Y7tH7feCsoBPb02PgV6o1V
XE+x3BUZc68YTyfTR3JjzaOyhkBiqid5HQdjP6TGfjZH4KBtYszxGTKRB2gB5ib4RTEO8bW9RPOr
H5HUKmejlcRa9Et6r2bDVjS65Sz2fcXgoefIqVAlEDRphNJY13AlEA5LqKhJ/9Q4sdhOOkgorqJ5
FznFumWmdlROS3RjmDm3XshUjsDkQxzN09WQ1NOTX45kgzaoCHzbmG/hbvlaqGC99NiMN42YffiW
k0XKqRjOSrQMHQZ6jb+itotc1ldPTwAmx3QlA0MecM8mHDFNrRUw6+U27MbkHQkIdJ0yDU5VKvzb
xqyieDUu7nyN06TkC4doWRMjl2iu1DK8R6lAatQbY5JuWNzRycX9VW0i8Le0J4IgfnYqFDT0A91P
zPVxSnftW2UFpJcXpuceWuWwZcMmZ9EhdWZJXWCLwtK6Z/bl6cxjjrVsx5VIYQGAASajId3P/dC8
evRinnWqM/zBJCy9lSfldKbnEzOgpLb4EL2RBgceNVdvU413JfN8Nszazp8yw8w+Z6T6gHXSGD6Y
xvCOAkBNYROZONxRhAEjDOsn3yu3S0pKZM+vkewspwy9k1csZvR5AWv+a9kZxnIEsTmGR6fsFket
raafdk5nkRjhgxv7QrSg52+7ikN51MTXYO2S+67PxDEJo6dAiPa5GLq3uZz07p9az0T9jZts5DqR
HcU+7zVWeiL2xP51NMCJrEm7MW+aSAWPNpY8TjdSHT2ciHLjqNaCU2UFTIrqLtxFtHnuphEg3Q4F
53OJHGRTTz0OIwlZdkMsSktkTeF6KFicuLqtAsP9UlgOf7/hidV9Ah9ox19g0KUdSIcmrndLWNP/
IPpqdBk358Y185uRS1fiz1/oEL3MQUi4kluFdyS2mpuMXwm/INHU5GzE/Ws9IS5iSAdf3lHI1nNL
8rW2EcC0lMwVNgu3SDosjv3M2DALbw0NSetKolM3wIr7d7PIIiaEHo/B3F9YNLRioN8mJhClydBL
ifYYnT+hRTUXHGN7IdVkJKw8S4zae3/QOGYAbvQzcPEnq/JCagtCom3ThokajfeKJTg5sP98SFgl
fUQE1EUHz24Wkn1QekmPRVrjSyPauussrHnnjIcJyWcBMtyLpsf3FPq9iwyo7nhjJ4aRv9D2GteX
LTAQGj4ZGIle+gr9+/2gKsRrY6Pca9gktPgLD4Zsp1V/lQOzhLZmx4qwF/R4zPqm+z712KdLelII
AFttBqBljIoQPo7l7z8+llV58DhbkVFJxIYm7wQa9wZSG7bkjElkkNS+iDogXgIMmU/0Rv2qh0lX
uhivYGk5a7OL6ldl09O9sz3Jp07Lht9VyYW3rGhgBWe3bYqep4U/uDVxbSLRvUgVmkCX18nk+idU
aRlG9dabH2OwYq++sNhY547oMdV0WpJRjFnPI8NKnhRnZMK5zcK/dhcn7NkXsYEWtWGemlEY34au
jfYInqJpxWfWGmIDJJs9kcezCgv6CHDfBuvJ6VoeTwltxXzXBRq4mEypvqJtzSoEYspjfWxCZGAl
mtLqMdbfaJY5fE1jqTGnPavIsFpODYO9mB0gaUI2020RMqN+tozZ9VyuE6Xlo++kxvgo/anwybbG
syLCc5GHkc+jCi+sw9wzARm9m3NSfa1PWUi1nOwnNSAbtCg3CrPG2WeieV3HRZluBgUGAEiFvS9p
sCrAPcI85W4nbpEiS9hfYt7yD7N014tORbY0N3z97bkO2VlyKYyXyYjSkzGQqiV7DeSew/KQoOMm
aY486GJUHr9H68N/iOlQBtGVO/fxumW2nIRs6U6XjDvLTKxNt1jlqpsmiCUSo20yFNa5ctlioOEO
9C5oca6snIpk8Mv8m5G63i6UdUwiXl2irGxlvYEVpUj8rr5VBAoaxXwXTa46sq4pDMbWvIuGxryj
Uy03Egeo38/lYRq9dkttHD9O/kiIEw/RDa1ftZ1c986FqXIDMr564NvmuVxNxYknX7kHf2CsQLQM
67D0t0lU3Iy5i/uXS3VnQsWBVO6Pr11tO7e1LLEgwh6lgJzafcGcHNndvVNaZyq/aktImPkNc6R3
cj4GBSXJW8QbVYFy4xCt7/LVa32+EHfkFt55nqPEphw18YOKQDZrgydwv5rJuGYHESY7BM8rdsOB
Uf7Y2sbRd+a2uelBiCJz1aTR1O9YkYvUCbkxRtr+fs4V6jpJ2f03R3F9SvrhVBJyLkGUSWOBKcCf
9PGLtLOIJ15zaC6oQspYcA7/Bw/Vn04/gHEtSzP2Ofa7HNx+PK1FMdEhGbrYQ0F4EqDLILCeoA6j
YHYnUH++q48ul+3wr0/ffzr68756outjzHBdToo/vi9H8sLJ6qk5XBDLg1F2h7KfimmnAsH+VaPa
Pvu+YC9u8YOmf2OZoG/z89UlGppTMTc4H4KB8g+ncLLa6J5Yfn1A6oV4dAk7+ynUu24WMH5ZYcHm
T4THHEt05f0BkL1cgP+0zP+2Ze5bf92x42Er/rV+6+oird5+7NtdXvq9b+f9wjEL41voe4FtX4yk
v/ftQpcGuEVvybRc5CwYTf9f344YW+a1dGCwljk2L+Or/y4zcH7hr8KFtp3Iw1DoOf+kbY5Z7adF
htyLIiVCYkVAlOkEWon1B3siqv22BGiXHaZB84etKBfBZukTqnJbdjjnB9mg/AzNQPjHmJhrPIy4
BAlbX5jTrG1FdPOOOWmZb2uvTlqgBrWldOIz4EwUg/DLy5RCDcKFe2xqWMO1B+J8cEeW9KytLAVj
JdQLmtOkMuQ+PMKZ8sPCoC4iSvYV2HXz2pgLN5zMen1SrGAyWcJ23z76FBFHr3VdwQZejTWSpr1N
CFS3pbDUL3EwFq1zaAP3dku5z7CdN1aM93iq9BBbL2jUMrWmc6fdNZqJDLe2mYLuLrGrvD7hAKjD
kx8FOFKweD4VYODpRWiWulWRub5uXCjQUM3YBvJRNz8+vCO2neDgAZj4pCcXb4GN/rOujfHgSOF8
uhitKoeDbu+YtAv8Etl2oh1BqwuNPvM1cZ1QGETmMP+pFCkA+vesS7kCl2SrVMPenVi3rCan469d
9sJSpzvMiS5Z4LVhc734ipRm+pOAoLH0OtViBJe3MASf+K3dnPcMc6d55WzL7x5d6sVRmQ5k5bS8
qkRAvZBTYYUyhims0ukmi1N5dOqIODldtvOw1NfzQwBfTiU9D9Y1/8/HFwpXlIKR+Euqq1F/w5eK
ka+0718QjwKMV5egpym3qZfMHrT5Ax0ufoV6BpXHWsJzsAp7HB5rD1BgqlNfqcDEZOj6ZnYNbx0Y
AWdKtFZkHjZ5KeAx+L3r7AgdY76OPusbRlS9X8qKVnGhzsPSe7gpcN8AwsYZhEIgewgkTkDASfB7
G6u0nyoKlNfLWRDiMAs9n2C97ygB+Em4kfiTBwGfTWi+LvwMDf9W/Ds9CFaD3WneY+QM8JQvR0Sa
+1DuiyDgAU3GK4vPsKl9Y8kwahWoZngP3Ii0DnPAeCVUq104KNElGImQJ2sYJRTuEOqor6tM421z
VLZkg7JESYjR5t2a0EL3EIBcOBqZpOielcPnTpeRWrXUQHGHsTEWD1WyYmJrJH2JKipB/KHJ1FKv
EzpZdMp0UY/OmJ6hN9Ijs3p+2KD59LS7oi3xohyiJWz/yyG5a0ATX5bwpYaetV8VaCOdeb1IY59j
tXJ00oKykSZOCbcCeYKIEQVMlJ1Ni/b545w1wNXGO1SEukGmG4sfT/yPOAkNFPZTXW9faiBke86R
aVb7ip6ahASvISDMH33rySXX99nQrcVVwyEZkUqblLjecFh8hKIsdgimWXgKc3QKyD4wU/eY9hpe
3l4aWChdWWCGzkCBpcv1ubTnLke/DysHfVpceQLKstKBFkvr8xUO6cxPqBtCm1aFEdJ1HINeOPdZ
KzE4GR10R4biS7QxiyY4+F5n7j6OonDxOHgLBK5Tra29zgSYZrf0wIa3ETdFvKI1ygfiGDOdS7tW
4jxjkLkhuTrapjOeageB9jmP2J7DKid3oLQKfo7rl1Dgcwq/bKjtJ1PHIA3glrmCnMvODQudrGuR
t685tq4D1MhkHw/CfrrMVnxmnDE5xDQ5Hnuc5y71NFuks/ALT7m2nhmRtiUWNg3R2FwIm0vqgIOQ
U5WAtsGjYMrVsUajq519UvEtFZqL36c2W7MVz6wptCos8Nlf+Fq7ntADk+hPerAVdL4Wg+9T5s0K
jnFX0hWG/sJ6sXpGA3XFKlWI2LRLD6RzWmOzKRnRkFRUNjolNNK1YmDhSDm5ma6J7STu35MceH0q
PFZ3xFsAX6A1kJJkcOU2wOhHS5OOLmvetV1ehPuHTwk5mj/HwMdXriM+mEJrJLuptz2prHZ4kC0D
2h1IZfY3zoFELAhHr8dIe2mbVttFoFzGv29pWY8pbsOZj4eRF9M6O2ZhT1gpelbodA3yt3vX5+4q
CgDryGm4vA515+WOK2XoPqtqmKz11Hqd2F121roWnNYVEUXPVupU1bNKkjn/DEySfaJw9S5laaSD
K8BkRwUH9WxsywdLjDadhOqd8GwsPE2jHwatqR/OseZhX3JG1KIzK2CzcAfDzGuwOwhRWZzjZzEf
2H6cEnRiMlJCaLooihYf19NVSeuOuKUgpitFIGtUPCwZ2B0zReCGa8tIni+JKtXAoe3kVtqJnI/M
FZjHo8oWbDH0PpUNFslpO/+9rspnwgm6ExLsEQr7HKqJOsTpnih9j3WkH0S9X4G1m5PmimdMeA86
x4y5d6Wz61oUQC0xM7dMhrCuQiVYyzARn9KgpUM7V/Gv7WBvDYxQ6IIjb90NGtuXcQ+sxtIqDVxB
w3zsxdjAE4+6Mr4n4huAXDR8JjZ81zRwaw30hvcNjtSsDM6xDfnr80z3x+A5QZJ7fISXWLKrZtzh
ro+ciY6zvWmYKG5s34aBHDC6IbepdbM1kfblwSIPllght4E+6ObOLq9sGa2CdNmRr6xOmLPyfA1v
B1A+wkUx72Z/LoJDxLLs1kk/QiCyAxFdDY673IXTEJx6olcegnSCnDUZDVokZX1yLVnfGKZf3aVL
Hp5g2bJ6LU68vgjrbRJCjOCcATsvywPwh5OEHMSR11n1hje9FW6dfZqD8pObBW1xXbS9+9DmotqC
m1fh2kUyz1Hekd96pgZfRIj0q1e4QBcW2bb1gnQTou3azUYG+Uq2cjNPQ8nkr5nE2nWhbKG+z27C
ThA0xfXy37MhrHbLiHd4LlKTpDn1KYqyZpenQbcPYvUrXn1So7LgS9JO81l4M/3jAkaQk0OVtQev
e+hNLqsPwGzrTeX0WzbaT9hu45Wl+v4mTMXyUC6zhz9uLHcYC919HMngGnmhuwUT/NRGowEi3acy
2vZlW98MYJI3eU6ugKdEs02oG04joScnhprGwYvq/phHo3tdO9A7uWgVCr4WLZWPgHJq23BrRGg8
MnasFSskvwf9BoM6PBkwWO94CJDg7MpqlzA3OxadMz8ktbN24DkfbDQc+1A/IRxMepsJlOkBBqmA
YTobrz0UqE3WdNHNknkPY1raG+yo5jlHinpNLNrwCWewcT2XTdEyZgh4ncL3/GWQRURdgo79RDu+
3WfpUL9klO+60VnCRc1KOuB2RwsjUI5xa/qtuebJG2zy0N2Ngad7LXl5VGYQvBl5SR9Jd/KsoKDv
2eGPNQKWDQ5oZYJxAO5sgltce8wI12z+wB69ggdRIoYjPNf3RiTu1h6wyVqNWejdyjrOoHvf4s4E
cYk7Ynpxa3tLdd1RCaZmReSSmROn4/pPRHZYt+z8XblNa9xyCJADtP6Tsy9J9tr09jzzpRWWugau
F1irxhlB8rORcNQGn+mZZ6nywtomgGFnavEWdd85jS3gWlZWusUhWHqZvLP5JzuRMUdhmNps8HzB
0k4EgRoEejjxfvCFwcbUpf4hzEf1bOQ9rNzZJ0UMpaYlNh3AqS4TUCb9rr5Je+6L1BnUc4Ol5bj4
THoixne7BVcXckY9X8iCdOfj+vikkilkiTtl7RqnFLujtNlIS/K5Ae8kOhzrFsVl/9kQ0UjiZHjj
wwdf8/CKH8vRRo6rer9bjZxdYO61NBg/934zmgQvIJM9Ga212OOBXSvaIQ4bW8Vs1KBySji4Ya4Y
IoDkjaw5hhBbEb7GLQ7oQ5xlqsEhpmaTCZBnMdXYByQTLZCNCxdCbAImVqFF98zReQ1FyVPXHkkD
wTgcOrhFVOyVVy3t0naX17hnN+bFmy47nJ5bb6QGxTlJtVWpnkLEly7PppT28XwydXjqJZeLfm6x
LludyRPpmek/6w5xdNbhj0D0NTblT2ibUUB2aIY0I1QsonVe1sjTPy/uMsLUAdfd7khJoxqpGQCi
SFY5D9+//gCW1mH8sf/GJ0A+5/I/sDX4FD/1p5TwrXqxh+TgTegDGAX29FxHoOX2LVxjkVBsxs0+
dVKRXA1NvFToz/r4Nqloa4cmoRsus1j5zy8LKhmUQJTt2KF/Fo+ATI1R5rrJ4SPTFgA6cLW0pia9
pIogL6fyGcuF4siQyd+BeS5dsZ+uCW/v638owTGz/djQqEh8HCvSJg/eTGgbY+R2bnjitGGZ8YWI
2SMR3iHy9ykPYuNo6UlQ5RYuUluGD/YdhBv0qSszHxJxGPQJummRFX67jPNVpSNl/vGXiNzDoo1K
r49J88/XS0ZJikEyLA5VLPE0MK3FzInIRKe6oC34H/bOZEtuI2vSr9Kn9+CBA45p0RsEEFPOEzOT
G5wkk8Q8wzE9/f8hKXaV2F2lqr20kOqUlGQwAgFct2v2WbvD1leF9ty3b6TMlvt2QKtoE87yaT13
9yXBrL94Rb+l77ieMB1tASk8XabgMfznt1CzWm1VzA0EFshr+B8uhI+qsh6Jp8esvR1/P3oBMazQ
njJyvqgmbBIHQQKX1te+2c5gvLP//oWZ/78XZrOKAOOG3vz/KKIOi/uu7Nrk2NgxEyo0grpQkDuI
qM1MRWZfPTRJ4coTJYPcMWasnvkZlMmIEWP0qF7YLA66jpPclx9zsRg4xmoph6hYrozv6ea1KKKt
b7rbtB6cBnyzNXj8jKZsvNQViOvh/eehNC0nHB4f8JBqaeZ7EOhYIQiNzLfbHPdG9RHX1tpjt/Yt
BwDOX3xOxu+yOJ+TQzYI0pdEQvR+N4clQqOjlV38wUws7oEQ/bEguGo76nx0gH14NXAjjdpDZWx7
apjYvKwlVevD7Nm8W7FJ4+bOWjWCw0Ts3B1vFn+fnQIuyIc8ZBqbyjx1GSqNmljTH+sYBYxWQQrC
QsqiNyDdZg2zDOCnsEIX1hUuB4L3j8/+byX6r5Xo7bb+b7yjH0p08JbXw+869PaDf+jQHooy4vP2
nYHyAvWJZcMfOrTYoMfbkkH/Bwbxl38UYzfeUazVbHd0jIhI1L/8o9Ynj3sD1m7d4NnDnfa/0aGl
8+dlB0A1R5oOaCI2SRaX8++t3Bggm576KuNyxdYRr4e0j5chCmpD98ulv9JwfVH+yL7aH12KMXxE
8vUV9cwWOyMVx35stEvyqoqWKq2khbatdw71lld1XB2TzlRnkDZOADnEvqhVpT20Vd9sorF2MaQu
U58s7YeRMwdLVW9gfV7ThCeatvbLbeFs92Rz+fXE3kCSrQAhROYhawGR8rpnP7HiIygPenDL7kyK
hmRDG91Na3szg5fY7rG+LBtxbHuiSsCA8p1T2GchowBN0gtYc78rhNpAgRTZlbAwdh3F0FdRF8fh
NJCZHXXM2qQ/gFZoIaOV2KNCrQeosAxAsXEg5Vs9e8uYhX2zZY4KGRZzd0PBiAy5Ww9vnTGghTpQ
7BuLZjuzZI8vStH7vFOSM4HrHZdepfcOngc6c8WKiAqyYaoXBNamGY/xkN10i6fTQJyvrFRTIjAG
nAmpN2aYEA9A3wW7AOx99kcohGdOY1eJYPZjLr339HIKh8g5eKU6NpIobVQY1N55dbeTHCUDI9K5
D2diZyXLZ2sYybwM2x+iyYdgUJQmFosCemFpNvtm9bXsvcCc5/LcAMC4gL2z7GiDC+vV2Wsp4SwL
VBjFJxynUh6+fgtt34u887DUlCfkBjVfa6R9XkwEBo6UVtgjsPqmmue9IeGEEKJcTgZTzKNDROzU
C3cMHGdq9/0srD0cWM4Nsy6DCveGb7ms4BUgiBYtKfRE9qWZIcZR4HdCVCh3hkWjgOq7yTc51LAs
BGfScmwpYOfmWftY9/Znd16pG5ocPx5tudcqjrUYVJOD05Rvq5V9ydqB0oY66lC+pyrUvUw7t4b3
XaLaBkBlQIZkbCb62bcnLgm3i++8Oqv3FJMtm+xV0J4BIsqlz0PCMvPFYJ2wY4ovi1zFDmDRxazl
X9dFzuGMwSfM6OU7WhWi6UpBBPYergWI123gxI08JquEtUL35Q71sg1y0b1o/VAGuTNHAa6PcdfX
S3sQLp9gDVxvbxPW3Edm9tQZdnyFa7Pcm+7X2Ov18xxD8bIaW3uEHVX2HCITGThFmt6X9Ertqp70
WZYny6FJve4RZDdkUsfL71ec8kHfr1cEEou9m+UTHq/E3q8cfAKLYG9YzYIlqaHpt2zEV/gAsK94
2sEjsnIjSAYz88ns2SfBMXaXxu54ZGNzGqzRuOBoogINUf5JWSbvImzEwEDe2NmxNwUWrSm+btUM
OlamPy2R1P1BE1TKjABEhqRxdnS6sSlZ8+oh18zlNuI0dRbIIRat4HbC/kLLk9Bu3InMX2nvVEHW
3VwoGOGlqkuQdyb/oXZZ4ZM61Ll9jfjzNR3tBIQ4p8GxBcOseKwHzsr72bDJODqU1IIP0X/MUQKZ
iyqI88Zx9zN7eNDd9MRMbJ/d1UET7qx7G5Mt0CqzDhNvbv11KuxAYrb0jdb7pobiPmWlxXbgtqBn
iORZKg40lX8v5brsi269QBu7TKet2cipDhhMNn2iqvZOrHU7XDBNsGyuBUp8XV/I9K2tY9qlXVTk
2piPFHvGNIAQbplcNexY+S9UzdYAqaqWSyq2u6vFcPaqNN68dvO8pKTGRgDkD5GRxLvSAba5aL7O
V+0wy/b7SGE2SLklura6zDzohRDnyC3yfVbQPp8vLDqWIQdN4JXuET/ZTV0YX2y7v6QMJzv11vzZ
nXqH+dEeoFmZ9knpafXoeeNzAdshwPT93YZKtBujdNhNcfFIVc6FI4fuunGNc1p3xPvrumCvY0Ph
726LBONfZCaA1Nr2R9cpPUip24JdoeqDpIkliAB1h+00FJdsoroDPUh0VVDYcyyyyqdn54u3YOtb
5HKsi0pcrHam9qOxtPvBLdB4XH7Hal0fEYvT254CskzwEJq1aCZg6PF9piNt3ynL8vXSeti2YRhg
2/RiaftT3IHeHkeThgqEbSxWPF7AadivRT6/TJECFbM477UyWK/FRbJXxjAd5oreHtZGiCvl6N0M
BX7pGBRMK+X2wqerpsX1M+A33pXRPbzAGhJHup9bgGzc0IqTSLRn5TV0Omnzu5k2BvdCtVV4rRQn
p2kH2z2yj9x/03OCAn6IIROFk8teT3WQ2F2SuYd0Na09ACdzbxQNIDfZUOrmZM/TmFqnVXMfl6G/
6PF6++itP0ytcc6AraJNalp92dhib9WOGwpZ6me3YZ1WS57kK3fVfYfkEkzuAnv+K/7AaniS6RD1
pK5crfWq48xOTza0plFmMH3GkVM6fBXxCGeUtXH1le4NZkJvYomXsOngS4bVENrcsTXqdCTf2ZCh
fjIV50eKHZal6wGOW33N3Tv327WZoKdVFEPfw3RD/nmt4Uqt1bkzx97xQPpsNhzi5SB6k8InK7p2
3d/RLFLB6bD81XiNeINC8K/H65sk/XMq8ucP/DFWu/onC/1FZzomoIEZA9PIP+wdII9pXkKa+QXV
+TVWi08YLgw0CgHkhrQi59xf9g7301YEwonOxEXnbOmm38A5/xak87u7w6GVkZCLtaW/iI/8HnOh
xzYek8qyTjizmigwsjW/T4omOtNDMu7oIiO0bGbrnglq3dNdHZ1dYsKvPJjnJxjVzau0s/5Zx4P9
HOPt+ovUz+/2Kl4dDCn2xaAJ4cL+rjN4BNQjMXnylI2yfrMSSYcHJUGXlTUjO7QAVA5eozNNNDWU
iX/6FG9/CkL/q1LlbQ33ov8//xt57DfxzCWtRqJqOxU5rv1hv/ln5wuUFpwnKm1PURy9lHSjs2ZT
qXeVe+SYA7uxnEsg75XN22Q7F7P00ieB/eLLvFbru6N6NhUNfd7nuAA8lNuqOAxFp/IQX6h95zBF
LbsZJfxEue9wKRqz2TMrS5IxaouPldynMbmXN4mxEEdwsDCT5kR8hVNB0kGplfIDF5tq65uDzUyd
2cZrzG6XAiIq6VAVyEnhwg5xKKl70ukViwpZsbMeTKqtYtzQyQ7jHLuzVOrPGkxaIjjOo6IzsGAp
0/IMduymuu4k+pyWbIJuV5vjcUHt2OXUcNA/Nihyqc40tn4cMXw0lHnuSmNeXqpss8trvScurSlj
6OuW4RmaKyCPVCcZ7+simUefDwC528yX/URF4GH2gD1o0ph6X7eN9n7botzhmk9FkAHheS1qCnlr
VnYQLNlGhpOiV2Q/kq2jB4Kv0v0cuTEYgraly3Blkfko4HeG1eBM6uS5XhETMa+G+zlVjHnCnHqw
drbQ92yFI9evogGXC21+rFdDzpjmRTV3OoNJnBqTnyOO+2y6JR9rpskjc6Ch+YVEGZ8s68XJFjdM
LLu6zasOhGRMm7gPnp9HSzfw1I71Wez1LOv23QDnYGEnflgNl0REYoz7XE+p2RnHgG+qdyLJWd6v
JHMIndQqO6+ZmwWuNThvhFea41rqa+gVzUDje1czUaLwwszNKKbAZ8iUths5vYJgzcRFpLnz2XMF
OYlsE+mnhIdQ4VjJdznp442oxWz5aeWU3xGSiJLg+jY5DqVV6XsCl5BPyNkyfdvp7Gwr6HogY0F4
ROWpwledRQCPHkQHvKLxW6eqgdnhOIopBYwq4bv0ybxXGboX9TRddjD0enrHbVAK8hJJCRagIXms
X/Wt11GemhZFc/QqJKabvu+i86pW81ToZja+bPEu73KxjPptxXerdhHFAx3filYbvlWRyoqg84Y2
2dmAMdJwUF2lhXXkLhS8CgrAe90ZRKhGbU0fFrNeliO0DAzcWlRtK/eqK+OgUwSYvuCvIaGdbwdm
pFarYk065Tpo6TjhUTBUl3QFpE3QMhu/9TXq5iZpcqnP1KZja8nv4c9vN0PW3wDA0uomW5Vzbai6
BXBoePxu3fZnWxJYOV20iokVZx9t0qPsn4fUzih8SUdePQef9UiD83pM66lhU2dhjh/pBfI9a2ST
l0x8kcOePa/mK31WX/WMSfKKom5Lv/Yi7DSEqpr6Dc8Exz/W9pAetls5KgDvk2SlGQ7ZBz5GG0bS
fcZKdamppfUun0yA8oc5MgCOBjwJxPJmUaatN2cqD3X+AStzEzHA7DIhg1dbp/GliqkI6AH4WNWb
WoaSS6dbe1Ckq33d9oJXzAqo1vaTYiWy9cU0h5buoRssVsSj7Do1yMSJbGYLGSOz1zVfrJQx/aaj
Pb7cYd+rrYDG9/E0g5mGlToOSXlZkjHMuCWuE9curUUnbCHueC1b2nbQ8a1IBVXfOV9Yt00Ab9Iu
93ZFvFYiqMmx6z6rU7dDjXGmV2on6+vEXrwygBFTw0jUKUFn/xnmU19/7cXwBF7IPo0sk60N0zLd
KZDNRaDlMhoPLs4K6Qsqz9m11yg/0sqivQC4cpWYY8T6VKOtK2GefzRwMdiMgsr6ZhGfQxM2RbKv
pzykUpgOGUCN86UkpHdB7VdyqZy1oyaz5WQ3t25jhe7ciQtTK4aTxwaW8p8+gujBc2blj+wtgfSA
ZvskChyD8GPfU5hTGwYwlIFW4UM1mQt3v9HOuoD7OBC02JJ7GpKJBpVm//y3LvufDY7Wv8/033Tf
sbr8yRksP37kj9FRCPsTor3HwsdzWLVsRQe/FFlDotZSiQLOwuMq/OdEv/0JJ4jHzzm6g+hqMPH9
UmSZKvlaQtlgmmEroHv/zejIuPnn+QiZdTP2M5zpBs9pJtw/b4HyXq35pLz0Nsu5sXg7VEykgi7O
7RsvaqS8k3bb9Ye60CvEnchjPPY5i9m7PBrrab5GDoOe4+TEq8lv5WB0qcTcaH4WykWu72wsXVg7
q/zI91Wfboei1d9LvQEN49NSmbq7TiQuVaJK1Lg1ak5W7nioPQmyKGmzcwn89odJTgsuLeu9r9rm
wJ+pcjo7uWzhmsYsPAanuLcYTA7xWq+B6RX6DcY1nmOcxJTyeYhTdbkWDaCu1ZTak6NrX13Ij8Sh
cHgAnnKu7WRMTyksDzxvMj05pAq/TNvtlXEOAbSr7OS+c9w8Cfp6Xm5HtUZe0BhT2YVmw5+YKW4d
uJNTABaQC0wuWoBJ8ZjGO/g49tcUCMhTj7aTXVvQUgMczs5N2unEdZZ0RisqbJwoAxk/sp7e7I1+
r+MzfHCsgVwkn8TyEi30UmqUBytiOVH8gNQeeT4aHDkgSOLjKbWj5GKdZmwSDFvWwZazfoorcww9
WCbwk3AyiL2DR4GhMDWb56Xj6RvHLVEq1xnLs9ZXmMA1y20UJ/zVvXHzyVEc4iWXRLam3HycOenX
ION21AV24SyvDI+tfcufxNB3BkPBHHjAa4NUVyaPNVZwpZYlP5wOkTCJ0/zYp1Ltp9gEc79xoJjs
nLt2ZTolN5vHgbEMFAbbCOxLjZiil6240yxvCquxJJMmHSShrrPs96nxWP3xpblm17AixS91mXCU
XxiT9m2lNZcy1vES6ZXSneZsEM52G0Aw+MxRB7B0IGJwaGpuZd7SXb9WqZC+bmIqq/yEHgrGvrIn
WxdRTYLzFzO6C7ZSSFMGJUd/8w6CNJ/VKkbngYBbiodXm73mc9GNTotS1G8AU4DZfgdPl6jfPG+g
KCPuaexD4SUu2MTJe9k6S8NSzskd6mSXUrscaY3rsUvOdBFrbno5VkNyYUfV9AZk3aZhmURzuJCo
W05zvBDWQmyrOrRbW0+OlFEYNb4wWQh/gCkvdtMaa8NR70pnX8VpepvOICVoAR6hatW0xvHNjlws
UST40yGAHEpqtInY9V6ulEi2gaEBea8TPs2gGcvt9FJp3Qqrv/LiW7vCCLnr8Ao5V/NaTtdFb+mH
DvsYyw4zpptRSA02mwPoodCc9FpDQBthdMI3xiyi29gpCnd6McBzH4Bxt/FZ6j3R3CFb7zg2fNNW
r+I7RQcPNFYrW6zroTZ7ZuU2AZIfq6V+maNal76Le+pxpSYY6S1quurA/4nRGSLQMBy5Ey0PsvXm
+mRYSGQ7RlSDSgw9MabTh4narJvux0T42FKk+szU6teHMTfG5jjliYBKFi1z4DYaz+u+16/WKDPu
JLtwKtOll5VhFnM3sxSJr3xps8M6m+4509wlD1xqT+bLWUyc41hcrwG/Ex1xbtSHhYgjks58VjU8
6jULjFWadxpdeuPeVEkR2F5mXADb8kLTpZMh1NLN+iyTWTzScZhivi8MPudcxtnXrnWyN+B12pPZ
FeMrJ/ux49AoJd81OY8A01YTt7CtDSfWTZjh8T/1oU13YnfBfyCxOWmbKRQ9o1nwJroYN84S5x9A
oQUmTIM+vxScmtiBJDsDvT7miNXF5OMZY49a26Eyg9mf4sHHRI//va4a5foupZOPYonNz5jzn3Fm
2IP/04HtVbpxtN3JuQPPLoJ4wFs3GEl7Asbv6DjVsWkWmhXFu3pmA19FvbwuSgMGR9nBaLmaurq+
wiZlZwe3rc2XdphfcJxjnASWjS1ApFHBpnvUB/KpYzarK6C6kGQW0d+T5ssoeOf5Fd+JmZAqCros
lnU5lqYzUCuxo2Y8js6YHCf3Wrq52P89T/0n8xROna2R6l8LcQ+1+heJqz9+9Ffiyv1k8Us5ZPZ0
QaqJAemXImd+YqKxSAXIDVK2/Zs/BDnT+sR6m8UzUShbGkh2/3eqMoFeS1e3HKA0VHARA/xvpipY
sH+eqiTCn27pzGf00ZlEGn+bqhQw0Iqug/o4jw6HQy/JSftXVUoSGbLX3q4MqTgMZe6dl5p4s4y0
Sq8ne66DkRJdN2CVjSU+Ss3nj7oeIJTVw9jb0RdYSUTGsTY1WDJX69h0m1fJ4z26SDXSs5BeuVdO
M4/QYABnzJHUpP3okgkFrqWotRyxg/oAtbZFG7ZeymmjW5aJdQJf7DlYx6z60Zd0ApFHWuQ+13p5
k3Cgu82TSO60eh61UG81GomiBXmBj6CCeG0mRoL62LN0oMjmytA6Sj8Hg3yKKk3zPK2uefJmLJvh
XLTjq87XzAvISg/f+V0EmpSsUMoiVfVszpsWDqJD5ffPOA0ihA2wHk0AUjR0yWNKKaMT4rEtf6R8
4Eci/tBmKov8hljT6H21rZb6ZFy+z82K2XMHQ7p/lrT4PleTnt9T3sraCxLOzaSi6pEWmPpm6Ltx
uZjbObYCiVuSKSxxXNzwZSEinmMtDMQ1ady7Oed1tdSzYeQVUVRuMwMbGSo3nDuaIZovInbd26jA
tERbQKeLIMIUwQhXTPXecUsIuqtzmpuyuclF691afZImlxkt1see929PgY53WdgplepJsrlV6Wef
P0gCqVXVD1jF3TsNz/w161JINotrHUvBBreMOtIZKKgnHMHUQxREXRAm65u8a3EGrbJcQtvJBDd1
llyYN5UMUo4F/RFQ+MCfWZh7s0rbrzCu29eOo+Zzoy88/L2Vvfp2uuzfhVbSHjskQFXdafHuZkYY
9hzSezDorLibCQjGoTd3Gvzc0fxiRHOPS4ibOH5kpMc3F985KAjhXTaN6cR7teg88eesSo+R0w7r
CZaMsRzSSGmXBt7aaTehoZG/wPiK1RnG6HBKrNxCzJsadY/IZuWXiTljxneptPNFZ9tPlVjkVfLT
dsrkigfV/WlItT/cqfH8YVXV/jCufrhYlw9HK+HzTVfdfK7Jh+c1//C/0gW6mWFdx3X3cfdhkoWY
oQ3n4cM9S8EaTlqj6fHQWvzV+dVmtnWiWHtYpq5nKI6unLIcL9LNnJvg0o02u27x4dzNftp4jZ+m
3rjUnSpwNrOvZaIlpit+YH2zAkebKVjf7MGDqRendo2nz+lgpIHmJfUVUnGLJWS4zzaLMc4IA10i
M4SL3JlMn207ilm7bdbkajMp1x2rJVRNs2wQo7Exp5uhmf7neK8NIKDerYrXcFz0FPfzqAwVLMM8
X2ggc0610q1g8ar7enUvh6yPUPVFjz+mns9TmqmQWsoilAOjMarXgZlKe8emEbYsWXdttB5ml33u
kjK4LKDkr8lKPZDRi7EcTJvWaX0W3cY0VhzbaLSob8BC3AvTNPyxo7MILRpgh8T8MBZgRFwcgnv8
sLs+s6oLvWr679niXOurEb22XT6x0muLh8oe3ZuMDpzdApvYl0U/3goVmft2cwBOKbYDaa/Xaesu
h0Lqwy5J+mK/iJwAjMZPiRzOdtp1dYPvfX2tI8fakb+4WZvuapjyCIUuoYiJlOehjTglZ7ZGiUsX
TTd2X7iMO/VXpJz2wBHDDVOqcfaYvbIdi9Z+VwuDxrsal0Exjto5I6J6sRQEPZQTf9nUtCAWnA5z
h3SD4anaL4a6e56ydjrqZTw8Uak9cGFM2iHu5h+qs4vDQoQiHLpJPI6ULH4xc4smAPwC8oQsWcL3
cg39pGyEKgxC0rqoSJHuoaqwjGliUlMNGISzG2EWnDXNuVNN4rGV5dGUlaBvBkuWXBX26lwvfUsR
ND7aNAvdNh3uOaBHn70WDo5plRF2G5VcE/Btv1Z1XnMAp87gpSEcgJ420l6SGu6+JOR1qNeR7C+d
As9eF2tkkYkc13R+XVcM9OyzJwL50HTuTP7FFf4x7YbN6mcH46O+Ex6pnLhHnuwM7Pq+modcnK05
iy+9vHQ9P64w1xZDqpxdbpg1GyfGw0BOLF4s+CO70RDmtRkBtmDknTlJcZg7OJyKsOU4+VnrYlTp
JkZFoMzo89Do/TNXHG0qqaJ2Rze7zWZR383roFNsS12CO/BOq4LLQILhppJtN4tEYjvpNryG1DhN
ONl3s5fld1V2mClJkBGbGyJ8Ix3G5HPl8MTeZUtLCzij8VNNP/V94uXuO6Xccdh4rXvZRsYXzVM/
0rSKX9g+zj66pL7rpfVUSUsjqtLDFjZz8EgCg/66tNFT3MnDbGZfIlt9c43WOqy1HAi4wgzn3Puy
jIsXDAUODcfp3tqyyFE09RP0cbZdwmi+x5EzkkvVYHQQEziOMDXqnYGdKFztSNwCmutCjqf5XSXs
6ypGZYfhrsJyMIBpGWgh+CqSbmrCXpTr9Wb8w+vXv6sseVzqgFGK+YL1P+xlcyRwQbwygJ1itAg/
3Fxzq92GmdbdDRIhdeYpFyZVlL4Zef6oGXZNtLLVv8BMxbyaus73TnT30Fh/RPh43C4lc6I5r1Tr
6UFrgdiZc905e0u0Xja6kr5jtq9oSc0e7veZZvuIe2fThIBYOcTFo3nM5qU8mWND/TqugswWT+m0
5JcF17xPZbzYi673DkY2sEHTs0M3Fs25HuYHudKrJtak8guoXlDQ1ndyWnI3mKp+4JwPoKVfea+j
0lzwv1VjCHtqIKnWl/tZwcfpNPdbBGSdkFj0qreWeYNeReDBte5aMXBdWd9KoxSIV6oPmyRtLppq
/MCGfHfKCci5INGOyBEoXhJh9n46ug007l42MkyB/eC1tJMDE4tzD6cmDlC3sz1HyfnGqJzotovq
c8eHXhcdiUr9Oll6ucPpzCUq3BiVY8bTI6hVNpvsCUScfR/NiTpgd7CoSDGq+l4lEMmyHtrKSBTL
BvgneaRfam1vQ6RePw8kSLdhsxXVDVuBeCcn74Ktxw+0EMwVJWQ1Tb+Jpv5mLehGSwZEB6w8GcVl
XeHh7ujnx6lXt40YbgatumJaw7Vlrwvfe0Jiy6Ig5Yw4Cxdy8Tj5ioQVHaf8yJ8daV2y5nQv7bKl
3B3Zx1hY/QARL9dbAxLX33Tq/8yBwUmM1fy/Pvjdfq+qfinGtyr9s8H55w/+OvbJTzDztpJpF9q0
y//6x7lvM2mQ5aWe48NssfkMfjkxDOR0EKcYOExB2ZCFLZmHz5BgGACry4EPcK4r4Etu3on/wolh
2NvB7p9zKa6zFY04QjckrhD7dytGweplLRmcjxCn8yVA1EbbsIrJvGYarr0t5k2raFmmdNhMg916
vtF33QnKHgvstYVdvUtoAfUw4A6FFSRYTzUfDoxiM/qt4SFxM9nQ6MuF25hMidHy1AIpjMra9wS2
FhmsdoHzVTOh0IXY5Qh/GglgmZDUGa2uwqg/E1BHXt3Y+BhU9NDR1vUpMjSCsxKkRth5OkB9RMv2
AaADmH295YkTiHmj73+A+DlHbvKhbQLoRx3PQRlhCVVJdUydNf1OqUf8bVph+8/8zIu11JkKvI39
n3zUAAiHfSc3XK8vmEJpCqi3zgCiTcXFuPUIpHUyXI0T3QJiaxmI9IjCgXrrHkDix+/nxNm4s3hT
dvPWUqCBgOCcVgL48poIVP3WZ+B2vM1Cc4gjgsfXz5Udq7ACwcv9kjYEw+Odl1tDwrR65e2wtSYM
W3+CvjUpZFhWbpKPeoVxa1qA+YJIu7Uv5FPi7A38LsMOx9pV5YhYDyl6mhK/y9HwdhVZYJwdw6Wq
5UtPH/CD6PvKPeCBofrBgL4Av0nRCFF1yvw8F7mxh2bqHsiyZ1RHrFF0RVorDRZTz3dlDSLfssb+
3rGBdYUM8hCmNtYUkmgVylLcO+Pt1toU9JNsDyjet1Iplr+IwuYWDlOvYiNZkaqfb0aGZJrZ7VDr
3WFnfdCvEjhY5kbEItoWAajLqjtLH+RVLo1nKJ12QCgvDxYbqla18bUWBWnL1qzyOAHf0mtBoWee
ZfeRgsylNBhd0UbrYstLPQ2L7VJy2EyUXgfRB+HL22BfGeWHe7UBwMj0fBORp+0RKmGEJQO4MC5y
VpgbQqxfgYlBITBD4VoTXbiGxHds3dVcbTvswRcUmCZ+uYHJAIa+rBBomDEBliWYrnxrg5hNG84s
VoDNhAKNWIAYeWG3Fp+aDYBmFQ0lrBsUjaM+CVoNUFqHHkiQfoOnjS3XzQdRbd7gag3bfl8BmAyy
D/YatiKWuCx575cNzTbGqQTTZnPQBtrmRsWc7nHOTJsXRawSuFs2faDekHk28NuiwWR9MMAFTg8W
eip4OItAtfgsJNdCqFtZemF3unNH3D5Knme5gk1TIivMfeVt4FdEgoXff0yvPXcxcHg1aBQFQNVx
1+FL7UIAtZr1MntmlZ2mjYTvF/UKRHeG1iCrQ0eOdnwY01RO9P18OEHiD1tIbtJJ/5rnQ7dWCEJ5
5dCbZvXGbmlsbw3GHm9QwGUWx6/UP8eEihLB/iPX6pLLkzCBHs7LKtAGRDpvzt5pceIA0yubF5hx
Qx4fl8GVr6qupuGbk3sit6F0MniNfqGG+oxBA4AwTh7WifzDjvJTBvNOYzOjw1Z9rNCqWC60bDt3
xsDczxdLzD9ta39Hkf7CK2maJIT+3ZP6kSf1977//v2ft95//NQvw6T4BAiLtCwGR4df7A9p1tM/
mcIiALQ9wc2fT+9f2qz9ibSfzgPT0NF1kXT/8YiWn7zNXOnxxLdc0/vvHtFkG39/RBvQwIUngTKx
PWeK+PPG21k6EH+TVZ20ES2qOYxoNdkYRto00WlUooj4WyJvuhy20HjZt0sgtiC5w/nn2JYy9SMr
6ssQgZkK3pbwOUeJPLS3QHoc2721mzp2LbE9v5Tcxlru5Zb55m1xdmMLtiuPsk+SnTKkR/NdVQ3x
dxMiC3atOCA11FItSkyeCLiCvUNNO6dBUvSrN/d7C/2IOi6Xx1rG8ktCHAGP1ZcnyoahRaT2XvX4
CvVh1HdjlsY3YgvvV0uKnR3/ChSTXnJ75YtTvyRCtQcDM9WZatVNVgFQ9pVlIHSA+YMUULIpuqrx
/D3lwBgu52zV79XUGUFVOHejEt6VnhF6ccs4/gKAkKw6583j6lA2m6eciqJM7w7QeKrjlIKA3YAG
dVM7pw773t7WaOddOZ/dVFvzaJUHVj3ntxrCg+/AXPLFMrkhpsvaVzkQhQ57aji1Ut9x85KXXjb3
J9Wv2jHSVkTNPNHORV81YW607DdZdwU994wrgD2MNK2rseefJvUowLaGBnbeyzgqrQPu8nJvtKbF
r9qvd81o9FdOqnH4U8ajvUEjFu41YT9hxoycvL9bc05OE7SPvQ1TPtAa0BNyg1AoDhoQm77oZdof
RMP5WI1EtuAdRZ9HN633WRbZ7yyW8+UKlTO7inkCs/Pd+BfzDArDLTH9p4j/R87R3R4ULVOAzuBG
GwQh2A2oAUDD++p21fQjRn7dr1tOBlGN3DDfG5way9STNciap4TnxBMr5OVNwxjJjm619CvKu8YL
V9ss8fgv4I14MCyaGJEb27ob0KHpnqMND2JuoBCYhE/JBztE+x/2zmRJbiPbtr/y7M1R5uiBwZsA
0UdGZMtsOIElk0r0PeBw4OvvAlW6V2JJpVfzqxFNZGY0ANyPn7P32qbVHryxzu9V3ZIviaDglqxd
IKBtSt+B0EZmaSm9YfcwaqSy7Dq8YzIAhAG1ZFkBJjRcdtkPpsmi1lyxFXRi/GCetCv+ZB49CqfF
h4nCWERUYWHg7jGnRRpgPGMXoDI6NGUs5R26tANm6TxIxqq9dI7xXhetG920YHOSc6MXL07auQ/g
0fZoJnXt2KejFRn7Ah8QI3bpT5X/sViglLZxNC+3C5OBu340vPLDr4Du3ljVGFTeMH6xG2Wu+ZcJ
HQxcLE9W1GdbvxtBRBSVf5pq10BcGfXAJRrm8kCWtDIDXDrLGOsb+ehfjGKycrWxqSAHyLeET4LL
7m2v15CdZIa4ZaHkey8l8WyRkzHk2NZxJIhnwjMSCuwN1xbgivsimGi1kO7sWb+vlD9G3zPStWGf
LH7AChckTNnJv6GdwJ1r5wDEynEKfEjzeajkSgwVg599cwm+1g5eJdE42nUxaUHtjWO+kT8Y7euZ
3bpMcbmysokPyJGtc6cIxIH4OgYhg6qFsIAK1/rOWGDI9xxoGJC7M4rRjdRSnxxkBiKEUNs5L7nA
Zkb8obBXm6hygPP1Bb5pMUH3Yu1Dpjbk6AACpJAMtcsY908gU7+qb6ErG7UTzmObmMMZMI8tSIwC
8hW7yoWallTOrYKeu7NXopkQhQTSYvMdhw6sqSeiSIxzR85PF+R1B7BkKf1pT1COc6l8qz3mqc9z
r+xoY+eFNYTGSHYpmMJkX7nS29dJl99VRnGzxIi6gk636xuV2Mk5wiGEum+wEiZonrsOvlP8fWNF
WviAbHsNXt1To2Trs4rhQ4+ddNtBcNF2ZOyIR7fgVOUYFLUhlH8Nv31VXVEP1g+edJ0rZ0H5htbQ
oFVm+ucZ9kJQtJ2+AUYX74eOhl6wLCOuvrJf5o92br+xR3XXNWxjNwE5CFNUnV5giFY8xose7cg3
8L7gsu3vLabZbA5VcSwItLitBw+orzaLkwTo+7HAs7ybI0LJXSc+snRGB9gv4jV39XQDYdx7k3qr
aiDxRnPI7Fad3cVdLpZteAHonXzTTHNG382k7drWqDZjtaMLYwVqEJyIBjNBIJZJ09pmdNvuUDVw
usz9fU+s5JfFrYfjTDYZUIEKqys5SEiNdE4NS490ZCrq5BZaHum2nTK8M8irhjO0iRQW72ww8fp4
3C07MHRmhjHewDvkC5i4liTfWplPPc4H2DXQ3eDSTFbC0rhYryakKfZC22/eiUwaLrq76L8w6ah3
Nhnu21yP9IPTt+aLpng9UiTjTQM0bUeCQbPtqqG45mJqn0eewwsN+O4OUJh/A3e6IuqNdCp6plAK
zURe89qGFmQUzqFY5NfWs9Kb2UqSl4hByjWKdFCVWe9QCZCIiNkP42pdmuLaKwQuYcqTf2dnrtrT
9OjePbeiLeDkeGKX4b7D0lZiOPacY0mDFNFUspz1LK+/TcjWg0aVAldcLY4kyL1E6Ndo/dEvJwEK
kDsRxVtm1BjShA7+uYrE1iINj3zyVKBJ7QG3s/tDjNbMZmPRvib8AeUs2VUgz1A+MdezIKP5GlPO
XiqHfgW+8pBm/5yuVmUy2UsCTx0IG44e89vE5EG146EmD3RDJrr9bii6bgo0IKJ3kbESdKh6cbxJ
plzuowm6CHo0gQtpnDz1ztyk9/8rwfj/kWDwra+E47/uxD0k9fdf/s+xL94r6A2/dveO3//f//3n
D/7WidP/QWo4ZFsqc+p5/3dp4q7+D48cFpyZv2VY/U8fjp/gVLCCPSzMHxwN/tmHs/h1cNJ+mKv4
3/9BD+5XccUfenBIak1hYTkGOAC74CewSQuNvCt9vz5oCEypk5P60c/B+cM488FDGfbrVEp5KbQG
wtXYvBaxrR3FhL6/Hgu6Lqwdm4bxDNm5ZYU3VjwzhoiZjhVtRqeCqKtl1MxjB+cKVLrm7qBmTIBL
3WtD6mFgKP0uAy//7pvlhSTpCx0bcIsYswZIL9iP8NQUEm0UMPTPUYzpFa8rng+3AUhQ1W0gNG+B
soRbhSjtc+2LO0dHF+F30/sqhSJlGielRT44SQGffZHRf0Nst4UkdnVNZq5AO+COVp9+Xl0mXdKO
txOaXeMOPiO153JnZfMZZ2cTQn6B8Ze+0yWkv98uH/ZA9ITUP2rXeW3nflcXmMq7MjFfotY6pJ0H
4UgAT6n7aAkqzbvqg/nK2vruwm7aiXh6EF1+Wb+BgS7XxsqLz6xZ6ZqABXZmwZjHLMECjKutVE7y
KTanB69S4KCwjB9p5n/Q4fP367wMruGZKhxp5orI1aaeL0YI9PjpyVhphion6iSZH6bGek3M/IRx
4b1rM3IybbZVk+LDsXom0flpstLPepjvrIJrNZvDrvUbhPzWmmWLS0vhQMCXSXFi1HxRRsKcDp/n
ENDmS7Zp7g8hiRk1aCX6LbG2fpdJ+T5yPgnEmtk30PEI19dqLP6B1i53Uy/uBmPaj+uK7CHO0KQ4
N26thRhmPk1yALe2nl7yXJ0pouyDV6MwzlI+YW3Nz0s0RIx5nQI/salt8p4XkineoYTg1pvOzk71
vDx3FiesxFZPJQN5NVfIi5JugJKWvlfwb7aFoT68ejlLI05p0HTpNW/d11SJb15r3vpTCr1xAjBh
DIfFhojZKvmE0uMAeBgWQ2ceYtyvyI09oAKDpPM0LmennpPtNHE98TyaRAxxJ7AVDQisSzNoevFc
xfqHb04AB1VXwS4vTrorn9pufLJU8VkiyA0F0y3AUOrJjPQkyNOh2SFa9ZkhavgZCH8Kf3zveuVc
0cG/1m2V7aAFXRvbcnfD+nN8TlC8bC6T6bymbjcfQBJDKdUJSDa05msW0T93s2TedFok703gw5tC
xVEIBIPJPQ6tA7JbeWprWx770vGOSmraLfiBYotNt7xFPTzvCJ2SJyToKDi0wvwY9P7rLDvnRvdg
NnHX1ClIjY4hYbbxiSpGebVM75GLNARkGhs+JWdbPedV9FwqggQ2i9X7aQDvOCR55mpV+VcOxMgG
VAGMgXbWYqabZpi7bWuphCQFlG9Y/SHEnrx6IKvaba9ouO6q2sJ2rVnPtabHIexHeytH+52grO6j
qsgpq9BbbwuHmadLxHWz+M6uTMsRZXUd3emDPTAR5/ZfMuOj1msSptoS9TT9AkcZ+s50EbXyLtY4
H27DNmLOoLCcEqPgjntlcNPNufvqas51NNrpGMnuU5u6s+Xkp99tOn9i3fzJmGB5wM/p+DCSYTpD
K2X9+98hy1PG5+Qr5fXBwkcQoMEZVlX0NbVb9Le68zdGUXaeP85teDWfDc20LfpP3o+5zu9ejdiM
sXJmUkLjVUVX6fnJKEzgkSYL+r//XD/bYflcqyWV0xPjKPwdP0kDJ9dlBk+Y8MEY8nccXjnasflM
yQvcBO9UfeRP4le56V8G4f0Ru0Nw4/qaa72FP5iQVven7zI2Kz/xehox82AnWNLlE+E6RcjJ/jBp
dhGunxfs9pmaMvmbj/svNK8fr+0jyFzxZyTb/dRugys1Lbgqq0NfduYmIwuewwap4ywXZ2S4+UH4
6mPqFfbJScpTJnueWw7jQZfMHwkC+rhazmMMfAwj2MEHAx8ietka3nSeSDMGtMNwBu8WeqPswiEa
qq98UGX8LOwEcYWyriMStFDVtb+37bp5i9GAhpbH8vDvL+yf3EImrUsD+JIubONnJ41RpD6JURYg
IqPfWbW4E/4C/7pr/+YbXX3jP9+rvBC5hi4MJW6ln75Rf9LxrnAYOMQ+jH1GJXezDrJUMHykWe5n
G8b9lyHWy/tCznfuIMp7IA8pduD4s5Wsy2upQuA0Z1RDnWMN/6xPa0zznavZyX3isdzbZBlhDUmc
fasMhNU2urwyNpo1jSw9j6LrH6pcPauObX80UusEX6kEBzFA+67STwp8KBl5wVVUXr1XWvYZ1cuz
R07MMjBJUI15ANJ3gC+chnGJsgsW/xlYSMF5fLmjqWAGmOL0HVlwXzsbvI2rU2P9+wv2JysMGmG0
orBHXAPz0x9XmMXV6tYC/n1YkL+u5YRiZbNX8Zw2mYd//1pU2P9yzdAkW1wt1Dv2yuz6/WrWGXMK
C3WuoLbKB6tPT2X9dwvmjyfpj3Uvscz4/9E968wgf549k7GWD4UQJB37stn1qSK3Plo+1pUeWc1M
EyE65YZ18DXjOkV+siUt/KSp6KXPsm+eIyu8l+iyvCIzDzJjE098VqdmLi8MdD8XZzI5p2LhKUwH
BwhAkGCka3pTpM4WptYXjwFq4KDMOlozpCYik6aAuBeOgj6SZ6MzksD0W2M/KmbSwkg/7YpbsE3z
i1Q58h78Ijg2KVB1RlS23qCXRvmGfv+hroxkCwnsVy3GX66K1p88sVwLiHqCddiiYfHHi1IZzUCP
tKwOOq3jQCZlGqbDSAWP+uOiY80NsOFmiHK8a4mfPIz6DhWwXt7iT3n2cAZtGcPiZoqWCdOBXjMC
F69T1pgbTzAzy6VzjUYX8E9kXxMm/xvStYgcQBq8wWj+LIzpY+lFkLrpIxBDqqqWD9xpap8n4nmm
EAuaKGn2ZjFBSJgeYttZvevcn1bDwtc7ki6fZmWbMipQHtnLs9908ldkyF9+SX/ykLBnrP+hj+D0
9tN3RIcFGtsk6eEDn6XEgcA48XYsJvhRE//NFdF19Bs/PyfID6FSrkGojHt+eiZby5wZ847VoTP6
aqs7gNW8KDtF7FQ+XeCQPGyEhDMHJGmwTGUZFWBcgLqlABzryMEF7hOqBaMJ09tSBil5nEE1e9/6
XL/R0IEWPvipxKfaV1Vtbsym/yiz5UEViCrcdTPmNovN/D2a1ip1MkKmHpd2rDaZqo2QcnUrMVzv
Bi7pj+Ml1jUTITX/0F9T/BDQhlkzyV0TjUNQLENyVIQt/DgERRUiymkgbKQap6d04CDpoewIl5aj
nr1MT90QA0q2fAYpEnuxfge3n0QpqjUdSxWgSSZR/EEr+T+k5XJDNqPc6cjhtutj1Cv7WrvTk4OX
hsSyXON5IrCzaKmWRJRdiMD1Nm7Dv+6YC7eZzSM2RO2Nb6sPcoc3E5JkvGjpJTU5syDXZ8sorNcs
kQ8TXcbQrO2DJLZck8AMSiT2Hej5YBiKE4fiPQL0KkhjyY3J0+FMwwUD9Nekn6pTrttX2RM6aHQz
rgBIQwvhjFPb1WePyr4YrFcE5H+3Hzt/8nhT69i2T7QTd5T4aZ8E8pS1wNnLQ+/OH/DKHuAHXKkv
+PJsHuu1/vpx1K4HX98NPpXej2e+SoYdk5QpaDN+jIH1Jh8qev8g/DzZmS65eTEpA4ZXoXUf50Oh
o2yTaY7MMIZa0FZF/EHAi39pOqZqS8y+OCzkCFas5eHiogTSWGOyYX6WJuWW6MwmdEQ6hioe1okQ
lXXMwZD9MEGuGsLMWF1q49NAfkgA4e+hg10Ie6y4yHF8sGxywurCUVtc8eamnZYzgY14R0pGC7oG
sbOeP5weYWOHQNzldADD0LlKNhEOmeOTSZjvWs0P7m/76/9O0P9ugo7JiXvtrztsv5qc/hXmuVqc
+MF/dtiAedLAAtJL8W7blrPWef8cpP+AeXIyMtGmWC79eVbt33psEDstpopwb5iU/5i+/9ZiM/5h
eavUzTFByv4Ysf8HbbYfAKXfL9UEVOsQ9gQqNzR3+KpWbu3vj0yiZ/WIWu1sWbq8x+RO/KnV2cey
WPKt24z9RjDBezALB6xCDcNGR2B89HSPUXNeT08zHiX8lBgMCdbwuCuFtJkZZ1VItEQWuk6VbOEz
P8TUihY9CLyWK9PGIvNizO8mYjvgoMVEJuQ8FzoBVezP69pZVoCgrRyDYmsVxuNQtRw2GoPuNMva
1Zpk/4TjGz+JO1gbGtLFd6FhqfbMLxxHPs1maBlAj/ezP2OoqB173062VQVmNpYPKRyQU9147Xl2
E/Yf1Zb5XpoLmqCiUjfz5LjHMlY4QsHqnCxEX7uhH1HK5vXiMGEX4spoylDw9+doIxU+oMBVTAqC
WVTzYRGd2IIPwlJgt/aN6LwDVtWHRjCJMlmlLmWun6tIlexGcGwYNIG1SBikt60X7QbRlCE3TL31
Kp0U1jing4ibJc7NLuRileeFjN+da2sutvrMCaMa/9Jouc1OGTFCP1Uh30BZh4snL5bH1kblPs3J
MxYt4wttS+eoLFe+VXptBAm4l42AwhJdm242xJZJTdoxB9ASXZxlFZnLY9WZeT5u06n2tA/yvhiz
BHCMtAX1V59hQanqfgmFXROloVlDSyyknYG+Nivv6sfEWwCHa1EAdcBO2GBQSh5Y79XeLSuMBxi2
3VtVQgLSOOOgmE61MhkCb+lNSesptW+YwgpEytgOtlq+0EWAoYmYOGMyfdVmHPAae6lCObHHlbvS
1up/wtfyX1ls/KIeMlvzK6cNIcPgQG1bCW7d8oPm5vd1usLdOkwZ2XQPeajcV23tuTHD3YVY5h1s
JjEue2tputUfgb3J+TKJsRePmpyhGGw1PytKH3onGkpjx8DHw0BDXm1tC3WZUpDT7Q7sXjWGeiH0
F2JZ1P2kWkqbOatIuwCLSzRlrsV47nXyGUNt7GnLMYfWnpPcTnNsxS5eBwI31SXXBSPCym/x5MQt
ZuTWiB6qItEasmjtljEdmRLPkV3l5VXLZkMPS+zITMknh0xsEkiikKksHSKI2hUSUj051BWA05Rt
LQ7hPM7QcBKwlabWqZc8LXyY2K1jfm0Ty9gUcRnftgSR3jpt6mHzaNj4EhKj97wBXNWit5HNtKjH
qgJezow53+m76hljOEYkt9VX885M1lSADrg7GigqjolH3orXuBoVVD+4AAAGZW8I1hmgu5MLwyWH
CLqeVoaZZJzEgGLbD/gC3OoOCku8d8G9JLq0b/1Mxk9RwbbbYKCysXvEy9uPVf5/N8S/2xDZ2CjO
/npDfPpFvfe/nzWZv/7Ebzuh+Q9brFGIuu+4kE9w5/7PTohwzDQMV0C++6EI/++dkHhFwjz5KxIK
aOrRa/vvaZNh/4PoAvpixDJi3FuHV//BVqizv/7x2MJZxSYZwncNGkDUmsbagPvdXohZQpNtzbB1
ao3uRWqWG6AM+fCUUVwXAO7bRNPxrHDof3An7wI6HxqWzNrHpgZSTTflNILwCFpvHazXo3acI9OJ
9rLOkjuULtr76LoAUJxatAfLi+jMIwqK+7vKtWeT+X6ao0bRMLe4x0XvPOPKqEDUX3rycIg9Z/Gr
zT2QZeSuXoOmNAsFdnwFSNSXQ2kFUZRnFqEjscDh0xDg1X4pPAKbOOyR8aWfwMc6Bl3+yB+2biKs
fpcUltGcBovZLmaYKkd7j0Jnnll5OE7pJ7eejWdrjnu0Ogt9ZtgmVqTQQRvubB+RKNsCkRVNkewJ
VYo2runuuWw3CdkD71kVed9jJ0P6Q16f6tttl9RCMiUiL0U8cnrIGhyloOz3OaeysyfMZWUK+6g0
Mh0704SHv99JQG1yu9R0HzdenR3KmO6fqtKBzOnKHA6ZpjzwuJ79NkvUt+SRJIe0Tx9jCGZcrDG7
tLhXDpkxPWd1Cgl8mLJAL30o4FMMEq4t4+QlVSkqlBl4DGHel9rqzsk0ji99XFYAf/s7s1TgVirp
Y42OnY9BRRO549MbST1MFsCJ5co8xip/VhIg+Qzt9uR51rcY4OzWjPLxcfHGHgGXVu6RjZEuVtUB
5ptp37tI0T2j2iN3fJBL+ozu/5Mc0+G89DWNgTy+oiRyw3Ic3uqyP5Wyrg75APUMeskGXIcR9Ah6
zw3VBbFZy10Sl3WQG/lzQ67UZsTys81L+YuTVs6ldJbobvJrBywNpDJ/XPsP8LpzrDV7S1o4JRdU
YbgDNlJKFcbkfOLiAXsVjUV38YbJ2Lq03o9unaa7Si12QBIyIscV6ZOOhtyXgE++eUmrTgo/+rZp
bY3Kb7YAosa/gKOrb21teMS4pR5hnxR7ah2UBmmTHqrcIRI0FU4AEg5hTWWPu4Fy9Mi6kOy6zvB3
cWljWUo0fy+d6ZfaJrMIFzOidNaOgCN4WoX4wb/V6CxDaVfllkQQ6CGi7FEemWVA8UR80KKBARey
2CKsJ6jSUE+6XYmgK/JnEiqPMLQJNO05m9uD9mLPWBHMXGWnpGXqqzEc/DRHu/s6Li41Ca2LHHkY
4okWpjhG6PwGEvZ4dpyBJx4cbrsxwX4zt3RohUtiZG041p4AcJdJjE0zQ6WDkYvxAfv85D4WVs5u
KYyyYmbDsK9hqrLj+OhtI1SmeFgJTEdGgahkEPoS79OsNmhDxB14D3Pg1bixCESh6/ExFi0p7pGU
d4xfdAga3BaxL0HKeErN39uGRXUbu9Z8Goe0YowxzZO/H7i1VKjNjlBhy7tdCZbT8KmTbpli146A
HqhxTD7Zv8neJEG+ZTMXbTNdaQP1bz1iLvKMEiuBUCpLcU4qv2SUDbMnaTVjLwyqjjbnJDxnzp5E
RlYJRdOlFhhGbYyhNJCXNSe5NbeRvxBiH0dkHnrLq4Ls+uymjboWmfbOI/ViLKkIqiKvAdxj49Za
65oJI990hZGdKy39HvVet0mNJn0uuwwGG5TQ9ELvQuKzGRdzQwuQ3kwZfWkLaFUB8Us42q2iPun+
wATNlDcSgMIDCgXtMbd6990o7ZRDj09gd+l3GfPvhMd4UoaxjUg43OH4FRcHwBP0/AHL7zAMsHSS
mtFeCvFTEzM6Wp5axhzOPQmR5i5qCWDU2iLZu2Cai4TGQzr3h0kHahNE9BvYSxaSpyKnuocU91aN
NG8sWfofNNbuXXQ3E7YiQKCmN7w6c0anTFBvG6Y8AqTxNvmI6RpBXzPQuLeQbmmDdsb9kew8lL8E
wS8ENdQKPCAJ8LvI0lkPvPmaTl5+u2hCXubUh6w1jy59K2UEqqdKla4xbgfLgI/vWwpNkOGFqMHG
oNG7/azF9J7N4eKPrFr0q2cG8PhgBdFkRyA3duBM8LtifXoYPZDnuQcPorYQ0fLZfObXaq/NrX/s
hIywVSt0045ffsxNLbcC2mQ46pqGriPH6FGiawgYlPVPfpqRMeDRWeOw6G/6oT3iVCKTR2s+Vet+
KVO33i6MR3aibyC6z/4C25QjVlIpsNnMsU9a3n7HBH3BaziedVUALZ1Wy7HhVrc068UNdol6W4k5
203pII4L86eDZrt+0DaAXiVYkNCLUXQDDJoRO0ObNsqc9a51vi4L1tmKYSKKueGrUef52W4i3Cwz
h9zIBIbYUIXfcA/0e8haSTjl+Sc8Q3+nmuVr3PBb8wVTNSoYO7pENZlRMGZZ+skQ/UZWxQTbH/la
lBtRmGDkv06WJ9nccZBB+AGmaH9iN/7FGtJiV9gUDFJZL2U3AojN+/a58PhVS2cB4x7V8NmNFt3P
HkGKxSIK3m1K7siBzu59o26OwjOWG5kjBJnc/OtYRmLDYko0A/DsF48sn9AazMc0dapQxhT8mUJt
Mjpp8c2o6KqWDLCPIwEeu0y6c1jBdtrRaSxv6FmTOjEvVijN+VufRDO9YccNJp/3MBGduBX41557
YSx3uQkvjd3UZzyVuKOq+MIa3r4c8uyNxz4fcPRX3lPr2vysKTjPjNHRIao6pKMX349gwO/sIcre
yBR4tB1nCusivlpG3R/M0YsBlidZw4Q14osG7GF9AVExhcrGWIrnZWstkWMg4nNjrrQk8HRpOZul
joR+EtcG5AVVwVfgOgdGo9e3Ul+gd2FqOrjK9r5OeS/eRqE+siYabhdhatlWykQesmYwb+3SkRBQ
MlWxsjY0TEjZQEwh6XXQ8OSOEOVD6/n2AwPmXoSsmholhtEYoU1cxGffmR6izT6LuabMrdfgvs7Z
N41u88hUjPYOOJyXMRzBPG9AOj0iiBlDzt43HmiI156EmW9V3J6KiUA8Jr1Q/NvY/A5q3YbBkBof
epxpZE1AQswD4pjUsZlQ6AZpnmAQVPasPkThFZumHvvHZepgNrN4XvBsFXtCHO8WpzpH+IPdjWQ7
UAe6mxm3syPd71HsliFzV/fWH+z0hfAT66KPqb3pyqnY2hz1Gbs0C07+FqBIPZj1Q2daXYo3WPRX
lRsejdiotol0bkaCCTuPoAu04fNt5RHOEOtdtovcaditquhtw/timuZo+wzFbrlnRJK+sJrlL2xx
42sxKfGIZSI6iMxNj8KeqHij1jm1lcSGkDJwBQ+PMuw5NkjgOEttRkq+JESeEnWDDU7AEG04PJ+Q
fcswKZWeB8qqmo0jsRtyTu7uByBpL8Jbxu8204aD19fY4bJsuLXipPtSm3aX8/zV2bAxscflpY37
i+qKEVE3lHXG8aGfnmIae6BabGv0N4vfmAyWimaW2zTjeTjTXiyxJUQFHYvIW5zXmMxi7F+eYmf1
RsvnQewIhyBni4aRlVsOYuQ8eZPuhGeVUM3HYqlmZMVkqF/ojqVvOC6qHYaUcmXoqQLcSyU2UJFj
L7CsXPOCvpzKFxGp6B4dMP2okuUVKd8jbG0SE6p2/FaVVY3bz0UTNCzxuasoSYtKrq2jUpZPNPCZ
MgrX2E9emd9kNWmtc4n8nsz6Imy0pYC/0zX2bqLtcA8Jqes29kIXLKOBT/C8Pt6U1TIGlpFVh9FV
8Z3RmNH84LlZV9+qmATwjR8r0To5yETHoFgo4WMQ/otAyjCa/jvlZgqlgRyxdrIeidIEvcgyNtMU
6nqsj0npk5cOj/lcKEsL6YPp22Jpqm5j9gnrKLoMRenkmIchcewXEqzR7ixTTJI0DtNG/+Y7XrQR
qLTjm1TKtAXAI7oMPUQ8wRccJWIIGjWsPkNX38hBaw4jNsQH1RJ0W0Ja3i824Es5zGTLTF1z7Lgn
N+NgpjdNZqdhZIzuZwk57kNUKy2lS2GV7DEEPfW5H6VvyDuBQ8JXBjHhrFKCZQFTAVTxF1pT8cEZ
S0pwHdxP2OLEeMZvKLapw+q8xe6b73oE8O+Cwvo84TIICs7HtduIfc2vPS1GO9w3Tdq8JsoqH6ZJ
t09Lk06hAa5xYyc6ZkI9Kc1tnDPVw/1JddCujOMcMGEHvPBqWS3OEd7jl54qcgu2xg/BBGfbmL2O
4rydt8rohu1YuEdAH3JTc3B/oFno77pcGO82KLxDmXdNEOWsTAWt3sDFj7xPY1Nuutpe6YClw+Xt
k+lb4WtyXxjWrakS/zuA1FvJO6EbKIywMYz50OoFwTnjGN+gA/MUfStrJQk57a7xlb1t4dGg11rW
qJ4sRVoXlQSBF2zjEUE9X2liN8EaeHzQUqJpNLIlw2pySOoB39+HmtBmCNCmuasjCwWj72q3g7nM
D82UHEY4VRdFRiLkpsrsqMC1YlvMSfJL0zjWJYrSlIW2jUm1hJKe9yz8Y5OBtUmKcOlIm+/ouLPp
TPM95g//KlUM1xjOxSF3UnsLoogFs6/xagr9zvOgJfd9r+pwbOJ30mKyTVWTxkJh13rXHDogoXR4
5PQisoIMR+/bD3OFOfVkzJVpUr5pTf/WmvTvEjwYlq10QcC6/C4UG6uHDPY4lwC9dQ6eq25/GJne
Yjyd8QQH+MEB+S/Fu+2byVZytQKjUq+NxyEi9jbz0kIvL177jPECziJRb8ehApKuTHMLM4B0lNSP
TsgvMb30KgrKWDghNbNOhm+lsmLbgRgfYxioNzU2He6W3t3rIndDo0POX8Rxfkf/QYjNaKnR28pG
yGs/UG8TTW9s2rX9o7y+OfptW2yBbC8HwG/il6niiJYNmTyU1jBuJq017rOBfnPedB9DooaTW8LY
Fl5OnnMNUjOZG1qdTssGrKFPc0uJHS2JCQZvv3FeoxSbK6ao1pKVx2psZB7GiKleJBkncLaniwkq
7plS6inV2jZ0u8E9Jw5culYtFI51QobBsjJWRq3bVHL86ust+uHZDJLMeK40lrxMApRsHBLvJ9v0
XiBRlgFWCuhmwpModyL7aalzm2F2bpyrOblJteptaNye2LHksXMg+bKS7qaZ6qiKGzj0tfGGP6Q4
mrKyvveE725EjEys0cpnReTGZ9OUjAviynOGgK4HxbdqRlA9TvngzQMznjrO9M3QeNFXKUZwN0pK
FJj+PD2QAr7AS/IiUD40IKad3SNMofiHlWIVyt7no+k/EC6BJLIxbSxHmYzcEVZMMmg8CeXWEXl3
goESTEsaK4460YZL1biXnNn5rXSwTAQ6tmd4+zlJaWR7F0Q+ewyEt6NImivqee/IH/irvPI+jdh4
sLKaxYPs6ROZF/lpttlciTD4iPIGN2au5aSoOiM4GpeYRbtQpyV1yf4W+nPHlgRTfGgAGqy9wKaC
Z+ITM+bqDpQfmwz2iAnAqgOxCAU3WBIc1cnpANP14Mr2K8lMJ3RjWEDSBqxPrF0iH/DWUmDpz1r3
1Ohy2JGX6W7d3ClOjU37r/VFH1aU+iGVqRFGVnvTxfLez/rvGB2546PZZgpe3bdWU21ozLjHysqN
wNWGZM/ZhQbiUmq3DOteGNf05yHSSGjqHERfhVntE9HE27Qu9YMig3TT2WN/rBBB0LkYarwjhEIj
VLofNUEbLprSMKnn/2Lv3JqbxpI4/lWofZdL98vDTtU6zoXcSICBgReXSDy2bNmSdbEtf/r9HR05
WEpgYA41pdpawQs4aUutc7r7dP/7358XUwjHzKKyzqjvgOAvrC9jZ2O82/rOArwfpGsABJPtxMm9
zTtsnzl0XYcpA/q6vMzWJKPgQabFVrNv4szXyLNEEewY+mJxEbirG7uIod/dWzaI2WgbQGgGkA6u
GX22uGSiAnxT+4QZ5FUa5kaSfBIIPUaiQaHxQBmSHlCjWmhhAoHxG0+PtYs5Di8bWoA+L/zFPKMk
xREJ2Ot8NmIYArw68Fxby6r6QpzF1poyCY75eP6bZGuNYTedlQ9a5P4J71yVDoOZll+uSUPf73eU
CJ3I265O0kjf0urplHemObP3twJvlw633jI5Jwu6pCm3oIVnL2DAgovEg+ct2o1SCCdp2oQe5Iwx
TSDa9bF2a4B2glgDZ3ARjTfvq6nzOxGC8249nsJQu66KC/YBLIJZDkVT4H/Y+ow5YlqI+W6qwyyU
z6w3vpGPw+UOhDizyn1IGky6WGMO6drV1iSouabnKx+ui83sihii2J0xBiyhDSFyy0t7hf0ZulQx
5+fTMUAjkkTwBG/JhRHTLKF0WHG4IbzbJikjqtwk+5Cl9vqK2qfPGKvECxgEAHXKeZXOwXpjFz7B
GxxYtxAR6e+hjzbckb8u9x9LYHJDtvGYpBEJavrGVsyetMqUmWysnjW9l9sCeMoqut6naZqNcFiw
ymbllIgJrgdgkwVcDFkhIiGszCcmaHufoYzw2drlvLhIfdjKmYG1Jmj1bZ+xIVq8AXJq7d45ZVqQ
fNIXKfD1Svd5E1rwIa5Z92bTOaNNpmNKeeTUqrfVAmDcicVGO90z4j4ioOfgvTNx0YSgy3S0sdI/
YbhYnVIiuK80wvo9RBKX6cItRk5aMmArGq/vd9ON+XEu6tMjKFVh1Mgc4y5fJ9Baw8Xpv83pdSDi
pVXxLt5rm48arSKXFtzr5XBJQ9dNVmnFx0Wq6bf6cludmyl4MQ6vuXWfA3N+G9BWCkkVNB5XmjYz
vzAaeHFZ5P4GbgsBXdqZJbs0WWFWh0vHX5nEjDNYCh0qwCfelp6JUUkDYT60MlBZt2T4BeF5kFkx
oGizcuBl2Tq86eUcfuFsOh/tFvndfprTkkZXmAn7erJ7r++96eWcttsTqpnVnzFMv5/GRk6gtnfp
WCPTkYHAg+10OJ1H64+l6yRnWw2vO01snBlLasRhJzrVp/n8PNUgHRySGr3Kxjvv9WarF6eMLV1c
pwYcRkT2hn6dAET7nYkwBUMvdky6ht7SPnEzZn1aUaHdp4t1egsA0r9Yzozpab7Zp+d0hdgnVrpg
lWgZ8CgfvO4fZG81nNg2fa8T311nyXp7VhZE/6QzPbI02uwtfH6bEz+Ywr1MLeNkmubLm7IIHrSN
QTOysRxfuDOnGGlQbtwA/HROrDlwyWhtvU5mhn9Hd83u9bZyNoDTPICK7jge2QyVYdEEjDp0i+wy
ZyjODSM4Fte+G3xZ+TvjdDMGhD73q3BaLeF7tiHdH/tz0orGeEmuLKs+aJE1PvMg7z9NTXomNRb6
+WzDZNMNcIDXizwhZ5MsVpVJom0/mlk7YwRumoKsA+xO0/fZpwhA7AlHhf0FRPRgRz0jL+98LyEP
bARxPFo55iZ+u3NgXKlmOJu5I1gE6S1fXGseyASH8g05VhARVTI7M+BmHAbJ/tZZ7Pl/fXyfW7vq
zZbZz0Nzs/gQ5OYf1hRjTY/uaQTMb0SmJAxWNAoFUwoeW9hZRrkW66MVwOAz01gAjreXkOrM3+59
Bp8ktgN/DpBXRgnt31iziAbd+fpjmq/nd7ALQURgXhBYFecbpgt91naUQUxL+8PSYXbS90TIO+B8
5ykDT4bw+IXLYL6+35bre6hW42qoJz6u3RAHwVmsvYEHo4L5CFbdNTzZ1/RAPNqaV97UZO8Z9p/W
kD2AO5sWmWIL0dp0ubumoL6jiWr9/+EfP8RZRmejSc3422Xrj1WyhJSjVbiWv9MUrmuclsO4Y1d3
TZBSohXxAOEyjIFOktf/itP6iuBiSZhP8z0scF8HCJcuhn9gX3QaHJlnBhr3J+rWHUy67usOBPxW
4AjMODS2Aj95VLQel1sDDrz19rZcPk7zmHX35UgbdxJ6fjx9DWW1EGLdL+i0nWQ7K16mO77An5Nu
9cEaBWG0uY0CclqP3/+qGqt9BH6n/M8cFSalWBbd4LbTbaupjNyIndg2buYOxZQ5LFuaacGYK9L8
8Id8zue7qf8wg9ez0CkemjkTehIw6tHqUrf09XT5mEjgzrS0Z+DFzxnLrJ/Tt1JOIp/RqsvrMoMP
377SXWYFx3kwH2fv/bleXbm2lozfV+vibG5GzmWObb2b04xCbYT+8BUMAzQXUtnIOGeYG5dORgao
WAEuOl6uZ4t36wBuzIwOwtXGS0bcBLEFGROTqm9pXmZGGv1e7eLyKh6v4TDdb6p4e0aDfmwtrzzw
UiMH23nrG/BIfdYYrcbUK5qmh0DDshPGGdrWGwxHur+aF8SP77bUdu3VqbWZQrsFRTdpyt2YGlIG
a0n9Rv5nwC7Ng4zCIjyt+6bvy0lWvZ3kJcmTw64Sn9azBd9ToSkYNPmzP/R9QU139V/BZxzrWcd2
fVP1zXxPRhxyz+XjBJ5DD3ZEjgaWyzhGcWFUYgafNx9rng+xIvs10JvPJVnjkZK+pYbvP6HU5/d/
5ntPIA21aD/HltIM0DLGP6sE16bJnPYYZtFIJWARj5UAnnVQ9xwe4Er//OM/JOWqEMsQgEdnrBQ3
+yNP35FwtAQCUFSW4wEKplGai1d8/PRBMNAN3wIdbD9phy/853UQPuJVRxEjvaOH4ti5gql3QVb9
iBY6Mr5qAaIBx/QMTtyu1AIuuaMFeMg4l1r4EHHhtPqlBby/3Jyyh+fJRP2MNTAHggXCBBzXfnrf
HYCJg06d1lR59e7pCVcUl4Blw0+BsQPMLJ+xYwsDgPIcGyDrB7UmLold7NFGoE7QxVP+rC1ECaAn
2FHAX+qrsxIM4lOWiEPnrtwoUut9UgJ9e7w5NWugDwh+hdVrtIB5ObYGfoDH8F2abJulIs1Pj7RA
N4e0UArWwOdUAYscGFm53nnVx0qgm5lhO2LAde+CAtNgbqHiGmD2j2cKGPDhFT9fA+wBaCnNRj29
8wi0uKm6ReJDIMwuI8yDl9eAEQxczq9wespu0N5tBJaCaE5VMgcWc9khm/ChgJBa6AYHeAbPs8B4
NEronWeguVzZJhIhMebegaXixaXgsV9q8lazd08P8Eh01iutAduj7c6lW5R+Z3l1raEuJrriOps1
0LudAGrHV44QyTQRB+suzX0vaSEQHF+GT/zw9SjVrzAZDjDlQJETEY7B5SzwohI8h5UAQ41lEE+K
q3cbgqZ91UMzNpGBoeQarc5p2fM4L7pMKbaap5c7r0exkQG3rapLMBk0GDiOaHJtrrY58EVXLS1J
bDlpLXsXI2HGTVUt2PaAXKHJHx7vODbEGbhi3oZLQaK+ercFBM+Sqk8gRKTbGkaVoIkLOhGyb+Ez
yKvY5NTrq3eLALog0SSu5BnrEBB7qIsTx/Ei4Kgskiri+EDvB1cPz4qkfBQfnz2ApSM1dIiAO2kD
UIWw3gcWXTj92wRQgKnaAEblcDqALeeQFumYAnJHgtefbpfmnNRDLQQ+aQ6lTWAzKdazmW5A50Z9
dbQQiF5V4iaRrq6v3p0WcWWmcmTk4/Vgngi8JpfcMYgBBylwVOTYmshJqr1PsQEGXTk0oqhCe7Hv
Ok22tGMRfAYOQ/fl1ROAxWLo344AxK+qBdsZwP5DqvDoXR97BzcYAHQ0IIjsbV2BF6RsHe2BzaRI
8iNNXaFjF+gLH8AzB4eWmFnWr6MSuS1luyiOCWwG1kA7NvDcgafTmv9UVZJuuEeWAO4aW97U30+h
4hVIjlFYC5rjcMcSQIntgraAhLN3htBkZJ5qZEhoxOA7L+CUKE8BncfHEHoWoAlI5OTnvXOKDeGE
UmhgGaQD6JHzOXfWV9cpBgOL0ho+86u76JkhILuraghtF3cQCFxRcxbqaoEiPKgnTubym/pkCQy4
QFTjQ7IiZE4NhrrLRfDMD5BIt0lVQxPSOz/AW5Ehyt+3hJwSLMeFTJP9Xl8dUwBdGKckukOYl37Y
JD3bBMJSqa4Ci3FmDjmjQw69swrwBw4IBBN3IVdJ//YCXXLKWqC6SsATgMt7esrjyNDjwEzZDWSk
XCpB/3aEDUhQdS1QLyBDgkV4eUeQQeQTaCEAJtVX/yIki/hdVQvmgBjQtAW25PCUrbXgDKixwtR5
wCP0LkSguCToatVCBBJlFu/6yTqyxVpaAG8AjNWH3F9qqX9agNxKNVq20ALclWRR5EOKfOGxFgLO
1RLh3IARe1digzZWfUdY7AhG4YgJOvJqa4HE9QAIEugLu3+HBgARqqvA1ikhgjhowsQ6a3y8Cqgv
+RbTA0gxSfUQSfQsUhAgOkWLAB6R8UlmAMvr01O2tECkALRdUMfLz3vnHQRrraqPtNgLOikCDqMv
egdfrBWqK6DSpBZ6ZxeFFuQC/fuxM8doGydjExrKp+x4B3QzIB7hdNUsux6dnZoBwKrekfm/ASmy
xiYQFR/vBSoM8HibAockV4l0x33Sgk0xVNEiiBMUqSROB4177GihRmZ6QC9Mt3+7gH5n1RhJAHCY
C+F4/jd2Qe0XRfq+QWn1bxUQyaraAvKpALRRArnT+urYAiyiS7qZ49VXi9kv72i5TPNW3AtYRPoR
OECKSd311bEIAYlFnCdl1ye/0TctPG8i/FmsNtllnh0qW6vJKXUtgk7A7NDagsE4aOlHtfADxvOp
G+pkFsWPdR9UNMlf6oT61g8c+n+ef970/tTzJaH1bf2gaIuS3y27gMS/f2s1dtTNKUcfHppV6u9p
fr15wOdf3fquw1Md/vMimmRh9jCr6g+q5jZvwyW9VP+Jwy/hMjzuTGEPEpd9vZN//6t1n0e74C8E
54uOXFGeU5abRftk1RZcdxCoC16Eq7xN3cwITwyyquSTMGYoY7aKWnctgc7KspM4ycLH5HCXYvFJ
GL265NVq8lBED2XREl6DclWFjyZxuA2zybFkCXJUltz0Wr1K/nxF02u5/NJWu0QRqn7LGVqPHlvv
swHoqUo+nyTZtH3LDepLVfIFGo+iY403QCpVwa8fw1lrATKsQCCUlOUyDHWVRPlBUt05KRtllEWv
Hpkd2n5/ElakLDnZdsTWOB1VsVfPbZOEvigLRkD5sKhaSpZ4ElXR10kJxXhXzRLQrSr7JoxWLetB
He5XuJebMKueDYuWkAL1W87z8GFW5pOiaK3ppmivLD96mEXTsN1pKwvi6qLxBbCctFa2KQus6rLz
POIvXIjHa7DphvoV0hNIeTqiRWVYWXSyKjqL25RFV1XJt5MvWdiJnpp+YXXRm7Dtt0jCiEKpuuDt
q4twmeZMxmltTOSLEuSvkH85yfJJy1KZsrL3K4TfTHbRQ8uNIVxAqX6F8E9JtjhIqs8HsgqlLDrJ
itmrkzBjFkLbmzUFnl/zBc+nezXNSari38yitsZliVJZ7CImImmfakxZ61EWnU2mXTKDunyiKvhu
At9WFW/CzjHBlNUJVfFvZ8nj5NXr/Jlvk2l/VfHvkvIbC7HJqP+aL3i+EJtUtar492h/kueTluVq
0sDqsr8xEKgmYXmRL+Up8/y9E/bvRTg7tikAV0W+VvV2P0yyJZ7tIEhYq6brRllyxMmms7wtyQej
KvpjiN9ZTYv21qTVXWRwlYVP8uLVh5duXuZGleVH+UOyyqNW5NZkHJVlf5vW67vL76VM0xN/yvP8
04Ea56VfayfXxE88xJMw++2/AAAA//8=</cx:binary>
              </cx:geoCache>
            </cx:geography>
          </cx:layoutPr>
        </cx:series>
      </cx:plotAreaRegion>
    </cx:plotArea>
    <cx:legend pos="r" align="min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</cx:numDim>
    </cx:data>
  </cx:chartData>
  <cx:chart>
    <cx:title pos="t" align="ctr" overlay="0">
      <cx:tx>
        <cx:txData>
          <cx:v>Percentage Charter / National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Percentage Charter / National</a:t>
          </a:r>
        </a:p>
      </cx:txPr>
    </cx:title>
    <cx:plotArea>
      <cx:plotAreaRegion>
        <cx:series layoutId="regionMap" uniqueId="{ACFAB797-2E40-46F4-A0BA-3AB78A6B1B2A}">
          <cx:tx>
            <cx:txData>
              <cx:f>_xlchart.v5.2</cx:f>
              <cx:v>Percentage Charter</cx:v>
            </cx:txData>
          </cx:tx>
          <cx:dataLabels pos="ctr">
            <cx:visibility seriesName="0" categoryName="0" value="1"/>
          </cx:dataLabels>
          <cx:dataId val="0"/>
          <cx:layoutPr>
            <cx:geography cultureLanguage="en-US" cultureRegion="US" attribution="Powered by Bing">
              <cx:geoCache provider="{E9337A44-BEBE-4D9F-B70C-5C5E7DAFC167}">
                <cx:binary>7H1pb9tI0+1fCfL50sPuZrPJB8+8wJBaLDu2M3aWSb4Qiu1wbW7N/dffQ0uOJY4SezC+uBDu9QQT
xFKLRZ6uqlNLl/572/3nNrlfl286maTqP7fd72+Dqsr/89tv6ja4l2t1IsPbMlPZ9+rkNpO/Zd+/
h7f3v92V6zZM/d+oTozfboN1Wd13b//nv/g0/z57l92uqzBL/6zvy/76XtVJpX7x2sGX3qzvZJjO
QlWV4W1Ffn/7R7L+tpbrt2/u0yqs+g99fv/72703vX3z2/Sj/nbZNwkkq+o7rGX0RJimQSkVb98k
Wepvf69Z5oll6IxRndqbn8eLXq4lFr5Akgc51nd35b1SuJOHv3cW7omN3797++Y2q9NqfFo+Htzv
bz+mYXV/9+amWlf36u2bUGXu5g1uNsr+8ebhZn/bf97/89/JL3D7k9/sQDJ9Vs+9dAgRFb8iIKZx
QgzDEDrVN4/d2MeFcHpChW2ZxOB/Q+QZSX4KyMO6KR7nR4mHu07C71mZhq+ICRMnlBumaRNbf/gh
E0yIfWISQQUxyCFdeZlMh9HZXTtByP3jKBH6HKrbLFVh+rh9/70VM4wTk9k2Z+ZWaex9gCz7RDBq
c26zDYDs8dobY/YikQ7js7N0As/n1VHC80cZDln6mtpjnFCbUWoRY6McE09DCDmBC+K2yc1H7dq4
t62neV6gw9D8uJMJMH98PUpgLu/bN1+yMn7cuq+gNvTEZjY1Ri//8AO12OUAgp+YeIXD12yQMx+v
vUHmJRIdhuZp5QSbyy9Hic3sPlm36/L+8fn8e2yYfaLrljAp45tnPzFpwMYwLdNgxNq8PmEDL5Ho
MDZPKyfYzOZHgc2vSeQucd575z8lzvYJ1xkXBhMHdccGfsRicEtb3QGP27VqE277c7EOgzRZvncn
R0Kcy3idqjV4/e697225fwqJcQJdsHRGtipj7Zszm54YzCacc2sD2URl/niBRIfReFq5Jz+Cmuuj
UJk9qRFmulmSleu77BWxsU4ADee6sXU1Uwqt8xNuiFFhHi+68TEvEeUwKE8r924Pd3d1lKC8v09T
1SfN+lVjG0OH0iC02aqErk+AEeLEYpZlC7Gl1lCqXTv2UqkOY7S/eoLT++OMb9wsTe9vq/C2rh4f
1b+nAwY54YITzhjf2K4pTMjjMAscm06M2gulOQzP3uIJOu6Ho9Six2Tam+z7G1iIWn571UwBzJwO
M0bYJG0DNdKJSW2TbenahA78U7EO43X4UybAzdyjBO5iHab3r6hQ/IQhpWPwR349iUpN+4QSBD66
OMzfnhXnMELbZRNILo6DWe9JDZqwytr1KyJCT/CwTVBq4zCjZmDcum4Sffv6JBp9TprDgGxW7d0Z
buw4Pc8CrC28e0VIqHXCkTWDHmxj0EkQaoFRW4IZ1DqcV3uBQIdR+bFwAsziOIsEy/us9F/Vz9AT
04C7N2xykA5Y7ARFBCYMfcvrJqz6BQIdBubHwgkwy+PUmFNkbcLw9WzYQyEAaRudwTjtptIQdZ5w
KsboZ2O9yONFN2HO84IcxuNx3QSO09VR+vjV3Tp4xaATZQHQLV3Qx7LMJCFACOoGqAkIS5+w5mcF
OYzGdtkEjNXsOMFIkjDNwldM0CDWJMACQf6WU03diY3ap2Uybj3lPHdjzdULJPoJMD9WTrE5Tofy
ea0CdB5U2WsW0cSJQQhSmpbYePsJIyZUP+Ecbkc3Nk5nYsJeJtNhfHbXThD6fJyeZZXehetXLaPZ
J6g/24b1mL2ES9/1MGjYQPgP6B6LOVOT9rxAh7H5cScTYFaXR2nWzmFR6tu4f/S//z43g/YAuHZq
mXzbKjNxMxYHMkIIRrYseYLMSyQ6DM3Tygk251+OE5vXrghYiE8MQcfs5cMPTNauztgWCALKNCjk
/DB5uw7n/Fl5foLLdt0UlZujROVdVofqlY2ZfmJb8CLmj8hyAgxBVppYaBp46oLaBeZFIh3GZmfp
BJ53x+lpLtZln6zTu1c0aMhiwqJBKfZREeaJ0AmaOR5rmpOo8iWSHAblaeUEk4vj5M43WV0Fb9x1
mYFDr18RGYb8Mh4/Jdu4f0oCxmoOgn701GwM2iRH9nK5DuM0XT9B68Y9SgN3HaCf9M1Kva4WoWRj
UgtdZ9uMvz2hBQIlHWJZ+tj69PAz0aaXSnUYqf3VE5yuV0eJ08VaqfVtUKv7qlKvp1QGPUHzJvo4
7KcS5y5LAFCmjmYPZiEi2vVCL5bnMEST5ROMLo7TG326L2WWVo8P6t+zayRxdMEp/pvYOoEcqElN
27TQ+jn+TGj1CyQ5jMuPhRNEPn04Tq0Jb4PQX79mpgCNNsIQNuqcmyc/sWwIeATTbcSih73QxQsk
OgzN08oJNhdHatFCpbK6DF9PXRhCGlMgR7BN0uh0n8ONTVAIRQWhW2wmWnPxAol+hs3jvUyxOc5+
m4sQfRwqq16Rvhkmis42QRfatixDJuDg8IeNWhq6pR93xKY88CJZfgbLj9uY4nKcCZxxh45/8vw1
1Qb9MxSFmx+ZZ3sfGZwgQHs6Rfvatn9tQqxfKNTPINq5oylIN8fpdMABXjX9aaCBBs1PxEZN8+Fn
wgaIDoQMTqg5tt7ssbTnRfkJLI8Lp5AcJw+4vP9Wrp85IfbPDg+OTWk49MSE2Bzc+JuvsU+Q5BEU
PewbzCZK8xKJDkPztHKCzeX8KNXl8r5Zv2bjBk4PMJRq0N10OKQhxIQ944hoEICOP3BEuzrzvDw/
w2VzH1NUPh0pKu2b07XMUWt7zaMdBjsxLRyqsR/VYmLKxsQAVIoiHN2ozYQMjIdnXiTWzzDaWz6F
6vRooTq7L9V9/7iRXyHyRLmaAQTOtsm2CZUW6B4AYcDp700UZE8cz4jT8zL9HKTHtVOEzo4Soas4
QXPHq55dR0uNxQy0DG7UZNq6bqMup4+daWJb0Aan2zVyL5HoMDpPKyfYXB3noelxp17cd+HtKzbf
MOMEaWoEmsaWHEysHNHNEwJ4bGSr93F5mTSHkdldO8Hm8uIo9eYyK//PlBKgPQy9Tz8owqTdQ6AZ
xwJDMM0tflPy9mK5foLUZP0ULfeI0Zqt49fNG6A1xzAZNGWb6pxEp/BPOA06HrJ+dEUTjXp41s9L
9SukHldPcZodJU5XQfiKtg6NbQY6PBGcHqbb6JPGKwyd0k+HRfc80TPSHMZlcw8TPK6Ok79dlff+
qzazoVAK24VmQnNLzvbzOZtmNkSnOHS4ryvPS/ITNLZ3MMXj+ij1Y1PofdT5zV59BUYNTsDGyTWP
jGzic0Y7RpmOFKk54dIvlecwNvurJwjdHKcF+4DjoBisdH//uH3/PTyMY+YTetj0bVJgms9BiyEz
GB1H3WwY94S4vUikwwjtLJ3A8+E4s9Qf7rtXPdtO4OCZZaCz48ej361RY9wAwxgPNLo99SDuephn
xfkZLA93MYXkr6O0aR+rdfCKyoInjqYB5Gm24eckO/Aw1kaghY2aE+b8nByHodismiDx8cNRIvG5
zzDXzn89MNDCATdvItO8rQ5MwdCRC+AYrAasNnzg8dqb+toLBDqMyo+FE2A+fzlKYD6FOKf2qvMF
xuZoQi0bRenNg7f2iZiwTsbhAxzHdDavI02wa7heItFhaJ5WTrD59MdRYvP5XlVvnm7qtTgZGgYw
/xGnPtDY+fAz4WSWjtl2CF1sfet5JgC9WKzDKE2WT6D6/H+pcPDzgZE/hmnO1tV6/jCFc2dm5K9f
fXgCGA06Wbrd7wf52wbl1d3vb4k9Dnz8Mdxz/Iw9Rfkx7Wy65H6tqt/famOBFGcPORoQcBJhLA29
fdNiS40v4RwcprOhyQ1tITgwZ8J6pmPKAPNBUXYdV1kWTsmNr0AGdKw8vETgAMEU8XEWJu4Q68fo
0/dZ0iOa+/Ewtv9+k9byfRamlfr9LaVIYeSb9413x3VMh4FctmUhnw7xxgOU+e36Gm4Cbyf/SxZC
qS4223ckzJOuMB2rrTCt1UElJdPPs7yxqHSjQlRDvYypTKT+ucJJMzKP01yqD1Qa1VA6OHym03lS
RmXeRq5o0iK3bkIzzZVZuXWUhqR287Yz0oXB2lS6aWr3p5HWtlrgppxS2azKOpGqUc5Q1WmVX6RJ
H6Wzpgkt5dhWnr7jXtSdZZps9FUUmv1Fb3jeh4gV+VmqmX9pKmuWbdYI39U7e2bzKH8XSRUuZdTV
xOE8ph8CMxxSNwzqVnNs2ca+Y5WNPW9ZUbSzpBz8zDETs7se4oav9Zx6sYOH2lyEeuCVcxpUbe2U
TR0Ojs18PVmmXZMsu6ZMrBm3s3BlSr8Ql7ZdNZGrej1cFpqW4TPzvlpWZdzUjpZoiRtIIz7NvbJd
REMpBkdoKT44NSKvc2XjNVeUe+mXqu3JdWsGabPMqqiaBUo1vuPnPe1c5feDo2JZziJeNH9VpdF/
8oZMmG7pF3m36jKrix2v5LhRw9Nr+peXRMW7lpNkqahZzg0SN3PTzwviKFK+a7OM5DO0nrVz3WRB
7oRxy1emp8QnO+q7d7RqbbUMI6OoFoEq9cRpsNVnGqt7/c/CjOe00lK5ZFXiuWbGu8Fpoko4oYoi
zeWNbISDkWplNtNrgzu52cjTIvOCWec3tbWgbdvO2yrKXOnTxl/0tNLxoP085y5RSftdeKG+Hjjx
FzHH0MJF7IXlXE+Nfi2Rl6MLu5R8WWddfkPSMjiPzSr5K9Mj0/H0hrRurvnVadIEvj6jpbiSsi9n
NQ28eRlkonDzICHYNKQjzdz3k2LRN343D0RpX3W8yJeFV9ZuXRj+WWB7nXAyJuMbM2E8d3hQJ3d6
pGWryovoqpJCzjBowfsKbSgbJ42I/c2TDQmdXlVNvPSrgn7wkrBetaUUC5o0InDs1FM3ltHc6i3X
Zk1vDTPPKnvpQAPCVSZyJt3e7xrb9U2LvJNmYpzFAbe+IAlDl40KTM/haiBkxhvqO4pKjc2UV3zg
RlJeFpY+fEsq6c3qwu8/1WEuT73Bgwpqmm5HTq4NbN7kmrrqsy69LHgUtU6VRVHo0Cb0XK5ia0YC
L/to+kXltJqdrlI79D9XRSI7x6q85Do2cuqqIc6XTSWXVWZhHwrPqB1uxPqfPChqt686Zi+y1KAt
LItHvPM8tyKn5lV+VUrPXihTT+5TEverwsY84i4oIqfpettJveo20kNjxvq2dbkVGqdRYttuZtB1
1/afeVJyN419u5vZDRVlPCsYB46tkxdBXpvvW6V5Pi4bc7PuS2d3tvGeQb3N8r4M/WA7TvrHP//n
Qybx52HY8dMvx2nUT/9C/+RmjPUv34VD/iMtVtM3jV7xx2c9jVUeXdGPGcsT37YZfP0Tx/fLF1/m
FTHSFY7k515xd3zuk2PcrHp0jPB+BKE1h3ejmA03nnp5dIwUCSu0fqNHX7cw/tdAwmPrGBFx6EQg
w4hGS+g2GvmfHCNFZQUfiGPlG7dJ/olnJLjGnmPEYFQ0ayKViZ5ajNoYWcCuY6wGluVFXXeXacvs
edN6sIsZi0TsxqJt/jQ13p9FXZPGc12Pqy9VZjQfY0N1haPstPi88/S222zXTxOwwak0hm5THGc0
dEygMEdpd9y0kfZ5bAd1c0mLlFz68ZB6Ti0yM3C7pspsp2mN+ouAIodOKa2qcIuohIPzBiUMF2PG
0ju7qvQrfEZQz2iSkI8D1yyy7E3u3ZNeI93i1xJTZA7/JrEpTMvGUQyhg15MJA5FAGz76pJ10MeZ
2Q3Jx8ZAG+aiEn3GnabvSDQLhWc5gzB72MhYZ0vZlD2ZlU1W3QWdUsQNtZzPFCa+N04lA71xRMlj
f+5nUfA+ru0zqexAzZD/tz+poDiPk5Z381Bp5kVYBo1c/vqu/g4DJk8iZKLIPxDY1/Gmd2AQvea3
Wp6oy7Ty7E+ZD3bvGDHF1sjTunvfdqV9k3skQSbnh/IcgH/ca7skTRAhCCa+2MjSjv8bxdq5LNc7
38iVn16m1kAuSRzUl6kq3dDyAjD5X10J6vO3K9kYgi4wEAB1lbFGvHulHF51KOAYL61cN9ZFm5XJ
0qusnjpxHsz1ok4Gl+m9lbkR4618btOMm2L/RrFRcOjAGIdEwTpMLo8O6jDwUxleiiLmaxnVfB1j
+k6y5INUc7MEnep1QL9sk6KlThFn4r5KbLVq7d5415ms1F3WRlnsRiKVH1mZUzYLrL6/z7Umn+na
IIULsmaUp5hqPdQbd7CZdH8AJ/J3oDA7FmYD5Q+Kfm9jZNs7QOlmzVPOPe2C1J5ch2WlfIdocZUa
Duv71D9rgzD+5lt2/q4bimBhZkYXupQ04nslhiFz+8AXrpFFzX1YMnHX8DwQaEz5FcQG/xvIYzqZ
ibFEgxHD4P/7UpqlFeplULELMLrcs61ZZQfDsnvw0VVT127ZFfqfjex57QRBINySpCCOZb5MRlcf
J4W8zhMO/y+S1v/cRjJbgeFUTg7C9NEcKYNXpJ5bP/CIsGLgFF6k0st2JBrFSDl8n4B9aA9MhDaB
POVgbdc08t/7fco6J6lFcVmBxVQPfMYcqQ0JewrbYNTD4OitFb1LRhoEfmucBSM1Gh5YUqsHhsQI
OpAn7YFHtSOlIiO5GqLuNldFdVPrGphXKyux8FRRrwyP0g9FQNp46QkNfG0IYu8bppqDxYVpoX2t
R2qX54qu4izNV6Swk7uwyU3o/UgHwwdm2IwksRzpYj8SR4Kc/1XRym5utGWxIA8MM0Es6LtN61uF
24wkVCoGOprbV4GngaESklWncDW0ddORwlqVSP7qpB6c09LObzirQHXtSKNgTHJYW2ZWzpXeRcOi
iS1/oXWdvqYjaVYP/Hl44NLpA6/uRorNRrLdP/DucqTgScXkaQqq7dgPDB3cHGw9emDuwmuFIx74
vDFSe/bA8kvwfd8YmX87BgHhQzwQPcQG7CFO6Jjo3pnxMCTen3VbVFI6fZj0aXkXeAGlwxfVap2Q
YL4lTHl2S3sZVax06qquc/2yiisZd2d2WAzLxq4rbyXLMMydiCbZjS40top6xkZKbiee0xe63QEu
aVmz1PPgD6skbou5Gbe+7pZJRbyroNBNkZ3GvWiDWd8ldvXOVBXDjmq9jKjWreELF6YWRN5VA9Ux
fbewcgsbjsVKLtIkLG0nKeC8vHnXhKareTiBw53eQxDiZsqT0g3suvUWbSISOVceWMGCp74cXGvg
sJgpjY3alUGpIXRSva/eq1CTcp75ofVdqxsR6jM9o9UyNKzauuRgrN5ZykQleOSmnSqG/lQhNCuD
ee4HQs491QwFAh+Vhos+MWV/qislc5fTPgld0fE+WZZhEWouYKWftVwOZMaYGSNAiaWuXSWRrik8
8jT9HElpyxUr7SqZx0FlXg91xdgCYQ0l50EbKJE6IkD4u/TKJk9v4IzZWeQPNF7UOSSYZ1XiD3OL
dIPtWlGftxfS6rG1NahKOfMIqc9Kxnky8z3m1zORNoAzFAr8JB0iNtwnMbPNmQUBJGi+DIoVAeM/
9UMRmy6N44LNwiz0ZkPtxdzR2jK330deGxkuC4tocGQeDdq57iXGguSezyGuLfI56YMhWwUhaf15
bBsBQgK8zyF2aKfYPj4r3K4NtcGpulD7WqZ91mtOCD2il2RIwyF0rMbQ2Ic+aWl9aeZ2n81Su6gu
eJ3CJflKxFhgS1SIFl4YkPTLQJI0OCt6mXQL1fIhPCeVX30wIsrXvPOk51gEm3dRp51gc2UOyCXI
mkRylrAiVq7VevOQhMWXpG3BLCI/am4UN9tveRmw00a0vje3Yq5TJ7U8fA5PsqhbpGVDLocuZ8af
quLkA6k0vKM1NWW5FelFN2+ojMLTsqO0XaXCV/Qq1IT9KdWLcXNGUaGWIlGBet/1RmW5ejEmR4I2
hWCZgtE9hwezP2GmA3a3hJUsZzii1iHsVbZH30dlHcfX1EptY9UZUVtfVF01ks+g797zWDO7edZK
XDrLhqFxOiqrYanHYrz5UfQW9gly5ZJcGjzFXdQFx6MK4iweXDtuoDp54sfhn2kpoPJlDVbg4zXY
VFqlwVVBjL5MHZYHOuBuy66+kFqQKyfU66JbdDrmhs37pqCj0YAyubgjGJDOJiNPrlL5yaPMPrOa
MLQcK+Ax9kXvm+s2ZRCjK6P+mlWdrs590NwIObE0jm4seIulSnVyWdh+8cXQqVk4gRGE9CyzfLs+
94LMb2Z9KYoWBLdny5zisbq6KPrbOIn5+65WenZa6H0Tf26RO1Kn0tPk936wRxsSFkkwQxxgsXlI
+0AtclPanzXdkwvZ5n7hCANmri/b4DrMKnVuyzjiM05L6sPsof3CaQJqfyojrfHnCU2hJoPmMXtl
pBkp7iUMcn+GwTbQjXa02POIa3iiXTM0cziZtjgnZU1N17OTqoGnZY0O6l1EX0u7sT9oPWj62WBX
JbmrVNorRxIimlXYUnxUJ0kwuEbrm/4qByytq8W2uRiypqkuul4kN1GjCscS6tSQXcNPh9YEOLFO
1LDMkzjLLlKzM95plW5k86BIZXPu920euBZXMvgAJqLudDuFGYHpVI0TB6pFmrBtrAJeoC9uEr8g
4V8kG5jVOAMYWP8xr5hm48MUcnmB0GL/TPPy9hvSQlrjJkKZ8SpEMv7PDvmCYVnWhQrn4TBm+0Ja
Rex9FycDv5RmniROkTe6eWGQwOjcHuxGzdsgB2qtlYa+Uw5CwnYolcxJx7py1iTUKpeDVWD3x0bn
i1nv9bpyPaRHi88t78mHKEAaBOoQ2p+w16V6n9rIhixqmtvRwpKB2Tpd/YVadWsRJ44b8ZHTFGnL
lvuVcWF4idVcF56ySzh37Oh5HjKgicAB6buQVXH2TpR5wN7TTk/MlddlNu6r6zT/Ii61vJ1J5cFm
IC9UVxdJ4kH+0o79hQqsOJi1na6v+sKA3vemKUIkFQOBtk+w0m1Gf8udN6np3VzGbmrj/8lMCgId
ipz7DwL/twLDbtl6TNlvFzxmUcbyAtqtx4EG+I4qtGU/ZVGQYNFNfI8Yx+hW1PrGjqvdLAoZQ8qd
usJYctB1pnMiHspS/J+kT6xp+I8ZmWxMnICVgOeiH2w/xsiKLAyy3uov7HTQhhiuLe/7hTRb+5OU
BlvFXQfr3vh+fq64oe5I34fLLjS7932RlqclQs9zmmfd+6iu7bkMSXcd9D1/L3OidOZkSRd6Vuyw
Vq+b4VRK0/Daa030XVq4td1gXMfHwOtsmZ/WkkaO6bdNETh64mlXtjQaeZahWKFsxF4ks76zXPRh
fdqi571rVr6oSeitPNFp0RmC5KK5yRs85BstzQSd50ZAjbkfteVwjmdpsCsrRu5ex2UDZOh10/El
hYX2jaGvrkuJcKRuk/ASPDFYFoIOzG1T0/uQShp8GKqMneKmslky1Nq3NpDhBysySiSmZRD92WX8
surKYjXw0F8EmVevMZsU2qmkFyFPX4auqUfMtbOmT4Rrd4OgKdhZE3LhO0PcdnTetnpTnFMxyJS4
UWp1l4EfN9qqa7O2n8Wx5vc3Wk/qASTUjyN/4Rk5DqAtadgF9bLx9KwqTonueyRMHBk3Rdxdm4ke
lhd5p7IUKMhNCef/W4Sdrw+83f3Svcfi+6jgdNThX9iD/W/ne8quPqzbmgXTPEF9kKHYgFocgnwd
6rdJrqKJbOwMQLMZzkHh29XGBOrWKuAAFAMxwHdBbAfabyuOBHOJGEWbrU1w7NDGF679E8vAxuzC
U45nvCLBl+whu4MkGppF6Zid2MmRJCQqU3BIfm8Rr4Ju09zIURbT8yYcPnFe5/Ha0EquFmnRq96Y
VbTjQedqmad/89PSSDU3o10szuyA9/UstrW0OG1tmagL5CRyrXeyuOP5Nx5XUZfNNNNMoCA+sjXk
XnRZX18nQSeStWXx3LtlkhXmpW+GRc5AYpA5TFxs/1JeBUSv2nTmJ7yMkfptuZTviOgLiOxLSfpz
KlkafddUk2HNDqQHEkn7eUb0lCPXi8yMaYzfEYHHNc0zEhnWgRlY916bpVFxWkkjMU4To1GlOB2U
X4WtO6BgG35PdC+k3jN5OILK8x5GaGhD7wHScDgogsnf9vj6DkaIyixUZMzwLiIxi0MXRoozROw2
1YpoUXatX1YzpJB8I3A0Qxvy9H1rsF5RlxiD2bKzCpVLFTtZVrCSXGJYT4HXfv2MRg+ys49A2hlD
lhItLkhijdtyX8YuCDUalEy7M7Wy0enMH4QvikViGRXTnbSsTPMrYiWvWv36uhNsxusaNqbboQGN
Il09vW5e95nINGbd+YjzlOk0OhLCfwXIIaXIKERhHV6lHr7ntELuLEOb2jM5xjGFuH/byM1iXitF
YwLa3MTEsfq8CTW9C9idJhJRMJe3usnXUCStWmVDKJLLUCMZuWBx0dc3sdL1IXBw1DLBQ/n1g9hP
dqKnnlOMJUXpZjyijzkxEwAqM9SjPk69W88eUl4usyKXXj/XPOTk+2VvlR1Q+fUl/37zODpr4ugZ
+h/GgVyTokIgAlSye728M8wWWr7oiTmAJvOyrZUxRz7cML+WNZ46qjAmmgi/ZgivSpRvwkzP22c2
AplYMjwAfOsEtASKioHHCH/3d6BvDxG380r7hoOsQmqnXRWMCiG7LEANs0aCYjDcUCKCzp0OaX1I
xdFMUN/I3Ix6N9VImd7YMpBlOit4VtJr2YSp+vbrZ7af7TUEhsvqmO2PQ/oCNhxDgPelRF7KKvVi
6L51ZVViE+h1rONh6V3LuIbwljXaTU6RZIHSVG02/hXmfv1PHxbOPuNrBpiOtjNk92Ha9sWwCqqq
XpnZtzThGmx4BOs1tCgD6VXPz5nHYfeVX+PLomTEU1jUMpcl4aeWhhA2dooA1na0/EjqtJBwSJpz
o4vzTD5jVsh0j2GGG7rmKM6YUiBsmhP/1KFBJQdpZd+UR01NzqNK5Un9vhiqME/dtugLCKcJ2eC1
rC9k1s+seOi1mzbPvRVCsCTyXTkMen+OVBYKRU6KDh8PfTBc15JrhPH+IF1kHDqYRKpFPUnPdAT9
+NQ49NqieEZNJ5VMWCpkCWwMbNIJDqfjiwUmFgM7My2atMm/Cp7xiLu5jtO1heN5tW2XLhmQUw0c
r99Yz6Q28Bo4N8xJTjwLL3VtxcxiUbfseYU2plYcgyNARtDHRCgOjvxtW8QdUqxIleRfkeIKy2LO
UD0wLigJWH/OVN3jcdhekwyfZND1vXDqoGyLwIXBb81rvxg87RQMOxo+lVqtzEsrNEeC0IHhJ/Yy
rvkIT6aYjS3UN4I313kZxcOnIUGGOEY8kIxOK8TTB0BZagf4JUMfwPDJkl0H7BiPevylBt2vrFnO
FVMLU9QjdnHnhyAYxcPlbcvXejQ3ZF2Ej8hAHiB5iIABsFY5l/G6UybaohZ2U5LmxmDZUL0ry9gr
nSSRJZqsNN+T3alvwLl+Sa3UMz41ekOwyYTlg2c0RZqBovzaNkxNOJ6+wDldZJEMYeLA9WRrMA81
KWLnydeBSFX6yM3pAomzNouyZMXqooWh+PUVp9YIw/iRCyMPZX347ukVUS1QQStZ+4UN9bgZ29oY
zR9VIobzNpuCm189JIWxCZF1Rf3sQsCwYJ/+WoyxgW7PjaL8ZVIBx4WD5NQAS943RwNr6kKzTflJ
GqmsGHpeaq7dZ0VQwBoFsUrJvPREFr5vlOXD4uQBz1B2tiraZMhciTZBQRpR3nniWeZNx9AF1juq
JWZzXVmaHroFH7rsHJtID5xINzwkqwzPJKOyBzr2YdYEYBcrL4qrUfMbdA5ejd8XnvcOi0vWNctf
3/HUrlnojdDHrnj68HVviAn27zg2vSBtCyU+NnWKWHXOy5KCxDbDuG8NkCzjFDnNDtu2i230xDl+
9cBsNTMftzSro5Z6N15njluaFuEgy9MQ9dXRRBaD0smiSJocLXcD72NondfKkVOT3pLQTkEKqNGv
b4nu92hgxjAaJOE2YdWAII5oTEx1wVI5ZFFKP1pVgE7ARZX7owAVOtNG1X3QY5yp6SGbF/xvyt61
OU5cCxf+RaoCxPUr0N2+x7Fj7yRfVHGSjZAACYGQxK8/D3H2++7Jrpo5p2omXba7GxDS0lrPZeGP
JY5YeYQUo2dsNITHSONjsCX4lQIAL78NlSjSq95BCjnXc3Aqf2Czx7t6To9LDN2YL2dJCkPPGvJB
ujQB+wUu9x8u7Y8sE5dW4WlWCbhkqLRT5Ht/vVurl3ExWBVeaLcdkWo1M6bWPuy9+r5GpUymOqxq
3l9R7x/740hUjBvi83HowmkfczAP54oS616QpRoMhysExeyj245oMvWkwhRL3aCP6GYRNq/6RDuE
tRUZCQ7YryzCT6ixYgzF2KUYinUtOFmbbLACS4JXicBP7+NzhMLjge3/X2H7+J7U/rfq5Y81WiJd
QHZVJFmJsjP6n1Q3dnuah3wmn7axgFTv/J7eJrz0m2xQWUIq8E9h4Y/t6Dhkiv4gCWAr/I+s6a/D
HgmFFFL74tNiY8yQNaAlJoSc+4rxSYVOVXZijii/QCoKqspAWMgmpCwIehglcA/D+ljkS8nEma0p
QFlUIcn2ZGAqwg4wEiz81U/YqH7ftm52E4bSD+WEtYJVdNyOTvrjRhDRx3ipgqi2p0iNCmeSSYm9
CRLHo079+9EGQIeL+6/SAhd/bAIIElACIwv6s7JBOriAg/bhE+chB9OyWkl1w1zExEOe7KkJp5mb
XJd1BaGx4LUxcz/fRIOFxqcGXjWTW9ONJL1nIy9oAwzPd9+jfoiuHLNp3spiUsOPVAy7eRpVPppv
DpSZ+5ACXfN7W4qpynQzI39c7Nm5rNwezAwYDyLaMRrjOxDycdVOk6kAZPnVGlYrD1hd1NDJGoDx
nZcbFsO2GxeG2pNMpOIMGZlNIdlcQ3qog2Pr7EVXjscM+Rvr1uuVF8jMmmIf3L6jrMVU1NdeBmbr
edEiP29V0dE2G4nfP7lcJf2rTYeOtTRdk7gJqE9VAMQIOqyt+gQsT5cN3RWan67trCK337JqiqJL
7GKenDvwcjw6aanG9CVkWyfJS6Ui7z8dCoz1nizrRJ6wYxT2R2by3LzsxdZNqtaQ6fLlIzC+ATqF
HugGKJW0HFVdSUUT3hRmX+byLR5FOf3gQE8332KqhPkneHSggFBuuCUWVyub5qxsUQdkQ35hI5H5
QxWDE5GXLdeQD/CfvJzoilH2EOmY9B5iuA1Teo/NovlHmkdrHp2mKdW6uLYVyM/hbsq8nLuT2LrV
bdAas67vgSSOzmZPbErofJ2LlHflGXMlp7LW2x5hWx+WsndV3ZE0n6FyZmYX4dp1C+H9xfUjdptG
Vi5FgN10b7PPitg8g97HQdzMGkeRtsQPViPrquo10NLnHwbI6PCyvv+S9P2Av8EnnuJwu1rS+W2H
eCDZbkRudJdcxZ6QomiCyKQtLh6y3XGAdnU79sUoIz0up6MZNpVvnoU8qhqR8SrrPoCRcroAE02E
G86FpCTR19KGqtw+5JBH9VU9V9WBSRRmzbh8LTrGyH6bpsOCkSJhRsi+R9SeeXZLKAO7CRX+3MfD
I1S4omQnJxAIupPq0aDANAhZxymFjQwQ20cdD/3cRloKA+3DGpFs+px0yYTjjYdE9sVCZDI3BnUw
RhbUUY8dpIlzfnwJzh8pSz3P1ZHTp3zB1UMKHU80PwvujhGjwyrxoha+kudpLI6Qn25rVwJmdqvC
BNgn5BuXFfprvE+/XypfIdXCFwtIGQvsJQvD0QYeo8ic4v64PfGBn2f/igd/jPOUVgJYErHE4FaQ
SZY8/TnPKGjmM3QfyLQaUF4BQu0e1KwluIOpne3rKibbTxgvApL/wu2exv6+hDwTp9LjTuv9OcfM
whEo/jS/MeKPCZYbctz5DIrH+W2oxmNotg0y0B5bbDk7nMM2LThs8/t6jKF0fgPgxvG7zGuVP8ss
ZRUFv1kBAKp1wWOMxe/ZA8ElFAJtIchxcWwNvwbDYtaY5neOW2V7dvxEl0zeU8Do5Pn3UJP3t/9n
kN/fB6QgkfdFokecQDwRvr3JPte9ufQTDbjoOdk9jtUltOujZxTgHfSg2fuNUvu2Yqqh8ramu57i
KrCshn5wCzloEKswStAGDHgLiMYYZwWYg21VLaNwJL0dgH38cii6aH6r3kdQaawgxLX3a+JJjxqt
0WrKXXwVbHlU59H7rX2fHjmTA8YnT3t84pQVw3HxPg8c87SLzXEY0OY5fhnUHBX8ZSd9ale4Ojg9
hvd9Iu02QLFxwkUe3xL3ZsHn8FAdqMLrZeXHqb8PKNndjh/UQFVanEiUgay/3mHE8vrSHYhWdHK9
VVjTFVgSIB8L/B9v/VYk81ucdxOmz5IhY8XFmw3J7ocFWPbxhcl2vKQbxHsYEYiz8JZxz47zn2ze
cfdih27o+vPUlfhePtO4o1dyCUW83tL3udKLpVqLy+8hr8RmcDq+pxJfgh1A4eBC9xL7/BbPex69
IHMT5dbqmaxT30RLx3DwTHCFkmkdNLDNAYABIBvcJm6vC9UdyxkizQPokcHmojxLJIs+3NBqGby6
WlMVQa80VOkwbjVbOtT5cRVbvJ+v84IXJI3Z8DDOFv+G0QFEyyIXAyqageUPD5tcGUABZwSOHvNO
ba/5xDyqAAbpAmaGqxDKxdnTOUGEKQ0fbHkaRmyx48mTiUGtmVXYqvyXKPcC8aYblJLy6jecLNaB
G3G2fEC9+z2kS0rplRYcw3Ghv9bMrMoBA7YwJ9n+Snmp3PoyU8ddfrW+X7qvugVDRLXfJa5Idm7J
TvkexYhysMscwxd7fcwa4FXHFH/HT8tFOoxAbJPjete+T/BiMMHx/rkHFAp90LADV8ajAuRU1YAs
Qj7eUx0bvCMP8VHDbpldMK/eQZY9hkGBQfAzG5Zcd2yG1Kze36E3hrIcqOEMmwTwUhZLlL5wp0Bh
CBEbgInsdpT5sZ7W1PUA4TtZrgiVNGcBe94SEGmgDaD5MXi2pwdUkNhSAosXw9Th43iABa7yi0N6
xsiNY4sx/UNFxQFSKovt7r6QjObrxxQwVoC4jQkSIEp1OhuWFtAF+kXUBUCg/Gva0RglOTbDCjd/
J+mOq8qn8dg2xowd080kJsbkex9JsSog0bSPerrduB16nuKj3K0jzwbJNFCFXc9V/hXxFvOLOL1j
BEQaHdfANAxd8xnl5YFSDT3yVWTW1aic/gpBOZ/jt9QP+fCQ57MO7JwmalnJv10fC89O2NHokNXL
APybNOUQF+YViKST66eom0XXNSwLlPsnVyC3mX9UWw9l0JeFlYAmLkbabawakuyLfN1Tm6Sqttgd
PIp9EMXIKYsiq2xsMctHUSXNhl+SAqp0B2bKt7+v5P1ezpCbYXjQDzIcl/Ur3AzDdsS/CvoivCD7
PxZvv4zHO6Zf6D2cRMfvQOoTvCN04Xgjo0AnxhMq94Pb6AemsZQ7ZIvsYV9DrE8CC/VYlSC88Zff
UxY5JSIRBMDHn97x8COcEiiEfIC8uI4TE5WPlhedU7WDmhE3OuysSq4d9Lv4UEf2Aw5cwBPhJUVa
tl7Pe4T5nUJCOzwAtzzOXPZgGr/+PlBmKmxpM6YKeX6v2KZe7IWsxaRt+hHqzOP65DvQOKNXDGYD
GeYDhFxMbtK0HbsR/rCaz7klz7bPNN6/OrB4202fdEcaB+ENjlFsw3Fa9teCI0piH6lZBj0dUpnk
oBnbyfljThYMasUefq1lGscTFwNWIwS0B0EAHPgIehJuKnxvusRE3PKEDkX5D8DXHwU9sBzEB8zg
BMEtj/8HVoawEsmp1MkzVyrHWRdd57EanEKYnUl6rKBhA/DC6w2iRpz7P1R3f63tjsPjscvQL7w/
WPZP+N1Yr4hbCkBV76FRAAPGWaAOwEr6+0P9AaBjNUFRF+FYgKzwb36U9f9FHrpSzjAmxNN/5kgk
vVINlOZp+gHd7Y+7X+X8uKm2F7jDUOOnuGW/g+Pfn8tfIYQsQu8u/Hf0UwMdjnme/PVc2EYTwLei
e0aDY4SxHi5ChOhlgdnitCukzv80zv97QPi5ARwcxheAi9UfuKLkJophkmVPs5+wUXQSO/51ESSm
2u+V/fcXGP9pmUAvv4OKOyzECTQofwKZfhBpN61D/vQ7Yji+H6B9yGnIsrNPl3I7C812AzE2DaId
7XTEc2oQGsiyp9iP/uGM/jrTMeYopY7HSNGiymB4/pMWC1VEHASP89Pwvqgc8jqscW8lQ1zvobPE
LeApJORJW1FsDkgtCD9ORGg6W6iCZlT252ykKotqj9ASGoT6GW/H+mDxQx8o6snGvfNZ+j3M/v1F
/HkbcePSQwsFxgQdRWDq+Ou8wb47r4kn2wNf5BGZ9l+JkF6yyX4MpLQpHnD5fw91ZSBA0EUbEq1D
goXHc+V/gLOFRzaCp3LZh9/bnu8OB2SkEFkVxD540MT/2/EA+R8PwcHCQKPO9Fffp/9eo9RBlg0d
tnh435aQJB93o5AD1sW0zMeG8fcHPICz/x9bAj4L7SQm6iFKAW2Ln/86oC7svjd7Jq+KiRiZNcU4
FvRrbrBg/mkJ/u+hcOtK0F7oqoQi889QN7JkDBba06v3VGSDyQCxxifziJe/v6o/uDV8OxQaeDhk
cjxisMrxyO6/XtYUrRy+dF19j6Dx/s+ySnJ5pIqGwtB8tblyg902GlOTwE5hBjAd9YBUdGlWCh34
i4CEjTz/w3m9S0T+a8CBYWIIfj2WEs+jLuGY/OuZRRH4oqLny8XsScSXU5L5QyVh0Wvfqn8v+wSi
HeaFDphvVY9sRxVbr1CTxuMtsghIg7pGSQ1E6i5JgYlEjyODj09dBeQsmXpgvpexDw1LQIV9WeZ5
RHlmRJJO82kcLIwnTaSifBnb0mSAAO+ojxXNH6t3nlHmKJLoBwhO49nfy47D6tEi+cr7GFiNgITk
CgVQ0UMZT4TGFPmdOBUEH+O1fE93UDmU2MTyX+H1vQSSv0YTMroEWwpK1iM9cVtCkGgrtFUYHqbE
YriR+uW2eKDLcCSZ5D3n0iBtcd8iXcYQ/8tlHeO9htEOSuM218UgbP0fKGbGdg454XuC9SuzA+Pn
ML77XB7JRTFvQLxQ88gcgsFS4ZBwtRwZTAQWpe+awY94OsEFPMMghheKdLyiD3lYq1RfizwiB0ix
bAb4b3ivDysXFjq3XNoRcDCQoQLsRy34WirWEKs6F431TKFqSh6rudIw83czgg6M4KHadvUJPMjB
tCE3hVb9AZpxkBufesgV067FPIfM4czNHMeiGWMkw/8OKImX8ibLvUu+xpkPa/kAOI/pj1NVCZmc
xLQQ9ALQCGh+bdDXAhz/aVIB9xaS4WQ3oY4IEJOtQcoYZ2UT0sDcnayWddlr0OSuR5VflQZ8bc+j
5ZJGw+re8miUgbcsRSEw1SN8fObzBESIWLgn8oMK/B0jZ/D0XX5XjthPxHniQw4R+e/8D4D8kb+G
Cc0q+O/qePiVpU7FIFFKmgpKHejHTZSPMSJspwqcBswmcE5IAok7NhdVPuupIsN57DO4SnjXuecs
9JloQ+8YzDobveojusOh5LcrICzqqTB5AmdBxh+Kfh0iYNmb+cQwqa/SLlNLjdXH39AlY/jcRb1q
4UFgqJEHul5QhAPqSqbsFtbLr0piOU5O53e564/eDJzj7kbEnEXh05NQvf2wi2GNTqgW1lMZIjpg
xubjd67tcxKn+takpLsdt2U9ZQugcQhkuqtN2arllSs/FprP0Bvo/ke/zKwduO7qkE5Tm7Fqvin3
ZDwHNoGdnjQaCSA/DlOTiqk4O3zldYk68c14ZS/QY7AfcyWHi/TxsNehEtmZi0g9ayif93oAdLTU
hKruxfm9/DaQCV4zasdPrkz6UwSD2g2cz7yvFSH0LgV8eDawFPxcRME+AtTsoaNaafUjBgWFOivW
8dOWCN6fdZjIKV7G9WnZUgAhCAXtEry9oYsJss5GVzasqBgvP/dbUoVrKCPs9yVJRXxSVq8ov/qR
h3qjWfmzXDM4/Agj5masIJNo03gVH/1GJeq3Ud1myxrPDSu5+haJBe5N+LRvlzw+ZijLDm6329yN
R5p9HxVyuwYqT256SXnSloh+P2Ln6FTvexlzlPOafHF6dj/RIMQ3SR/v35ZFqARKBw1Z474vmLl8
0EMNJZexrd4dHHG57eaujmLdP4QYfraAUg9OQjrQGzw8etA3cG2ac6JtcpsdvRmAQL9mLnyPLGMP
aYzlsy12bQF5Qj/cefj82iwoekqLdXrQPDVfgvbIFSPQ7h28YRLaDNkUfYdOF8TS9BsYc1XTZJgu
CgBGnUTj+tHHk/y48LDCFr+u3cvMw/zZeD3CnOutb1hstKgFzg9McAksEAvPH+YQX7rHKln40Ez7
Jr6JUe81yKfxFc9Gn2sNvfVH2HTLa52YsrEmYjdpP6XfljL3dwI8xAY6BMYggFFrzSyBqaez3V1e
EtXXQyyrb4Yg2WpL5I2izsQyP+Yul2cE+jxvqn4vrtZY8Ufoh6A5cdy8JHCrXTbr44vQW/7NUPbi
UL+/7PO4l5dZp6EW89j9DBiQC18La09IT8PzaqoMpqR0BpMsu7WO+LZd5xW6YczIj+O6K5bqpZrW
6o3CovVJGKbeYLLZf1pM8HYrVAL7hqAwROVJO3u4U5H3kjpz03ZHzCK/7pGaLnSIGRRjgLkfeIhS
7GUeESkSfQmcKpP5VQHCqNHLJC4ys+YFmjOK89+SmziaYObL6fIFeOH8WE3cXMVhqJ7HEfr1bhHz
yRcIuSjP4bue0mi9MTZ1jxOMMp9MWabfqdwQHJI5bA9pGLF4gLV9iOlqb70pHDw/nirgSeV0YfmY
tijbofwEHFNd78SwO8a4+bgnJX8pAel8mfdy/YQNv7vCYivuYc5Zoa3K+/NQsewOzHtMm3Wshrbc
4QTGfDfTee+IepSgBh47j64MDRQr0dk4MX/Rq03hNMv2/c5Uqb2FgEoCtRjVp47u1YiYDf8tLWR5
FYOLbDa9px/KraNgDAz5QRiMOdFdyNK9r5oweuTgbWEBtZd3MqNbsZ4iZeSw1kOl2R2s/90j0J/h
gaRheh1W8w2fQc+VtY9flxEZjLCFePCVgCw003F/UymdfLWEWdcM3EX3kCDZlz7ZtvnCk4GmTcXj
4jZlypTnKhon9DPgpW7BL6doogMeHq5IWNZrsa/VVo+UTQ+KQIdwG8hcYKzzyK3mbq42EFCxNzFs
dOk8fqA+JR8L9GnRTe7h5j/xSpsn0fXbeAIVHfjt2EvVt8RMGZSajMXkUmzLsj+FcjKWX47UI2qr
2asBXvpNK9fJGwmswAxNXCBzabLRsu0eKI5YGmrj7pMrdhUaBXvRHWSELG5djBTxdgVAsL5mPapS
gzhi9JrlSJy6CXKnq23Ni5sMnqRJfNppYMlWB1jPK3uTINhF12UKpuIyH+bhlm9LZp8rAocClEHd
UJnawCc7yIaklX/u4e7K64Snw0cVYrJfHApgcdjtkujOVcJPTWLAL9wXA8JpC+He3iogbjciWeGh
iAt5s5LgF/FhCCSvdorhnyI/tsCP4HmAekwn2fhhXVNRrrBBiXyAC9MuCuuhBO3a2DgkIzor2YHf
SQ7WuB4nwM/NvvoZ5sQxgJAqrJBXU59m6tS5zN3LHvBtK3zvr2iXxmWLvie8AFQnTHwtO6NBk9qs
CHXiwMrna7I+kKzyRTMKli6wAEoKiBBY4musifmxoe1Vi54HIbkoxWK47OEBtEmDFI4T1UAzAImc
gzs2fwokVQUSM1vCm90gkq54g4pIj6cVIAjNZX6Cow0tjmCk89VJjmhRAfNxAj9Kdh+TLbcvIJlH
diXmMv3WbdvXfefdS8f1167SmYAx243PDpqTEyuZuUTYPCIEidyAliv22yEkw4OhvT1v3FSNnvWu
6wLyUV2PYzY+m2nIW2PyUFu0/EF8RWuh72vH9nOhDgNe59k9mM8yamK/uLndsdmkj9XC6XMBYZNp
+w0YFOYDJkwNnZ77ESstP+p5WsrTUhTdHZwr6tnOy9qdLBpRsWug2V1Rk9FX16MScwt/3XCWM8ue
JzgTT9XK1a1kGblPpE/hTQKZqroFpHqFsqhNErZ9m2xhL7tPkqHGwzXhZo6qbV5OOs7VA3SNDpJK
41hdLS7yzSw70aT5sum6imH9bBSEmvYalsDOnwLA9+edmf4HAx8/XwR4P7RFMRHMpEGaB+zy2Pz7
XA5tL5Bf4BTYE3ad/myLKm/spPmr6Lv46+FoOkNMVF1UVI3nQhfikYjINNuY888RmmTACg6gF4Xb
uUiY+KJcsqo6o0p9oREzNzahzKOZmBdl0wO0vWE6wUV3EZD33m8NinD6QaAsudlc3H+XnBZfJevi
zzKm7m4Do9xmelbXFFD2K0iBRB4xzeuaimi+zxmjyFsRHI9JmH5P5VGkh2k8dm2fLG9qK0l/GvIe
BC1AbpVfT9nUq2YxvV/Bge0KIGbhRNzQAXGkzkkvsvtBL8kbWlesskaXrXiqxYB2NI3E9zaA5TAn
eNDZ9ZjbpGhRwm+DQa4FT+io1fovjaqNN1JTGn3FxutMXZHSbVdklXm7akGu+jlLXg49wzneN2nr
PhD9Icu8eLNbqbE9oPI8K8ug0lIso3egFM2tDhC7HI3NEnPnF6vfZALnebMA/kSbiW3w39c1YK1g
UaJOsxro6o8NbNpWgyncTpPY6A3A8w5Srt7vSOYhZ/2ZQtrKzmPB19s0oH6rCdKRtR3YTLITmUdo
kaN9y17XZRi+FHrzjVzo0g4RmaMH64r4GaxfWUGthByuzlfHh4tDUnWD6De5k585F0jlKqSeUJcQ
9UC5i0lj2aEQDGOU6ZPRG5wPUMpgEjUph20tldu523JQPCM6sUgkafCloozdGphz+wQ5NZ3Y/nla
7CQ/JCp2S4uqgkmEtCpXu25MbLshXOBjF1P6IbcUXYJkPPf02wA5K5majZResDOIPOmje8lVrqoG
1bZPdW3RDmKxTYENNwstB69WDmh1gF0+tNMW2ChvQwnLd9QsFgWYfhw2oFa09pCfV/ZsrJ77z10n
U9W1DksF9A5cQnQy9eZnla/nDrnadG25hV17mRe/ZScOXdY4nbIZHOAzrLTghC4aAq51ak1ISSTg
Y9QS9yElkHFZtD6z4CZghje4/J8jqYoI47iIKbSV5j77nJks4c/vIDLRBxGCPjcHZJvEzOtbtHY5
JAXQMRz8DNbhXvzo0OvP5xfovXestzleqv6L1Y4TjnYBAOAIKlsmXI4tAuF4fbUcgEJ5tyKh9A+R
qKKQNrZb7CwvO1g33C1seUKJN1raaRvbbFhtmG6pxeXBPayg/lgaiHHgkn+GZVz3+SmHgBbdISJr
56Cgj0LvF3wnTbv5/KvhWwL5oGol1FH3CURmSN11hYgZqh5JVJle+rUYQ9BAhzcgvD36RKItpIPZ
cvJpP5y0gxIIzmUzqfJuR+pXnhgZcgZ2bmOVtnWczlV6KsJO0wv4yPFVl3Z4IVD9rHWiYIqrU4u1
c4IKZvwRTRJZFlT53MiTytFIqt0M9DPoJ5LMIEX33IZf6n80I+m2R4C42xXw6f5ORYw2MsntvYBt
FWZrOkJEtlUgqDWBub3yrriekcIVNZ10SGs/OTldzBpBXelL7SaYhjb5Q+8Rekwyk8L6nWMfte1K
9/CE3iDOI0EgwwkZKCpEJnSWXUyermPLxtK/oW+OD7qOOzfHT6XsZdY6PFb1u0HXUFMvYkNpANvt
hmrEiJifkE6Y5cqitcH2oyP+QFyQUSdTs0veneEf2xg5oxFFCdFQMqM7BoPxXp1SmNSv4kUVX4Zt
SAFYFizpVANAsc9QoRZheRjLPEJDsSiz62dIMiDnqI2G+q+B1mRGC0QbJ9A7Adx66FB5j3U6Iw+/
9yACfe2oLE5o8THckG5RkNjbDKYPaP70CElJEuzSllNWgSojK7/AT4EbU/iO1BSav6tZD7NoLACz
tx1CCswNVn20BC0VLN/1OY81rMS42S3atpTVSUDz8ZNAVAXwUOjujiAML19RXDr+sRCjObIumvRX
yGDyG5MWWf+GEEnDhW6peFKOsnvIN7sfnYkx8qXbPWR0zAIZ2ffe17qP3EvpM/vozMBxCbDXgbUu
RoVoejS78TKrnmLAh0VbCeWuY4AWfeug2fmXoyn8jZlc0it0ARWQTZrseWadOq/JFH3OzRLXVQF9
JDfDDufAsocavqzwAK9n0reJXTaYzQY0W62rfqvgX0ajLIT5aYdMtWMObRpdNRySDVTDjZ6KkJzB
XIH/jSgMj2230Q2hl8CH0derLiB7pN0Ct3SHxg731Gp716FFVdlGWaeLMwQa+pPzxQo19DrhKqFS
KL6mhqNjDhzNKRo8HRnvgq76U42cGq3dcskqyGTk3PMWG7qAIgxwyeM+AgGo91zr/CQ3CP9aGo39
aZ89PtNlkPlBzjLqdqP6327h0ylhi2/cmoUvBaLFduvXyegWrXnKpyUzq8XhsmxGQdADBRoTdU8H
ltyWfJAF5EsMTTVNzKpbQnjyhkY58sYTvTxCQygaaNOSb3Dr2An8R1GFps8WYZrCpX1orQtiqQeD
dpcny/tyQPw1dLgVcRKy85q77JWgaZN/AHIlKcAANYZ6QEOTL2g10wU0qInNg4LyJToVaPeAoqBK
4LaYWZQdDVUE/yQzb1yDfRNZHfLzllMzl8e45R8cdYChaaLYQzmM9PMM9UdXb3b4QpdRfTYrmqLx
fgL2CKUnBFzoOpJWg/nSERd1yK08aQgyj3tjYTtagLt8nTpLro3Aom5NL4sPq13VzZrN8KCYQt4B
FyiuCIvKVyDGfYFp0OVvGrb1k0+j5WkzAW2w8ATnpBFb6Y5sLRoh6ZkA8RTLUl4tlE95u1do1FOP
feUv6PC7DU9w8fatAbjVGkz1tJlpZk9IX+JbdN7h0Cy6+DNnwX+u2BrXerERLJ2ZPI3lwP4NuXPU
plm6vpRI9y9xyuI39FeRn9GbN6AnkMfAwYrwGV6g8t5DfHDR24pVV9pvEE6vj9pGAd13VhXFWAf7
Y9WhAwhmQzpesB+ge4wtF9qiX8ItUDRy5+bE/EsA7GhLj0IFzQymvfY8Vq+kHNJnwSlM/SlQ/Wut
pxgUHRSgktLvwQL9NyepgQeZN2xQctxacPNwV31GRatG/WTSRaXZh1XwGVF+KctDM2Vm+LIhXvBB
jDO4BhCh6kMaIPEJF5fAQ5K0VEV+5deR5aPYryEwD+sL673LvmdTquSVUOW4pg1LTbSSttwydB1D
8JJQ2YBrg25DVHGfRy0EgfGOtLGMQt8YmZvIX9vggWLWeeKzc5pOrvyaT9OKoDJrOfgBcSzjUdYi
z4N+oiUh7zoIbVJovyCTRhoPtVeARxuLBvJ6tPgNG9fqZzSTUCwtiFYICE+LdkFyMKl9J6Fi0mgn
AHIDcxCNVi4d+klF88eNlitKmP/D3nkt141k2/aL0AEgYR/P9vRGFGVeEBQlAUh4j8yvPyNFVbVE
dUu373ntiIqKqBLFjQ2TWLnWnGPmYg36/rEBhzTLHQPiiH0fVqZ8lddSNsPU7IYFcqezt1sxDd2n
qdCzozb8ljZX2wWoHm9ADdm3m08J9k0JmMpS5pt4QWrH5TEDFRd27yYr1a6/MSQJ/gyNfhisF9Y4
sGG+kGpIymC7QtAO58Pvx3M/T8iZGqIAsRkdGicvA1hj+P9x+kqrLBpt3AtfqqY1Aw1oDUYOIfy6
Z1A+hJk3IUmb7dXCgJFLRnR/OICfx9vmABAKYN4lZJMpIUOhnw8g9xXeKPhan4uXA6helCdVEZfc
cVbDXOxlUvpfvssf+PFsI2Iu/99agF/4LiY68ZdY2W8ciJe/+Z3oENrkATC052lBVvIXzcEyNAef
1/xfzFsDevgL8uL/A7EviHhIEN/A87inGNsahjwU3QA1FmJeETJ4c23xnxAdfpm3EyvFBon3OXIb
ODSvbiYPwFfa0dQ5FbWfbYUGSO0G6eMPJ+WPXiDfQ+gdixjbIHI5JtOviQRjM1sosiN9mgo2PGs4
UA6FMzLtwhv3v/+on/VLLx9FrhyLvREy+a81Q02VrAgFhT4B+xsR29HFJAEl2dBBqihc8vFUOb11
XLXvgaZXzR8+/pfTGaER49HEuI1wyXlt13VLHfnwsLqTrJcHtwrfRdRov/+G3BQ/izHMR/hQbGOb
64bm+efHv+8tNdmJ0518Z3lYffE4xA6GddehJNTdl99/GCvKrx/nuehdvQA4s4cQ5OePE2nnBWs8
DCcPrfV5WlROu21iq6KjnFTn5ey9Bd7TsTlIuxHlo2gks84yJlegKnoo90OT5JvQTZEGZDIqzqYl
jKvt3MwxpLayhNs/DLGsGVE4LaLsDGEu2swzV1bikyuXY8oQ9Gvt0UjamD3YI6/VlpoonqpdYdXi
OoPpsRNZIVBHqPVRyaS/zCEGpVRdYZ/t2FRWDwGb1ne5CnHbVL24ozz3b/yxLu4D34JV7vXVZkrH
9Hqaa4Y+VZzsmmjC8G/7SIJBlp4VUXo14WU/iKr66oXlfZN7z4GO7hg0V9sFI895a68f09nDnlHJ
YG9BIaHnL/WuaHV3LDqfF3YN532Qy5c+i9EXyOymVYG1y2M4oJ5bTXuYPsH1ujK3jK0gOXdT8Rha
TnLOxHTc4v6EvDjPX0RgxQ/40PKdcqS8RredPoyBV27RD29pWqIIaOgzrbyATxq56V6CnLiqB387
ZcnGTiK1XPipDQp06XEtbNNFpfHZGMlpPeRNGD90IfuFLPKdrRvl4WVrS2lf1BjKnUO90td969Wh
9S4r5v4GHh2/J1pX96Ehl+Ci7CEx2cKH39f3Y8VV9bOLpOr6q6a0/T1t2QIEHrMdJCfytmuYOsgF
u+6sJvcwYzZ7pByKdgD/gMbA45s+TLndGca/ci4tICEPedbpPU1EZ/PvB1atrvvbqh8uk1iJl6GV
N4nihFLNuXJWEZyqmnvh2+QKjCZFbiU+ZEXvq02RTyljerGevCGP7zBkyKMl2v7q2xhrKtXOxdh+
9XqU1QToazZYOwCPrn7OoPSveRbinOAWYOaBZmlT4SoJ2RA66Uc5FdkZf+3dOqfnNBG63doud60q
3koH8LA1S+voVfV8MUK32+RMUNg2pMudlSzO0UWcfXJglzBIHr0zvx26C0Vng9Y1SoUb4L+Ryx2N
ymrDmMW+E0mnnmgA2tuSh+ZyTqV1MaaBexQrjZOgxH60kxXg0yLpwl1nd3xaWtBGpnlqCYPsSQ5J
myn2XFHyIYIoyTg9jY94opaLVbLvDRvGZEFsZcdhtoHhFZW1cT32MF7CJLnyCzxJQbmcazdzLld4
HIdEBlC4mwbJSpEjwA+zJ5GId7Gj1T4dR/s+X5V9cmfxMWQQSemevika29s4iG83ItfnuCGm7ZwU
/UZ71ohleSY/gBn9NtASI17X3skuKXd1pz/naTREm8wu1CZK0vkMXO+0dyz7blXTYVyblDwT+npN
3C5HXfBrU9SOb3vHCiuWp8XCxNE3AP0a8TTMpUEEsOsd1kPXpuLB99uYlknRk64QzsPtZLXiiXU7
Osurhdmww5x8ZZizB9/OFfK9Vl8nZTG6G5G06m3jROUlC5I+c1Y22rTtPvQNRET4NTT9oqTZMvtF
HWFnlylj2owXwIYgFfpDaUrvqayc+nqoorNydt8WUNY3buLU2zTqz70+gpsMOXKXFFZ0lSbFF6hq
cqsZa4TI45/Qk7Wf5CTmm9ZjBLrxS549loTgJldyvYQuVJ4FldufBBarXbPo5f039UCWG+AhERRK
bcuAB2hj1av8Ctq4fOcsnf2QhNq7E1rSriwxIiKqZQuOWFqAKs3GfVBzfzlrsH7GMmHdFF1dcprr
bdGH8tHP/PpEU7Ept11fTlvHW72t9Fg9yqgrj5MOvctS5EsHNFTPN9UQWSd82MG268Ln0BGM8eeY
687wR55FMgofygFhQO3nzE9dT23DWeUnoL4uncQ4w33RNBfNOvknf/T9G0RsxSmz0vRj5O+rNFfH
UiEEGeZsfeuwcu3QWkUHTlL5IKLU2fqIOtB6jIX7xutooi5V9W5UhfdxnYPsOugD/W5gjIIYdMnR
yPb99eS046GAj34YVShPXsH8ogy4yXh5fq2LAZQjBvdDkCbDGe/H5WzG+70x89wwuEDix/SNFIBh
eqkr/lvk/6HId2wq6N/U+P9TPn16qpDo/pPW9vJXvhf3EUFQyOYd7+8S/+8CP4r+4aHtpk6nTnP4
N9X19wJf+BAbYTXCdkRnj/KNuut7gS8IdIXeFSNpCpjw0UT5vxT4/BYjMndc28UV/8tuUTqt6w3C
s06s5B7UQakow2NvePjhnPw/lPjmYyjyGfGwJ47Y0/xcJmoH3RbKGOuEKt15KOih7Zg1RDfVAmrn
D8Ld1xUwnwVyBpIXnB0UwiaV68cdONcCK94skpNymvjGDvr5CnUvSiptr7dtUOV/0j9TuL+qgtlw
GZgaDzO7frArr6rgtRj8zuE9dMpVn6BZ6ZrxEnUX1SupVo1P5w42Jnkowj3YEz1Z5i2wro4BA9n6
2PnpRJSSqQ2ntaa7JfP+FDcrJa2Ke/tTjboaHcgQk1fES3XRPdFXgXK3WPPqczqG1V1ZQMQprX58
64xBfQ6Hpj3A6oJLqcb82kuhLu1EWmdHmOrVWZ4OuP3HobpzMXt9QS2pH7PC6x/DNr2yJ5Xvl7AE
o40S56RdUVx5HqXCNpNiuqO8qb5qoZsbLRb51rVzuampLA5+l9V0Wqt5OzX1crKbBHyO7txjNNvI
3OFt7J2M0TBU+uEidMbmmnkA/jd6a092mVon1jhm/b21nDpwl1QGa5wE9Hbc5nmI4PMFulrRjels
2tjdQkO6j7yDPbj9h7yw4qXYrVkfgh4O1YIl8EPsu74aLrO6lYewDhl8LAn3+dbOwIXRHa/qT1Mf
th8kVup3Mi7c+5j2UbZd7CH+LCPYABs8hPDRK1c1BTLifD30c0TJgmsj+1RkZeRvka2VN3bJXHiL
1BYQL/yBC8X47zFSGvILaVaoB4yKT2p0dx7z6xvcfPfZmtvbZJXqPsMqtx8cu/8AB2M+NKs9HqKZ
BJrNCkThc2+4olmdPatetrsUH9JFGkeIWx3tZ6CkOTlZnZRXXVnpd/DMrDsBP+vS1njeNrzXCqQP
s23tilwm9sZqMHcFuX+WQMdAvV4Pe6Hy4tKW6fQ5HYLxU+EoWe51qoN6b415fM4pGLDuB8/dWG4X
5uXXdWkz2wxJxxLrQhvbu0iscQVcnL6NB5qzXdKWR6uNaAciuKArvdRUiJ69hSUQbMJ2vJBW7zGS
HVO8H3Ykn7CZJPxw+FEkE5EeTaCQrQXdfbKU7mUAutxfl8XZRFHocWvz9Kw0nYHg8YqWzvxlrULr
4LNXuYKcoj9Rr6ktV9b/1CJyvKFLj7dEj+N9h89/i2j4Hh9hvp98/d6aenHtamovV+nh2iKmY7/E
wfKGDDuKPCeeD6ry7uqleheKpHFPOUKP2duMiG/Ucx3kKIqTeaJnGUwowMuNilqAtJop3a5IqwJf
qjupYqvKLtCX0VKq9ayMbeCC2wwNlL1JLLqUj8Ww4D3GxTAN7Eu11XS7Sc2DfPBwCKdjucH9GM3L
Q6jGbB87Q5ii7mSwSVgBHpKNTwbCJh6juj4uM8L696vlwWLAmOQig4iWwd7lpaWiwyBBj3tsYEeM
ucWi0/u58A21oc3n9DroUIdtGnTky22KjCISmzbohuwiTqwZ5SWeXP+D2yKuw7xSJ1bG/hDy3aPE
+ekfOoTR4edwRUGApheswHmhIM31b4oKIwBd/XgoPlh+W7yJ54oNkF2zDDdV6J9meywfw0RZxgrp
JmqzTIE4x9HQ2JtFz+Tn+VYWH/1RIJFwk+7SWVf/5FaWHTJ5U4xwKh07Dy5MdrkZOvO/wyRI3ig1
Lc+BWyMvqJ26PSCoEmeGLZxtJjKXcCSU3lk72PU5nfZ4P1YTCYJVlzC2RRHSXHSeh/SLPpRzcIIB
hm+fIwJo43FbD3ZETasyhipJEn9EhldtOxI03ugBnsrGr62Jyda8VHer8Nov9E6iSw4Eym+B6xSx
SFzpHcbyMtv3cIjOkNDGN6WfB09lxRwNPMMM1WgIqztrKUwqFab1egusiT/zrbH6irSxfBT2uN6W
hQygq+iqeZNWGWLlgTLCYfEogonntvxvFfhSt/2hCqQ9FtFL/Pet3qumHp/qn8rA73/nb5o3yG6X
lhytOdsmQ4Sy5AXba4FPJEc0ptAMbDM7cN2/60APBDjuIxvbhrGYAtj9uw70vH8AfMRxSt3mUwuS
pPZXKNz3gux3aaGeMDXKD6YicIh0lAX/CHb/NHy9n8umFsukmyQquwlbeBHbElsNakxwHlu/Cwp1
CptC1IcJeS8Bgrlor1K3tLYlsXqfcVjrBtdr5bZbVI7depYhrUYfhSn1WfduvK/qPPI2XtWqS2Bc
ffku11532YDe+yxFusb48ouVFzugS55ni0X+mFtB8zYcx9A9G1DBzueryPvlqm95NSH+WoFkuSUd
GRUUV9j9vS25TOMG1cwlJUxLO5CYl60ja430WvUf58kl6NPNyjNvXm0FEiZyvlBfT4y0EGgeYuQD
LgAo0+f2giy/Kmf2VhNhRSern/qzualku2ENWO/mzjq6cnJ3jRu/W+oVxbFFDiMZl+QsbpTS8t3q
Dy3aWdGykq+XGeO5/mSk7UQ5LgVs5N3UlJIRfih6f9w4NYE1blP2w5bteKEdmiEeZ9nWk3Obo8gw
9cNwy5hNBhcLLNBnzoi6wH9KO/OBIbs+g3wwWN5F2INJMpqQTestAVyMPmJUtndXd7lqpFfmXnkK
SwVvrT7QnyTAku4kWjpxor7JGtpqQ9HOU3ihKUX7WG+dAbrjSgZCMckMtVrar+585lSoDmnnIb7N
g3GzslOmd5tGsHbaHS0K78MsXOd+wLNxW3YI5j7HddiaFoAzfCVbx11479JyrJw3YUXfMBjzEAcN
+oTwfbugRKQBGEMaSoviPKgn1A+kPyYZL9JJnoGAqQVa5+IO2z5poXnVk0dSLDeDAtxn5znJpOVa
NDty9VL8/o5zHskCWW5q64NGbHgsmuyGTNz1fgwmlBrojFzarD0FbNmN6XkUjSTrkWYriahBVnKy
a/ope6BgvE9Xuz/oWA9PjduWzy4TV3GIcef41LjQeMcoQZGWjrIX2Mti53wQI2wdkZbnssqlc/Lq
6SMqunk0tBv/1uIM+pvGa9OPaY/vJJVedahW3zrOwqt3IR93VQaCyCntrHd1MzpHCG6RvPGcJNxU
XcT7sXBtxhhOShrJ4g4zyFIkbDMKuWtAb9Kl0io97BNSn6PMszda2ubtlz1xjEAm7Mo5gDe5ptCa
it3kBZfI8IAer0XyMaMVfWgqjeBNCm9fdEV9Pjlh+1YO+tqvQ//O3Nk3jHvtXWiLeh90zpWWqJp5
FY3bSLT+IcoRRXIGWvtr4yj7piHj7z3DXH3BZHy5bOaiPA0lcVuKvvxRSsJUk3xI2ESRBAJwazi2
AdF7qUdNHECGu4yK8BHf400tJO9nKwkuGRH7l23eWScph+Wd3zULYEZIa5cAWNwPla/WdTMp3QBx
Lm1xH7ge/b16EF+tMOLdPXI2DoWW49k0ls9Mw+JtnycDzS74IPGmmAPvTSuWNdu64dw8e5FKH8CP
paie6Qp/GqsmP9YMQfgdrXVWRqW7FcjFNt00l2cwnJvzYkWBEdEJ3TP2Xg8CkMwJVhZyz7aeo80E
LeWAQ9PhRp/G/MKJs+lhNCVeyfl5IHnyjtu6uY9cdQndjORdVDcngs7gtUWiC8+RfYGkAvwSfV6D
OruNyyg/zUlTfyZ/KkYSCmho01a2HSA/9tB12M5ZEsj7seqjMyUMTIy7+41jmTmYsyj3FCPMRI+j
30a2dIjW8hFQQ5vKr9GWsLJPtvjYlKkZyUzWbl0cT+5WaNUffARJO+G0+r5Z43zrhf3yjgyXmtmP
bK7cskWONIfrs7XWM+FFYvxKKWptC5++fVPiaV3Z17+nkK9utJPHN/Ma6VtV+83BKdPx1u37lg3H
Yr8JnZ7siYFeGPRAzK77AS/6U9RO/c5bp+ZeIsccIThmgp3rRFoy1MSvaGvtUz3X4Qfhjpr2J7cW
vJKF6OZRzWSypfgy6oaVP2L6sQnZil25nU63PJHi4KWO+zbFgHkRLX523oCiuu0c1NtjZ8+c2ThT
X+gAjG8gvyFg61xS2Aab6n+TYWZjw9cFG8eZ3TP8k2raIu/8UlW5IEoGrJPwETWtspVbS3T9pa6b
5a4MrT0biPiqm12fOZnKs+SMAU9xldlOtwPbIj+Ww+w+yKFsr8I2Um/g+QwUp0EW3+OdGE9zNK5n
zZrkHnJlb9nOWW7f9HNbvKvipntHz7i/racyeWzZrV5Ma7eSDhXpt07vqT2pS/Ko+lkBABq7jR3U
AyMzvi0xvqNrj2d1qdG4pzhfoCTaCjzXUO+s3K8Rj5Lv08FDvWUylQpIt0lzXi+WN9LQX9QF7F0E
xHnvuPuo8QTncVzee2vIfmbOgiOqlTnb0qHX507uBM8uvx8ZfVLnt+mIojyQdvxOaX842Z7mRR/B
PaVLnA75gW1ZcBnmbUufeUaKxayNEUmaYDbYRct6idWtPwytN30nTP63RfqH4hg0BVPmf18b0yIF
r/pzh9T8jb8qYzcm0cJl8A+Zw36pcV8qYxNowXV1CCnw3ZioGUrwHwItAMOCVUAOKfxvo/TvDVLf
ZF3YOPeFwB5Pze39J4Xxq7rYHI4DEgqOAlMCj96OaTf+gDxBIaSqilHIl8zWlDA0WhJh75aFuARM
CqN01aM0yoHDoESJCm+AzfG8JmULwa7xm849tJZRAUNOgWMDMDyxEapGZcHEoLcpsulWeG2gA7RK
mFWs7SxmrMV4HnhjkY4nJzLdCJFtkf+mdmstb7NxQnSPZT0FW+0xC0E1oSfbj45iSLEvbFb6TEiP
ysXM4w71jKs136ohS8Bn/3Ah/0Vf9xWixDNpFlRyCA0cHmjQHK/OToNPFru59r+0wzLHZMikIZJM
ZJKCvmGcIh3Eeu3kdfW1C/pcPYCENWRylzYC34ewkHR9+/tDco3C4Z8bGQ4JOYnjh9BJfOqB+DW3
IZTuCk+1Tz87zJTZG3io0s41ZEHEaJkV5LgIK+gJjiRbDA05muG1LfDh2S2UW+x5hhgcTkz+z+l0
MVfb6yTV006XK5diP446o13aB1AHwY4VJIxoXTj8WEXb3GeRRGYfxn/oaZvN1w/fidrJ3IOIYNgB
xQHPws83IeUtOYZFWX+xFyR6b7DJWM19VSaNvv392ftZIOPxQez/PMgXPuo1Bhfm5P5wtysaELEO
1uSz4GpjM2vLpKBecG2e8FWE0rtZhsbkhShEExCCW6A78z1tKMDDvz+Sn3vq346EjaiwUesI0mRe
oz6Y1CnyP2XweR6iPrj2WyVRLfaVhfz6nGal9v8Uv/Hz4MB8IouJR0QAN2HE7ODVSXbzuiza3Hc/
rw7vEe+LSx86y86SduJeSJvOfO1SBROA7d9/1VfzA/PJEKGR0QQ+40GeqVdnXUJ/LSBZVJ+H0vOr
8ETobP22xL3YwbQDLZq2N2usE7u6bPK+NqzFOYN0L9F8gBauSlYOBq4yqeI7KYMQY0Y21255Wcxp
H6nTtHiQ2E+/P+hfbkmfZgYLrwjpWXDPvDpmy0kt/HqheC4npt+KTXZrYNVzpA0W9D/9LG78wPzj
Rj5vilfjI3CmkDpkMTwj2ZwivZGhCcVLXCvnlvj9R/1yE/gwpciAwf3s2OSAv1rQnJiMUFD59XOt
xp6TC1S0gNDvKAtAbVMFjcCnQYb5n4Dnzq/nk6yEgD4PHDHg4K+XrcRy7LXtfesT0CTHJR0Tn8KE
L4MNPMnXjigxC554TIrwCYAACpMdcmSCg7egi935IYdridYZgLYeyVJyZMwuI3AptCrlsZX5w1mK
Xj+eJvPD/3bhY9pFjDx/Xij8dGn7auqbT1mUg8eBA6BGfTvgSeb6aEWTez7GQwsOG/xtzv0x1MiP
acAHSrFYxoWXqmeuZSW/BgTZ8BvyxDOwzNkhI/vrywIMJ4TVxV9B/rwf0hj1ON7GEBrBZi7Hgatj
ooB4DdfCmbkiGcFpLNHWQDoPShzygKM7tPvj+kErU0JgdtNmW+dKaSxuts4NzdL1Op87tsuw3jEf
9GT1JVhIiaMLMyaDvuWGjv33dV7zxPUw6TlGp5VxjSUJD8x75PKtrPds4Uiy0KMI54e5N0D3QfJ/
IKBi7uOUZFnQcM3cbMXnh/QrywvETewSjTY84ncQfIeSCs+OQmIPSGNYABoAwCGujh/JYdlVwdGf
12y8GzGf8DJT3Wog7QOINbjwMo356L8ojgI+NwFZqWqDa4F3tPvQRTkmp8SbO3pbXh2hPmenUF9k
SLmn8wmTLffSiqGXU5fPOVz8aCbPgSCNhEgqUlrw1bGItBGTQxdHZ93Cpvz+BXw5fotuCQEpyZ1t
J4ZD7Ns1t9+wpmbB/A4JJaLT5K7kYUsy9HYwgOO/fkfXdla/FznIDcJAXcif60Zk2uccTCKHb3Na
24yFWImG70RshjmrXlEsnDmfbR8/sCxjVpzXZT+B/HYyYGXVXlim8aTaxEB9WhV2fD2WLnO7NPHI
W0sA5eSmkWyHq/t69JsQH4ww4s0NZmeXZ2oGisNdk8I85ZqJ1eYXopSkAXMgAriIxLnlrbl67gg8
5Rw2K+Kscuuz3jvJm6iECSZ3OpyicmHPXc8G96lrU7tJIzaDOBNQLfIlZNwGMH+h9NaAoeErcMSh
O7MK7HstvmXS0KHlSHrReXw1RjSdmM9j7Eb8loaNPY/CJEXEf1npGLIaY0EcOSTFt+d/LpM0x+LF
eByCbYBVWj2rqIPht0PaCwZ/ZnzP4dGpikzdlsx2kV8PRmv+Pp88/mMbC2XcDNKLzTnuMNLLr9O6
mEwGHYXmnispAb2THFco59gpA3OLmtJ6fmijmn93CJp4gEOJcu2a0lFTZQBB5TkneFabxcOkAz/J
Tphkgwz+Or+0B3TGlfAH6kacR60j5oeQ8RtnIWuINVEnmrqDrK6MmY1f2PUDgdxbhq6TuatFnhtf
QhFrUofWqMSRs5P2Q5wB8p53TuRBLttCGcoIWw9spokYv1txGAuVejYmYk1gb0oYmL71FSABdxsN
SDq8fVwx04Mf+y1MIvD9GbVZxjyrs7cB4I/8Bqo7jaQNtbq5wnVOJJKD3SEcyGjMB7vMFTbRbmwG
xK7DYC240Adk3fAzBq5N50V54z/Vg2NCk2p8IWnzJmZG5cGKGJp4jRig5gQ97FmIWW72o0glRqG0
nZo4/otuStTRmJ0SIScjQiTP0ivoyi++BVKTxVbxnWEoFJrhUp+tWZZe0h+ly0c4JaIDbp4cfhV3
4rgocjhA55v70iYmh3soIaW7SC8a3Wj+rHPnqSev2od6/Dh0NWdpR6fYAY+z2pYzddd4O+hZHGTd
TVyl2kFbnEHqrxZ+V0xbgZM0cfK5c+0cBPJ8sMd24SfZwnT82dgnZl0q7NloAUZpKkIMFSnLU+ut
AedvzHDUXs+cRZ4Fxx0Hbqi564Vqzrj6JgCG5h13elQOmgMnOYSO59aDWM7xs1zyOppVG/KWxzXT
8uRFXmlesuM4mZCTNfDzxuKl3CvWBxVllnfDNAHWPD7xyvdOLaHTfKWo6RuEh5VrqhWYiYV6rqKO
3cj3fQirvjk54BNFQ5YRs4qO6MFMLsI6I4BDw9OIIpGiUlvqZO/B+eneJC9hJQ0vf4Uidgk54lAu
FmepIZOBB1uS82litXLiSguYPN9u6ypfzJ8pD+eHS7Ig2vZgQ9CLWe4HdJP60bG4K8VehNBdlw1V
b2rzfFppzpPrRYkf4quCZdJeuznL7m6IMfnQG9OOgu9bL2X/xq7W8uGn4IigbmdEas08tc+/pkfA
48m7j2gSAn34d8ERmMxKJsBMVpiYCp9G6ebPIRIlr1WoFCNzjY5r9IcQCS9UpQveHs38+OGnKAlJ
IvJKAHzpqoR0hn+fKBEDjWYikLiakfFLrkQwFlcLI8D28GO2RCqZUPPiC8bwfKD7F22E90vCBMbd
0IBNQheCFaL0U0iD9F/kTMAIdupxM4ZkxmyzRPjW7UvmBI6pXjZHuw1V2+1/jZ7wLG/Qj2PNXb2h
LfbPAIoSXEvfHiP6vHrd2HPYBrv4/yeNQvpiIow9bJtwY7Dto338DzIpmqhARrtzfHD5qCXFKKz0
unf5MvL2e/VNP5Wspfslrej6EmeVmxdqW4mq9d8uym9bb9cmS49xvLHJvC1OL9lghGAvPDDQkU2t
CagSMcSxF+tsXisxCwkPd4fInXctL3Aehwx+B0tD5dumwswtlTjJQapySUvzxdolutBdaoKH/Kyb
efUgyDFxB2Ptp64+qpDZJXRwH1Os3oBNMjuHUDqao1UvEWZTV+XBe78eEOsfobyEBZJpa6TX0E6d
zzLpDwOVfVQw+XePnutTBS82tZsFZHppWcsk/hEWPfrhhInuMLv69h4kRqDFCYw52WOnGtEfa0o1
VTZflLokot8E9qw3C2JVuryjFwSClCaLikdOEB5i8+YkL2HlSPs0C/nsKdRho9/Mnm8C8nC7rvwy
E6jDMjOQbsjxM4s062SB+4EfcaUTc0R10g5O/xT3UCfz40vYmztOffBpgULdHAJXhjXqZjnzWhzb
1tRSdRuakiWLRxPzNpI+MDpfJ2ugDb6DIIU5dsP7kL4BWqKE4cAmtnuf088aboCQzbd2T0DyHG+p
728wz2k4j8jDTcciiBdz9I5ITFRhm3oybo4qhwvztZwsTizLjDRHMBFUwu3z15nQHektm6kVmoo0
rDN+Y4OSBlJT4dSKoR8FkbkVc6b17FmqNfHfl9h5C2CP5jLywnScR7Z/0/gQdcnKNxayJiLkhMmb
YcZ1TXLzkt1quBRJ/GEuQh+iEErytFrO8DQF84MOcUpmaL9a03zq+2nOs7PWrk1RYY/I+MwAUJk9
cQRpJnhf0a9z1m2+ALoYd17hkvOUgqjkdTk3aI39k92mwxzd6jFzm/wySEKb41HaM8+BgCXBV50L
ikxE0p55RPBlmIYXubX8QDLjxniSDv6A93mHhg0WUkIUiXvs3BAU1Q4Ktnm7Qk1LeWni0qdQNZMx
qsBAwDwwkChzPxL8Kamsbc6A/JrosOY/+P/mp6lKsPQuZRTyunQY5PAOy7LQlIYoXFJTzIvWHO3L
41GMSMMeymlpuKj9AEW9gk4q5vQjduaUITwCA3jN6Hy4F8ptrqgJ5MHrPXPvlrUb11fV4qTzSDbw
EDlYzccKZtuuXGBf5tvJmis+q9ZgXR7sb6nGckBUIXfx3LDlS8M475/mHmQ/zoACEiGLi1o84IeL
MxY1NDOX+6xiAM6Zla3Pjs2GpcUFGbyY8pKNJ9d5VL4mInFx2T+hDVakea2u6IqnOXNWTkryUvkM
qT1TawxN1PNt85UsBLX/viOOdB1TGKwMvdl91SkkSbgt7FmgtVigCZ9NSJ6+ta3ZtrciazO2I+Ca
oMCfoqAV00OgS0Eki7UwZrtFgGU23WEAZYCWyOqYTT7uVlPIp23D/ZEMScpVGysaurAvI0vHDHdm
H+EVqLwGkRtFCGuAdjr2vGdd2NbLYPYP3E6Bz8fT2ku0WSpb1uTg1IY+lug9xA5ufQT8DoI7RdyF
en559OqZ6AkQlFYVg0olbofcnd044wbjxgCuyWFaiVDmlgztaKlvbG8lP54Tos2O2ycDkxOJlsI8
4khZ0/YqQMtI8aoWmR7J01unu2ANNUBMwIHlKUJpOvS82CyPqCmxQiUJD0FZNPya2Bt71irZ1aYS
dVFzsM4sL7vGtUgLntJOzg6LFAX/FMCmWVid99j5zS7wZWNRJtocdEOAhEoxKwQKMdcYaXa8HlgF
bnQ2Schdt0tW11zS3JnMoU/1yptwT5p7Mo57hqpewRyQ5gg/qBV3FINfs2CNXEYr26JUzvNvJKVB
MxnIBNFlAncDv1C9rBzxOphCt3JwJBR/6K39i54RenbAxQx0Qt953TKMVmP7jsvl05qMZp85o5vJ
/B3EPSyBm2Hq+b5/+MjXXTXaVNjsfSjJHoA/Cqef21QKzmxEotX4ySf6ghX+5dYoI8v0Kn/fE/v1
o4yQ38WcxMCI0dSrJiWRdRhO6E58Ampm1qcm8MRMUchizdr1+8/61g38cSDg0KYOHWbCIW7vX6dS
cAKH0nAJPq2iQpN1MUFF5k70Ry/jMcz6ysRtaJg9xdNUez66aLQIXVRu2/F/2TuT3biVrFu/ysWd
8yDYk4M7SSazT1mpXp4QciP2PYPd0/8fZfvWsfxDB2deQKEKLktWik3Ejr3X+pbGuZsuxDLZcDny
LmvPj5X55+yjgPSylEi22bInIMQd+NPHH/+PS0X4H1p5V8XdgH5ILH//tynD2AR5F0IeeIGuOPI5
2KCWYyGbK0eoj3/UH8+cTr/bZRTEJIgw0PetY8qoWCN0pHpxI0eX0y6YYJQ8kIy7vCJWEDLr/odf
7v0IBQOAai+p2fxMghbeex2ausX5w6zghTCsZY3qxpguoiQjiQ1Cc5c9K3BJlKOYmPjzdzLNRPOJ
1S439x//7u8vM1NT01y684xJTfWPDM2h6EYgY6H+mZ4E5+YpItPmq4MYnhXw45/0/iprJn50BrGY
qm0mSO+b1ymFISmeifpZQiZPz12VLUfzODF0NvlIW6rGj3/g775jBjRQ9Wk7M+QlTJOi6d0T1CUo
Dp0BXV8DhIUnqNGDZZljUVxCf4OmJqcKEVI4Ra5np2bEzvjxB3gDOfz9DaTU0jVM1kSsEFz+h5Wc
wMEoUyu7+FxHJGoVPrOsOfXpekRuAmRrKVv6JlpKY8swlvX7Z1NcMbul5ZVjjGNfQGC5XJyfudi0
/ife4pJ8R04L84/kSIKLSgdekt6hS17hP4N9v7Bmls0SY2zZlwh9BS/+Smd1ohbpbEnzSB2aEU9Z
n9Kiw4Kbxlq3jxktO8AxoWDzY1o05iwWCvB6TjFow5ftHJExtQ3BKcsWX1UN1CvP/tGgbyntWTXh
aC9FE6zMt4pPU5diOUiAvNC1afFe0B4LE7LHD1pPmidNliKlLfvx5f/jgUMmCy5hAR1o+p+PtuRk
ESlinp5L0rioWUPCNTlwuHO3VAA/W9Yf/8hl/f7thrPUgl5jRgN+BILAu8kQMyc0MK0zPEMmX3qM
Mnat9AxrQEuVK9GKJd7TyFzJIWpUyV6iCZvly6f5+GO8/83BMRiClXMxOfHOvY2//7Z2FlZdDNzL
6DktaX8eUD92+b2WDpAHtbb7h7yX9ysIji2sTXSKLH2RBJva7wu1pYowjqq2/dwviUcPZmIvj0WS
VEtl9fHvpb17pfnXyeIANEGWPPsCqQu//6xwGInsLrCpFm0nnHUgVYuc25A2KifdOBnYHVYMvHP+
x6Zhw3M5mrr7wGHNbJxVRVuXFgxHnmV+X8HOpg5VZ2Mp1OOQE0pkswh8jcoETp1njMrSBnA6q+Ql
7B1raRNjVeCre0XV+eUUch6MXRgixmJZ6fNlveZAgJBvD2MqnrJNUYrQOH98Ed5db64B0TI6sVdM
IEnTeH8NTEIaXMiV473MiWoEIFcyqsCQMJT06T7+Ufq753m5pyxeFoILeDqso++e56Gs6KmqRnDn
GOXbz5ImrdO0r5dSX7LUswT9mL1niHS4CsVYLF3Sn39qerl0CJDicXFNw176mZwFl7xkLYevM+yV
FN3dfGp5VeECxxW6r+0E1Id3Jy0CjscxcTYcS34O/pgWLUMkJUs03p3ZETN/h+x6ueGzmfBTlLdJ
vP2jNdGrdEBJl1zwRYwff8QN2j0Lf7numnhpLP8cofFG8uwiYF0Oz0FAl0NfTWo+0AL5+JI6v9++
Bb2DakCQ1bOgTARxOb8/wjW/Qe+IKvgKdtJ+SkAwg2NjPLqzUqcy6PFHECaN0QVSCXlhXRlBscu1
NHvoyXcEqQeMkaFpqOOrnzBwWVFX3wecX9vrbMRi7EVOjwnJTS4ACsTXHlt2tSL2MsK1bIfWp94M
ymMk4vbMjhTNnNYjTO9Km+iPM3Pk/hAA1ibNFw+SsaZrmD4os4Kur8vw7Xit21wb7ErpxsgU/Wyj
+4OIOtU+M/HsIUKacMgyjSlBUnVEzJbpwAivU7PP6ADM4wS9L4bPWQt1DRDBvtPYn1+qqFRNMIhW
RAsjbFt080VxN9i6fIh1HWSUIxRkzgp9u+dUuu23TKmaW8toW8qiQO6SURL/wJCiwrnFcNnDqhMr
K2nk/YEQQb8b4GOvnChJHiUhWXTNA0TM3dCUdzNYwDXl54LIxNvqCUtcjG4SX0iNaj+rWNDvI2lK
LyJX+5jabeyDg4uPHz8RfzwQlF+LOo1KhXnQH+IxabZuibMy/1YXBec5HfnruMl1mMD/sHq+6RL+
szvx6HGe0jSEGK6rsk+9P1uNWp5q4OUi4ghKHiUdeX23KjkHxBgjM/um0PLgBl21gvmRnM5qrfdV
nG3BU1nrMetQQ6Fhsz41CGIPBQTye7ahlvJBZt1DnrOna12RVyutU42L6JPiNZe6cyroWl56bdIe
3YTjGxwdsBOkGYaf9Nzl9kJIsGhqpIyocMfTb2rc6VtShh3STtls1NAUL7DPdG/mXPWvSoS3K/J2
9SnTlrCg91Kmktabjbe2+Ma7Ml67GmHevpWVXcIrI6z7j2/074vpjx9mI1JcSqwFmfRuowxmoCe0
OYtvlrBz9FmjuMN0prUgr9Nzb+iSs3dY5hfGsxi6Pv7Z70R4/PClDKAM4gHQ2aPflwRwKNoRUfr8
DU0rT1kU69EW0k62G+fxBVonOEEi4ddSC0k5rBvFwoUwYQn++GOYy+r22yNoL2JN+AaainCMwPHf
Vz81DTAu0DD+FkpirGmnNSmUPkzu65YpCWG8Rj7u7LzD6BMrVU5MeJnvSvpW576yAFbg+lUQfYfG
DlQqjbMGb10OZhd0aKqc46mwTxPUzgJi7x090OwTgdHw+y0GY5M3dyNjFwhygWdXrn1D2diXGxCP
r5OVxFe6XcXblE7xLg7L6lNudlm3LoNWfpmySN4LU0svSrEEylijOmx0rcNYoTdxeDdkbpR4US34
BaIRThHxu4wA7KROiOVmT7w1TMU5xdFkLHSLYsl4B/n4D+/3cu3eX1uyqDjuW5xmbW1ZaP5W9YF0
YrwmbPJYQMxfQS9NHqpYnzBy1IW4UofFTvnx7fwz/8rmmIXqFj2SjgTvfawXcPysydk6v6NJNw60
zXDqB3JSjjQqkw2DiI6V3gybb/Dtsoc4HLtTHLviovSuvvmHz/K/PFpUomh6kWRp9h+dI10jvR0/
R/qdMEAMntjpky/oCCZS0oviO1W7/W1u5QJ6V75MPcwg9Ik9VoZ/+Bi/e+R40bgKi8iVF9xxYTos
q8Df7gJanDZvZzv7HmDAl2uLdJRraybP9hQDOtmImXChuinkZrKiwK/cYHyOHMT2u6id1bt/+DD/
yyPhGEv3kocTYdx7Teicy6EvYTR+D21h3daW2t7gyFPWNq3DI1uMvJLYmQ6VUeT7bNTVc1fY7Al2
1o0QhyIHyWtBVnJMAMwr2uzaXDl1nN5+/CnfeGO/P7gcElh8iTC00VC/l3E2Q262TshNCkdGQ3Rc
yuBz2cyYJmo4ROQeaSm9qbwEfdOZdHnXSWSZXK8wXtPhcl2PUXUerZvSsp+IXeqXpj3Dj0Jpo3Nq
xe2u1vXxypJRuA9NO8TlYLsaCcKTqkG5rUQuQYE6pYeF1qy2Cg/0Jkk75QzOoecLBls5vd3GaRwo
RBLyfjbhQN3llSrO+JwBPWcBPcefndUZkUD9kDB9N5LsAZPH5FNFtredNhb7KM90civs3BasIQz6
PIt+7bXuxgXDciSe46ocmQh2FlgzD/JydR4qTEPkjmFwgqUFLXyPrAi0J1gp7RF0WPwESqB7NbAA
0qTrE6zJH98d9Y9tC1ol8nlecTTTHCrfPdB9DjjXrQ35na53Hd6zu5mtRyeRbIZW9Fea1afMlNqZ
2C+nMcvXaCYCaTUHGiQkHcveg+lmIYaxIb3XGvjbRGWkwaZJmoyXIUxsj8gS5een/q/P4m6qvv+/
//vyLQdoFbccUr52f3dN6BaSsb/d4D94k4/f2+7/PMRNGBfxb36Ln9/5izdp/8Wg0GIVg0JIxbCc
DH9akR3okVQxnA15GuivLDjKX8xJKJVMVXmXobigIVta6b+QNPZf7PgWxBqOrMabT+NfWJHpG/62
2dGsp2dLz4HOmko58Uc3MZyQNBVJGO3b3JbHElI42imtao86OIZ1ZqCXWqUSjkarKgQVsBsLwk1w
uanDjtBJBZddIG2yxtzm1nX4GnKj3YfY6aDDLqEhZJO4C9QJfJ+0cvKtxjQy9y2Tx2YjExnMHuKo
AaiCY5I3bRDeve7dKV2bFQUM6qtDgUyhXzVTiCUjd8J7vIRusOqpWDwacE/uQIe5RaYA3qyd7jnH
koqFUmwT9wpyMqarF1KZ1QPDbbZtWH2D32FC7Rf3b31jkqNw4lvUCtnbkjVQKpc4qBI4HGMy7BD/
led5oEAaW108zk3THxNdTHfQwvTN1LTRtea2Vr1C7LYoWEBG+VpuxWtCtLMNol7se9Ew5bdhRIis
RnKVl7T8tS1q9Yid875MS3MVoqE5O8YEjCTrPAIlSuZUJasgwvjuNiVr+jooVViJhi5Y2KzGUDcl
sy06YMz+1q4M3BXWGcPXql5dWQx41nzmdK23gIwB/cP+wywMFVl/JI2s2qlxdLIN0m3o4H4KnZkJ
rDYJI1vbtI89wxyMVZGFs3HqlKYPVi2qAIbcMykDebdz6XTfG+2UJMDaZ9VXevQzRjIxhG3awuR+
mPI0O9quS8RznGjmWvK7+GnQPQQMzw/u0NxPKREJ7iSKz5yRp4MaVdhrEXitzRTgnNqZ64yE8ZvW
KPRiTbRXdnbgOV9lRZRzqTMEWPgrS+tTSA7PdapDVVMiu38OyIa/MJ5MfNQb42maq++dhrVhVSwC
l6COw2Xg3x5GvDMNUV4e06XxlEEHJ+rMCtayUIKLqndPYPQLxjt2uo8sGEPHoYM7cyHxuaxfmjBs
PyNvka8xY8aLhRTmmDDyvU1RM9MhKeQJDUJteV2fc8mGKm/OUhOfh9GQV0qlKb42iO/UCZ/tYUCL
mJtFDVbMkES06+ITNgiVFI9mcp7xR8q7mUhK+OBBht03AMFGJSLznTCkmWwCqywySv9h+ByFcynW
KqD+ym+VGlcial8VGt+k+abdoQIugAFe+nIh5WAUPFU1sAPcQlNw6SvtejDV57l1n0XDFs5Y0W9Q
J1RI4GOAeoYd1c22JwttK0LNejQD5y4Mqu9CkyBE6NWSXUI1uTOzvnc+RRnZIYXrIG2NLG0Xsubc
8C+EK1tvo6u2jo+404Y9oqqc/dgyYPaTljFo59Zt53DrBGMTerKpnnMOLvKmgczGR2o3YAGDa5Lb
F8BRWhEBpvfrtrfGjRTudjL0aJ/iTa4v2qw5+U4Gag6tWk7JMdVFkvpxW4G2G0VpnltTD3xbLyPq
iED16wrXuGVTzamV5TzSQaBW6uZjIWxlF3ZttE0hHsK41BCrBhPGfDENGyIGlvi/LH2iMwpHIamH
I4jOjVHA2qyCSSVmszXo4DeJeYnKPPUrK+1XFpGqntOncPTQdxySVGdEICWReXQAvF7Nw/PQmwNX
AGXiXY2ram92TnMeoZE/DOE6ktlRijRc51kL7I4DluOP1ExkUx8toO9aMFprRELaHvn97Jt81TEz
RXlWM4JAIB4qY7OqccqJtSnxm+xTq3dYqZr6QnC7fueYDtRGq4I6SoU4eIy1p22gBKXtuVmaPs+J
K1dYR+GWwv5asUB8hlSYrKJeRuOK8yfRiWRBr8a5v8rmcHolRaLnbxF6R2aIEg6zqNyOQfvVgOu4
oCbddBVZ4FhLTch9kE9onsoFHJvJz2ws1magEN0Vc03gEx4sElNQqQ6oSjitftUKdhufs1V7wvbn
bvpQvQ05we84P4ljLGwicAon2eLtJcNubnZt5YgV814HtQPoIrS+/Q7ZudiLyVa9wAUEag0GZjOq
7KPVQeVnx4bmUwntJG3VPY6FHfuw7G+QU9IJbEN7u1SWDn23+FWiOCgJ9AC/kVesvYNKNABtjHpf
u2pOLz9M67UY9esGTLBSjhryMF7RM6Gh8VUskBinWaV404z8ytRi9cAQJNgMsj6OOfmKgiCKbyjA
Ri/Mq8FPsqw6QeoBYySNaN/M7hcHIRelefOtdqFqynT4kufY74U6qb6UbDdqE+0dUlqxKWWL7Na5
6tXgpgOLeEXQA6pP2ZsXDvL5plHaq3BKbqRolcsQJddgopxDMJoab2N2Fdr5vBmt1GVrjOksray+
tTbm3OIIR9BNR6GXhNka43RvpNMbaGgwbkh9Ca0D5v9JnqdWhKWvsXM2Ky0edRQYgnCraGWg/xGA
KZ1Z+BFxNPNtjq9eeWLYNWKXoPs0r2OTLpno08ImTyBVs8zw7U5Vp11lxrem3SxN7R5tNMKgzLjq
U5XAvdJUSduEC1CuhNrk36cSPuxK0EYlO0lTonWVNPOjXsnxMSck4GB3iXqUddFu60kZ3twwo+Wp
U9ofhJUOLP1ZwTXoow70qyAMh+75bhEQvsA7QbpLFvGhx0OF20Cz8xtnlvEhF3m7ZlTg46scNpPm
hN9qTSrbthvM6xZ/AArBGrFa08FhzguWVxRhXKB0opcZiTB8IPuXHNskR8ODvZ+iI2fsSyS40a/F
bEpEmlIdVuxutPdBXejHBrtG5HdaU0E8IA3GdZgV9wLBI3vbypkiB3OILePVnGbRYULvFzIQaHu5
F9Ekj1mUKnsFjQyFXyAkY0fdcD+ppmJ1XtnNdbwBJ+AS3gdnmrgNaUHjqsVzayaRuh4TkVycqKlv
EjcZyFXhuMxhzzW3LTa6TUNnazeDqutXGCN6sULdbS/8kal7zIhmWgdQPU554uTmKuPmP816bGys
1tzqXSDJa5o7CUa2IEW1TuOAg57e75BSD/1KiaEU6KOSk7VpJRBfFLtm9Mu8cW/EhngkTTNBu489
2AtprqYb8oWKnselE2ipuu6JxXv2oSdbx9JVvxh2SnQhJq18xR0N6lWWLjk6Lrnr/tDJZFo10iSV
qLNI3QJpk38qGF+qnpVG0u/M6Fwhqt64Q96dBmmbe4t4SnJIYcxdWiw0zLLNItsahdX4JFfrBwdx
cb/OCmP6NpKW+9ml5r7XJss+BgaWJc7lvX1qBaXZmoy40D2TIKZ7GvEYXa63j1NAKocVmsYmUwAq
kEch9g3ctcZr8Sw+L6pAZhBO1exiHJ7sJZp7BpI4fddgFHtdHasvrKfxIR4U1Z/Ajj/1iFgmqLC5
HWwUuFnOuhOzBnwlbzakQ+s3klhyH+EPvIrJTv3UiN2tO0LShi7WH2e7H64mBtY3rY1vg2bI6CUm
SDey0aMXQg7HGihPaWzUuOwwA6lV4+NwgF9QjjFKx672wSxYG62n+4ToazxVbTxfOfVc3WJasE2P
9Tx5BdnS3rmFIBZaBXQIui1xD+UUBofYzsSBaVG9QaFQHwWSTai43QCDsCr3GqkZvoIiAKSxUfl0
P1VqfwAephlIr7SxOrE058VmsCpzmxC+vB8FtXiFwOqubDJ9o4jG71BOf4rDhqlNkvdXCQqpI4tE
v+YF5GWx+4Vdy8qnpw1KcqWuyIOETz4Zak7OUD/VQNpa3nU8ZkcajgFGLlFTQMFJiVLLnKEJRYMf
19J67bty+GblI2F8TJjGc69po74ZSMz50Q387/n/H87/rEE0JD/gLDQpXqCX9u89gx/f84tF6/4F
MQzOl+sS0O24S6LEz4O/a5BBgcva0pAK4Zx3aTD/PPjr1l9o3FHsgShbugU2x/VfB3/9L0FyhekS
NwGrFlfev0EtYO/+/eCPoIH/MDjl3M903XzfLKzRDhuVJkGWZw7R0KbSXzVF12/nIBoPWVibO+iI
CIbLYZioOlr7ZKYG8YWOqg43ZSkFbatKecl4sc4pfnqUyoF+ZyXEZSJssYp12Br2VZT17c2U9PEd
gnnCzZFR73M0HZ/LKnDgKtjJAXeX303EzyCRSXZgFBqYZwnCcVSK1fxVVKnixUFIIHwwgnZG5ZMe
SEkqjoGtA6HW2xUK0eJcUjFRowYE6yR5dFD7lhTfOM9hhSmWvtaU0D7kNaDVVZCNn8rKybZV5rgn
VqU+QW47ahck1C6B86k4q1MszgxAlB71tl5v6LdmW5Tt4ZPqxu6VqqTXQLPlOdDUu1lMqB8s4r6K
msBKiKmV/sq4gKSwfIKqqmIP98hf6K7dSQWantj4fwwTIlmTxXJrZqL6Ngz8EL3RsX7GTbYtZJne
10ZCZ2HMjGRLLyTZuW3XrQdjIA7VnlSmwZp8LJ04IHcqGi5dGc9fUdRPT2T96ZeQpPkdyb3NlaUn
4wWhTewhhYg3sLjlUYxW/SXX5bjG/mhvqj7rt7YKxksNoTcZaZHt+mIgezw15DfF1YkQMHFjAuPR
inBvLIp4SULAKiVTe92awTlPq3yvOACZUjtdk9AEIRVn7raue/M1JKmNND1YS51lDFtLuMFey6P8
GmXgrG1cJUkPSMkCxYdTLo8VNrmHcIrdZ7u2ch/qWUVYqjXcVv1Q37mBEZ9nBsznoRUUDrLR48eg
M9pTIkV2a1DzbAmvwmo01CVn0jGzgU9kun6ZJzs+h6Exb/CLEH4LN5VRbVypiAG62qFLqPcnC+Hv
tdvwrDA4tQIvmY3sqxzH6iqwLBj/o9Q5F0BdzSsrfpaOHT/VVaRiKKjMCxFb826MJmIglV4/aoNZ
7hpZhp/g47d3yay73pi32T5X5L4qgiXCtjCdK62utOcC6d25Do10HyPs2CVJRsxfTqQrc7XI/JRV
w1GL6Mz0Zd3sFNH5dOG7F0SPkIAmSmCaP4H9UuvDd7MeOQRMFUHX2OT2JU20DYoEohzsQnvQjfTr
NOgVtLbQ0J5tp7grex0LYVtNhAMW4lJGlkVVHwXKwVRQrtLRc8RV1KukUAyKVb+QaJ5c25xlyIHS
dfcruU/Rtuj5ppCQi3snFqSK6BiMKdBzmiPcxEHX470lCSPGDZXf0grovjD26ZtVl6p39Ob2oTZY
h5JMMkTEWBEsG6ZhnCXphcZqdmMG2c6ahu5gBXOxJw6M6KqKYlSyWD53pRvvbTMPNoSj1msGL+Mq
gIJ/U7WgZGbCRj09ZYA4RxPht5WZPtlCGe9tBuqXSmPv5YYySGiiFHyhpVbXSjNuhsyqj3WDHNxz
3Y3ZJfk2aAdxRgGdEaV96YOgfyIBghhOS1cviQj1XYH3tgUFQzcfil3zVe+oEeH/rgcx2lvyWUe/
z1Sp+JGtO0+djcdzVYk5i0kGI/+mmKfw09yW6VYZuxki9WTaXtOP1hK7NZRglSZfFjNjjJmWgbN2
3f4+nCdQ4lmKyCBrQtKWFea/K7dqwNtVNW2SIhC+qipPiZai3ApD4ufizAXnamGcdQFcQJ+MH2Ht
in0mCNbDGE8pBsPvS2ZF8zEoI/diEk+5b1tzzFdkb3SXuFPStW3TIyMs8cVK7HGbgMS5Fi0d3sUf
Jq56h4QLJ8hnDFxOZvkYO9wHl13jaoaB+AhPOj7BuvuMiNDasSPOQCLb/qoNDfBuzH1ObWIVXjcp
7imXRnPdJUF9Tui7PShBnJECnVd+STrHRnWJl521qPLNttYfEcpoO6vjt2wCp9zQxdW+k1UizwM6
jBdDr5fNRc7GEyOk+B5TYJ+tgFgBcEjckESDiAjTKRw8sl6ia5VO6YrkYHMFY2y8FZJLX0TmvJ6m
jj7bqDlHZ4lFQ9QB5RBiy8CDpg5ExqDR5c5KrGmhLrdFPHaLJba6z2SwjdUq8bH2ztcp3EG/6jE7
rybKaWI4lcIgK3zcWHXZX6l9qB0IKEk/k6OXrgd4FpiI2W5jXvFjy2BoR2t/LDkjNu5zatFYzotB
PGU0QnesTOBUOm09aZZ5PctE+VoZtjhUnUNGaWi3UBmLbE9DKNjA024v2TQ490i0g40qanEb9TEx
r71NoPZEkvtGxwh01Uz1l4LczK/QMln+UaHMGK5HI9yO+qCuZ2bbK61VjmYhKN4hRsTU9XiRTCJI
ADiImBUtFhcE/QtTKUnCO2lSiKwSSTg9xyG3u9Rhne3KiFd6NVbLqYuWAocKO3DqVxhw6b7PIo0O
1KCcYoLiJ9LTr/u+SHedKZ/NxgRmXi6hm44c5Je0s55BHLyIQL7i33x2yvGmUMlvVOYBlZNe5/uG
HE+/qeM7rQ6rQxXZ9h3ANu0hZbD9FRD9+IhX5tnpC0vhUY8BlaSHCpuJkIeq5pDWbTNrJL7mTKlF
wONq1lLyMWJYAAYxvnTaR82013IYpXNdd/UEXMMKlk6R7uyyfuDGATfW8EP3M7HOpdjKiapnm5P8
d47BNJTPFQsotddinh+DdFNjlM8PjpI2pPcl2poiLz2q4QQtsontZ3My68+IF8LkOkCMdLTp4zV3
dOGiYJtxxAduPLbDzFQn7MzkmxONrXJv4pEzYcb3Acc3JU6JPbZjfV0oYtridyo2vdU+gpYb8COF
2VpM3MkuNB4J1ht29Ihtj/AbecVXjhs3syknaSXEjXGSLi0OTNlMOVKiwB7Ic1Z21CL3xQwqlf6w
fWAHUW4jJQ5PgM5VD5zKdNWD7L5quJsHjmirLoqHF7pK06FxLQX3liK3ajHS15dLuaXPmlzBAG6O
cbxnIor7aVr3ZdBhPIfOAwsMxyT0WcgMxiWfo3ad1Eq4n40QBmUQBIcm1+JDJ8ITISuZJ2y1OkFh
79ZTaNefJVk5HlbdaRvXfUxqa+v6CqntfhNnpT8ERsVIhsCiVYf/0gOf4uykqDR0flq+NWmZvBoS
mAABaxVneMZcuvrNcgoaza2QiAS+SsOuU/M+qMnJ7jyE4XH+39DAnwkg/3CIsyFtfHSI88qsbF6+
lX8/xP34nl+4PKFBi6YQ4fGB1owJ4v8f4tCd/oXY1QDeBZODd5jB7q/prcpJTUMdaP1nsPvrEGf9
hWaQoS+zP7rr/CP/5hD3JjT8j+DDFJghmBCTTIjhgSPWe42MYJWA/zIrRxJ1ayhEKlSzST41vWsU
zSERsNfqVcphMkq2lEXEEZx05meDHwJQYy60MssJHO5hyXZO9XOhaDQ9JiJ0olBAYHbgsLdbmSbd
GDAEic04PgEj6lleZ/5fNKNBPfOzkHRRms/hKpS5HKMTEm7SedPV4NgKlCSF7RTaSZEfUD7p0kv1
YYFxgH/vxbNWNBgiSgsA1HSb1POi9ncMtCL0DUcZuZ/iuKPF5hqIVnIHFb5nSsaCq0xisptW9gTE
Gf9+WTvVD8HGf1sf//TW0F34+K1BQfS1i7/K3xQTdKz5tl+yB/Uv3CIIyIAmWMt7Q/fhZ/fD1lFE
mHDZdeYgKvoGPF2/XhzeNhQJeD7ofPxocfzqfhjiLxofFnw6k44F/ZR/R2B/5yjih2CdchFykiFD
11a8l3Ga9FJdtud+VxahCikqZjfCxsvUt3uCcv7FQXe7qsq58wtgTR7k/3Y1jlN6cNS08kTn3Dm9
kx4gZqTnUWan3jFoXCsWh7lGX2VCoWRJetebpDFSizAoMPRcrKkxdN6I2t1UrkK7Ai+Eh4bqUvEq
rMlgBhtgOKmv1va4ClV+JltN7yXIWz1BVbaGy/bUZy5lU0xoXlViqzOTL5ZSiXWW8+WpShVR9naz
r/rmSXWiypvNXl8l9Db9PLAfsBDckGH1pQdizPdWT1kZv7LxkBFS2rGH1+6iRsjhtYLfx6rGzhdN
/WSpiQsQxi5ghPDrFSHTlzEvSEFW7H0D1jgk5tgP4Jl7BH6RGZdjI0jSV9w648qyuJT4ptu1qPlH
s55LYJBgwq/AZSCbLY/bdh00fBXdXYaglcEJKUDPK3HK7xKDgB3wx9naqi3+NjUugyM7f/nOxCBx
InbJi5u15fg5cQmqTO98s1PnS1hmFxdOuc8QlHuC05KhZc3HH3TNlzUfSGcmy9gkvAfvzkkNbtSa
GuZ1KuoSrVujecx7KbzTCWY84quvQaaoXAf3DjdJ5+tFBtYFkJi3ZElvjM5x4GD0NHsSt70LnCAl
SogeAraueVPNYt4NDldPJ0VwPZj2HrXM3dtDEtcTp3OjbteVzXOgTvol7xmgN8K9G+gfeVrKf9Hi
v/QxHypMUmPP+Zr1Hjf+ugxzhlVup/l9tTxFHV8rXPsqblVS+MpW89F1JKgBrZHLxIMlsxySnWle
8Ty/4mSnZtf46NkQfwHXyL2f+VMSoKvtVaVYD50DGg+IATNXrlKr0krQ7Go+i7oF3t02T2/3Owdv
DCqOx6ob+H0B7LiLbZ1bX7NfSMvJDkINX3nJearZDXAS8HQ6No8KIaZwuupuus8i/gin4Iuu8kF4
8ziCVHCxJJeLMe/dNHPnh5r3xLaH4DCgNDxHHOQh+LVPNoxRSFvcYcaYycrhbXy7GEXFSzEofGmV
5l9ygqD8QNj1Acqf6RsBD22WtsFhogVzQ4Z95aG4I46BFC1PB5SxAS2k+U2KwCJvDC6pAFA/hFF7
dFpl3NKYVE96HcTEksyan9q8lDRYTvHACI9GHk8ZcSSYKYr07Gi8qLpgIXB66l8q+cxHnPCKvCS+
9JF59fZ6EVU674QqNX9E4UN8gUOJKZexJUCEtcHE/BBGotiOVP4LgoTXMEV1+XZvEV0ubvziZPXB
soTwCBRoPTx94Nq8PeWznc4biBTulsN26k+QPzaWHmVr8D/kKCwPwPKE84pfYmMutvrEMub2vN8G
LP7d223uJCO3ruExoiPb+X2iBi/QPJWdGfGrYn7ncCVVZRe4OquXGX/huMMtUFMA5Hw+V+ftEeBh
vVzvXE8rCFZFeVJAkhbjlTmaW2dIvgBFohSxh+IUpFrqc6xA8jgLNBkm72k5m+ppQj6wsS0eMmJD
i5PSQkGfQWGx9ua071kc1Jk20mhscV+3nENG/jF16D2j1S3PZuC8hszRrmqtbfaDhavKBhG/HuNc
kKpl6r4CbdizkSSRVsGte8PGBFK7RAjH4SsU07bqWEyYp/UeqVx4M3s+AkRD3iKwPDsqFv7LzvQf
a5PmjkQdLi9tH1s9HTjljn87uiahVqwb07ho0/+wdx7bcVttl76VXj2HFw5wkAY9KVSuYg4iOcGi
JBI5pwNcfT+g7f5k2r+03ONv5iARBRQIvGHvZy9RZYHmriymWrx2Rm6mWlVbVGN8fyS3rlHHF2dl
S3XZO+k7ZRyXZuI34ONa256VrtOcH9kLvlcWiulGqq5da67FI3AZS2AsDa4NmuA1jvUMvU39Xjv8
57xPAPNZEMZjnidSy+KtaJpvmIYsFMDkvpa185iXkMZTLbrWxv7SWfwdJvFgxylWBAJpWZsJ4pnY
3uORJFKoUBrJOHM2v6RWliN+oSKwN6gE2VvD3UpIFS4VqpvEI95LN+6tMM3WuD6r5GIK2571IxG5
K1MPyNBlzYmSIdFrtCZl3F1HocRRDrIxY4ANfWRI/Inl7UaR49ZuGDJVbF/rWjtWQf+qdWX5naC6
bzLWy34Vmip9d2tTAwSNgm5ufR7/474rSBb18hRaFyjS2vQRBPA7n8hBW4e8itaGcIMLWDuzts1M
mBqXqRG5zqEARpzvoSh12hMQu8GPyJ3LzkHkmWzpG7Rlfj2l4PytAUjoJiSeSLstiAg+QhL7hVKd
kusH78JHXYNrAVEn2nyb4eey9flBNZ95mjHLsun3TjzRu8/Re5zycjEL9x5uHVIEmgBfxr+EJPxV
IP/HcSXzTYZQiwn+kxvPm6QB06jq92L8eNjxO2jG6Xcg9PhSqvT9h4Lz+vcO538VfX5dxljN/s//
/pto1cFAiJyaDZrw9L+Rk+cx1GQ8F/0+m7hBlkrAS1kfhIyr1x9H+m8T8IsmwKThZS35Py9A/1H6
/Ptf+rMHsH4zaI/RQ3N7UNT/0AO45m82/o7FwvmxAF1U0X9uQL3fJPtIILdENPHqpEP+swdYlqN0
E9xfPCiAPdj2v2meHWF+/l3h8Kbj8CP5FLr+4TD94XfFHWwyj6dQ7F13KjJouKW7lFwWr5Cp5v1t
blQRvEwFymQWDWH0oPesTaRulqc4CvtLs7QZ6DSDubUcgGVoJpmBR1NYnRq7yO7LguH7iunBoQ66
+4D3sUs7UL/qZoUAYN2gLX+AnFk8Gp0NDDcf6XAHQ2u+W0GBYjoKvbMkC+S10Ots9hXFyiv1Kn8I
96P3iJtae0uVox4Ih87VG045j2Vq3MrxEkznpslb0AAqOVFfVO6OcgAvqMnMC/MhpKjLntn30viU
2j3T6qoDBUpISOWilXHI+Vi1eVzLNe2duhSNytYoXVykfplrnNpucLkspWHsBUScc1IJKHSpTZnH
UruECTiO1lbUJETTEnyVBKqdwhGznOXOcm1RQz1BhCPgTQSSV6pt+Vlgjo+GkUz41CzBhrHt4x3x
KNV14OGCQC8YyQPbPu25a7N43bdKPUQ6+RhkLWYEGKH7dB5RhCAYYZGrETPCk69aKYIY623ghRkv
8RkE4FUdgxTbaigU75vaJXYZbgjEuGysnmVIctwCArhXo7lc5VRwLRhEi3svtXRjNRmjuMe4yeg0
qyx+fGcu8YwNopPLFpdiT0EBhHllIjTNN641CIMaF2SSrzU1Tt+RYvCEEM0w4RXxjxka8dlns9kA
S+4L/hwpd/wd5KQpUe+Fqp5Rx7G/tro8eFz6wpjZh+2iV5fYfzM0vwLsl+U9usSF9Zh2A++R7VK3
xHWiuebWJP8V1j2nkbN3340kg8871XnmwYw667VSWd3uaFvYiTSqnU9egZMHkb8oT0Yo0pms55kT
ws7Cz6kXWUqXgmc9au7EBxhFrcKNEyZc3XwIqueMwGUceYDqcpQ3BB6tXUa6BIE4pW1cBkM2BlsY
DXp46Bac1woWXfcdOR7rfYioAIbV8mNJxmIDznZg8QVpxFNTN2g6/0MyQVqooMvJu3OXQK/Fzj37
DdELqNdqxzxIO5cHpSK+lrntqmc7BKsltYqToGrTr914sM8fR7Qd8ALbAWXAAdAd92Y9GFzfZAyD
x7FJO5dK2AqdtRyNYd41jZCv+jS1ri9hbp1sHX1yTRGFcA2+LZqzhOItTICFpGYdlcA/YqqQwO5N
06+NmJ8fmhmnNeWuy3A5s7/ILpm0x49Pyda4D3mVybjwYSHzYa3K5i5jGicuAX8VKQu+lplXa4/L
+Cwf6vmuGyH30hcvX6mhL9cHipveXnYTdgt6rPI0NSX/7k0xpZnrha1NJumMMbPUuCEg28Y7B+tH
QK3MRlnmiES3cV1l7/NscUcmtrbcU8LIWDxiusx3ZT8AfXBErjBy4632FXTwcd15xkzUsD3e6qOr
rodkqp6xK/WmT6klaCujIiczG+TauXMRU1WWO6GI1GrUdgbD9D4vQtPHS+Fc2uwtTok3eY98mXaE
UNIRt0kE7HxFXlv13Mm+DeCwGupu4C7eJfR/29kUixQ0tG76uGu/JZopqHTR0TxmXqbuXBjYPoxP
bmyjwauOY7TEhqazRPCLPKUkmkuwkDStyLjWZGgQRMklG1jkg+vYj8JzvtVYMEgOKkoXfHJAn8SS
ixY8JEDsQAYs13diXf7YIE0920TeDBwwH69GYckNaaNGuNE6E9prHWBppYesDqaKzV2Z0QL7DW+M
m0JUxS0peAwxyOii1aOXNR5I4HW2Go3om6RNhijQxftkcMX3zHLmRzfslbMFFJ2c68aO38xajQyG
rOlQ5QWbsSQL/DLWHhoyYB8jQ7brAtxEucrQ5u8mQeKgobSMiM9i5L+pYqu7OUw7ktve4gn9CD1j
Ro9rjQ6DmcSZEDUTx/I8pUl76sbAqX10TOLQz016kUNHWlvjSARQQFoRAkUMPsyK2eLYSG0ty4vk
ZsaeiQR/qqcjtCT3Mhu1W5FrRN7pSHMbojeHVpyzDxX/vAj6Uc/uukXiPw+L2H+R/Y+LASBdrADF
QLLQYg4gnwOfgCiKJzMc6VO6Dx/BABfwXKUsIh+Cyiwfxwh2bjbK68ga6ltIbeSTha24DYRw7goU
fkyUVede1YuTAbVgtdFpsp+QJagTU6b7OTTsL/3igcDLVDY7ayxo0PjeEGsMhLPyiz/uVeXlfo+f
om3Jo8YbElmbbLFb0DNk7J/qTr9po7LcKDhUbECxaACMaIiBGjo22CgHaOajIBpfoM7mcNXl4vOg
7cfzga0H/4cmZLYZsCWxk9K7e6NI3ecYX3HLqxD7SL8YSXJdqw6DbXJXj2byoni9nwj66y+7xYfS
uPVFxQ4XgMCoKrrgIujORHwkeMY9425ieQ1gIhE3KUyY90Gq5mX6cL6oDxdM/OGI6cgDO4RZWvhV
3TyhLA1uokgEaCEw01AKqvPQCdOnIWSFbDfHvjW1q6bp7E374ciZnPwt6wiIqucYB5k1GTdJ3A3P
bowPh3BV+9qrPOtK9SNRaOmH7wclW3VJBF16oQe1UeCE0LUbiX9q7ch+3HC5nNUgbXWs2rx4iXv0
91ZZPQR9pR8xoz92iw0pWgxJLc4kYYSHBDPQGRyGfBrHEP+Sk06NL4JWbEjcjU6MR0AruGV/0TvN
nn1yt0odAwg2oxmemmWl5Bn3KpIcB6WvEUkzW4co6jpeftqlvRisdPa/+eiWeyMTX4JEOqswszFK
GaX0cZuma4IMMhpgbFutUckNfAyPN4UXzOtQEmCGHhivlydNtKaGUZk3Ll3vtes13V2JBZQXfQGR
qk2Ql6az2moORrKyScGO9OGDvZjMCua8YDsVoAgwBFv8Afkd6XYDg+bFosboBWaFkSUt81QgzH1n
MyIgvii6zlVjbtPF7KYvtrdpMcBh9+ABZYflBU+gYR+rNm7XHUkoZqdjnit6lqsdssKTmc/1bWQh
fvWnxXJHTjlSimgx4vWLJS+ObQYegX1woYudS2CaD/qHic/K+8eoj57IVwlg59JwY7IZwoeh8phR
tKrjjduaR3txByrcSCsA+/hXepvvoWsSjIR5rqMmcZ3eRpm8eA2HD9thtTgQ5YcZMYu8cFU7OQLA
UbqPlceJD5Vq7oKkdLYEAAbJhtfhuHehaK7BJaagTgBdqYY0cVIFEO4lkVyj1mlPpZykufpQyqtF
fQtHFCEuf0ddOB/yXPbvw3cAHPa7+6He/RDyAtzNvlWOU+/hWKDzXUqratH+ZosKeP4QBGeLNjhe
VMJJMcRYmVxELJUw1sGES3Aa0Ieni8I4XbTGM2Ju84H3Gzy4IjMjpsWIr6/R3JmkjFrlbZ+r0L5l
PGAuhkuvgayAgw/pvCSH3NDDrWcXBb9AOrVgaov0KuQlyxRDnfE0tpupTz0U260b3LSUAUu2IJ69
YjLDJycfihLpR0KNJb3nECH47RyMrA/zMEKt0E8Y4hg2A2urm5XHSIaJpgXttcy6kxL1tHPRx1yD
oW7vozE/1mN9qtxZrWvPqK/ytmy/IRPQd0NXN6g6rWDXhO4jhdq4dXCbsOuQN8kwIegjEiBNt4nC
pHpswRuJbezNM94TNggJu+CiTEiYt+dbgEvVVwWSGbGIZxBkWhXs3E1SRtwCtt057Rst/zYNqiUz
dJqvNKxD8YYcTav/6nbVfdVPRYorLe5lYOxyjYfbAd/Vro5M57YU2ZcKIlZ0KrLaCc5mob+Czqku
lEUhF7vcC4d0jPEQzMmUblyUaQtBQ1r6lzjnnxpEFiCbrhdk1NZCzLUgoq1q/DJHsvQlrLjQuQ6N
qr7m7Xfoct6g4/6HTv4fxiufhzkLac81PYEbGPCC/MxxDL2xZ+NBXes0jTyMJp0oKhrjHgVl+91r
RLz7+fGsz/McnMwm0mZjQSxISoXPU6toIOJKb8t9kTfemUjz6rnlwfyaEsAdrY2y/xZlupSX4eD2
Jgsn2wwmH0NylF8kVpLx5OMXewOtTTZXeTOISyS/c3VsgKc8DlHnbYa0pABknB1QtrEo+66HuunR
0MtuvjNsDVRvrVLsEFjxnrsqsV5Laxi7uxbNd7udsRZB0C1s25QvM/1E6geuomELA8uk1g/pRVKe
GPe5Y1bPmI/b79wyxTvW2uLOJN6CkXrd8ucxnVfPeg4e9xzSG2nLs1OnwRIYT2et7VvSIWgcdm5Y
gobmDzZXsqyEvWsiYatNC1zh+aMXzu1a/Cv8HOoBHcyeZFLjWhLq/WctQUqFHNitXu4tthJ0mnFC
b8AUmXbt59/25xHlx4E8W1IGLISPz3cXAWNSw9hY7rMo4yuu3DzfdEXN98PvnnxtY7aW9IaKJgQS
evX8b48OFhdBB8myxOl5n0lslTYJB+sOwtykMu7tcUT4W8cT9WPW7EulcVRiA2gCtDGnbfv5wcVf
oSbLRQafCVmAgAOH/fPnc4cIhpWS2J89WzR++jCGvbxw0tq4LxI0jWspbE5+kFN56kIilVdgH3sa
P1Ta2T6U6g+wyX/Hm78YbxLo8VN7x/otex1fm7cflUG//53/DDd1BDcmU0NQK7+rGP4UOFhoH5ha
uQyL/op1ML3fmMwjfiD2DgUEjel/Zpvub1LixNBt2yIQz9DNfzPbBFD8aba5sDNxi8CIIlgQ88mn
eXyasPIVs1fvJ3uKnrqkK6q1Ta5yjzMXxbNymrzbVvV0nZXEafgZFQPICRqaQAfaMsQFK3VzFk9B
jHlpVRQpLZ2nj2+qs7VleZkg7sWtsMQEFwCeV02fvUitYdOABX1bhF4LflAPN3RGCIq4iPE+YOV8
l3Ts8xTy5ssssdD2uT1rcYeoKrlgTZujLXSCsUt2lxpuJ6R/Tb1ChdmcFGEbdFQmun1lJbuRD8cD
o7GrgzPHwYEIp+628EJ5xB/ykji19hRnOeu1uoCTUKtihxQx3FSL/qJy2+oKLy2BOaq9GfBgWlrK
SQacqYiMG1YZ6dbDC7yeLFPDtVt0GN/T9wqrwbjSvY6wBYCJGwsAwtaoO8J4Zo4eDcaNTWLVKna6
iw6Yzao32KEKl9lvfyECrLIRBCuEUuKs2HEx1MFxaLi4FXGsn0nmOUu3egKyQHSM6NSR9fAL+oHD
IgZeLQ4GXKAvtcVq2ynLO/LI5mdiKvV1BdxvDfSwxwrPzhrouM8teK9wkAVOYq/SwF4+AvlmFj/a
q5W5I2NCvzJTTdt2vBrvwtbLHkFKyEehTFa+i7ChDgNzC5xV4Y6AWxjp+Xs7V9e6LWeSzbRjB0n8
tSQq6r7yqMrJXmKwaVbZZmTLfZ2NBCu5s7tyra6+msDdP8nUvbfbuKSBbsjgaCcEl0HqbGbmi3uv
tl1y5t2HbK60Gl/B+BDKAGUa8aIOG9g2vzG8oP+m6TCffKfWzZvOyMxLptT4TEei3tBeRORaM266
MzWhNoBFm6V2MG/brPO2lK4FA6UIov/iT0+IXVtHMHZ94o1qb9fUTOUPYSUE+8+ppDuy3FW3rAgu
DaH6E3DSrsdgp1kPDnD4k8xt/UVy4ut26ph/QrqI1xSgJdnZbhM0eJIm/USKk9UdSsTxK4vctuld
K6xZ27kNFvf3yXPGi8xo4KCFoORZcMdms2KfiYI+Eb+zof77oP/Fgx7eksFT9id7rLcmL4u/KNn+
+Dt/PunFb/BhecYA5DHYny8vjj+f9OZvQLWBoFEm2zqxIBzpTymbhQYUPOBC4pILOuw/Rj5pIICD
AAV0B1Ylgjfn3zzqWcr9uPA1oJ+i6mSLtbgFYQIu///HJZYY+jkuXZKoXIBjeRQh3Ql59vxwTf6h
I/hcs7moXzlHeIMmLxPeen89StAPNZudMNj3MEUFbSLCHFcF5QuOQXWd28zes7lGko5i7lcV2/J9
/XiKcjk4TkpX97hsABg/nWIExEuZqetRAEH43DpNO64HJTiupae3iTDK19DLK1INCkTrjLbiN6V1
RbFhs2JiixHzauqTmFEiTH6z1upjT+raVUvEleYzJSX3lVSxTYs55qJvneA2ZyG0/vkF/MeTcCQn
YPFq5kb6dAV1pr5m3s3evp7RgChZzttcY1sRO+P0UJuo/AKRMmXWch7hgnjS55H41bVVhhOfL/bU
tY3t+bps0WbpA3N8z4vmLRrE7KBIIIMdxHYqZ+yFHZvlyErLi1+2af/wPVDYeIIeQaIE/FRTtGh3
+8kZPUzj1bhuMC6tiHSadovz+udX63MDunzjLnU6i+PFH+t+uljWINq8AmK6H8xQ30PB4MsjD+XY
dGZ9o1th7v/8eJ9+iT7uMNoSVy6rU+NvqglDtKzftIzjkVtzwxMFi1VP1/vzo3zucjkr6jEJCNo1
EWzLT9fPa3hcMPN2940xxjuXq1ZBrNunrXv/8wN9xB78oAtfzsdidb4synku/O2hkIRI0Be70N6Y
RXaYHTSAkcc9M018cVNOxi+FDjq8suzS22mw3HMFBmkt0XHdRohVT5Rq9U0z2ayV7AGBVCUWZvIg
zHkfZlVwZJiCIYJ782EInQJr6MxCZRUm49ysZMhBVCVROrlGvG8NvCOjPcf7n58ke//P96Or42Hm
choOtTbbmE8PJQMgEpMZtR9RtDJtKscD+c0ttIqGzVjaGivbLN9V1miApbKGCAgn2TNW67eDqLpt
WjXNJeJCwP1dYeL8K/QvgiXgpYWaBTpTnn+xanvTiNG4E+zLmMSwKvRJI8/uDR3LWDTDlusAlT5E
YWGsCwqHXYojLSECicdZig/NsoBUwaQe4pKdqu1F+7wKjI0Z2vFeKzzc1VZMrCYyl11rlu59E1jJ
IcHAvC5EHXUrirBvES8eP29T1uIIGa+qDPLpapgdeSbmEKpwYFubajCkb8uq9xmFlhnm4LDcp02Z
PsJ28bMa9FGRT9oVJrjp+8QiE21/1G3CtDN3ViCZ3SU27K85JYpOY1V+Y0Wmzpyrzb84YUTpKyKY
iqnuTROmwYjJAPouhJtFpJ6wkOIGzA0CnzwvOyRTos4zwtcrEnvARLhx4a1MkhGverr8r0VC049y
dEMoIsLZIH3TUs290IpMW8swZlXmNMc8x/yX2aLepIZ3YO9PBmdQsVlgV0UKUtNotAfFjnDY83I9
12WGahNJHuagcmxXIjefrcgeV5JV8CFMcypriG0PWpZ2Bv9Xny/Zk7Pjpy41NjrvFz/JR3NnlJ7L
Pkuar4ym22uAGG1x6Ah18munNe9TSYpPxR0xZDhPYWG+sqout2zqNJTEys1XJW6Gh2JqWXNCUOWr
UcmqVWW4H6d+G0XmjRFAxODZNhw6QrtW0DU7F+Op8d1s+M4bzKc3U5NdEMwbMYAAKD6EWb/ugyXr
FIcV8hQcfAb7W3D4cpV4KrwD3neBO/4louDck+2ks9KaiShu7C9Tl74aeYGEt2kTX0tsZCPAuzCa
N+LssFw5FvjKVuUwK9TFgIR6nFGrbtBZb3haxCOqH31BpgWAt1KdNDckP5McY3/S3OBZq6KJD6OC
bWTAs4rQocDm0uuBm2sYnTWvoXQbhy4ogGSMUW2glN01JK+erLksgcvhEG0wVr1ChtFZ3raOy0QZ
kAEqkoQGrdT5hkQr6tM0CXkgJSrbCzPW9w5dx87WplJPmScbc9rDVINASuoAQ9UuCnylJ8W3ZpAh
ewTRfycDdnoyh2Y8sn4fDungEWodVvLcsCnb1V3KqiHQh0PPQv9Km9IKifSEc5PYPacVUAQ8Z67X
YnGj53qYr5Q2qwc56MXW1I3oAI6r2siMnU4ysRnyaIF3gmHkOVZs8QsdVg/+lOKcFH1arWPsgkev
os21y37aIYVGf9rq6TZgig3YoxnLS5Dy2TqoKArmYcKZXGL/xKnMqAodzU7MiN6gZbGiHNAyc8bN
0bHRf7MpTpH06NNp7vT2y+yN8srgF/USmkHdr2HwkQ0A72R4E0kzrr2M3huQX/MtclS4xQ7hPEYw
oM+F5Yh7Tae+yMoquiL3mepkoOQrS4hYNn5+Ph0prng7IRdvFDik24yF1RNZ38hP9Xkkw5G6ULOq
aZelAo2FrEHshF7/WKLgOdTwm74jE9b3WYIlIGk4ybqi/IIZHhxnjxZzmszqkkzq4MiUnzfXiBbA
t+HorxMSTTfIrjhz0r6uPD0fYZmhwv3QX0uLrd1MXCFmCDnzdwwva7+EjF2Aypl8EtD3LBOGjlPS
bBGi4nFA5HRpYm1MQoqvmMUSZrzERFYdygY9wf/nOX1wpFaxfLKtoVJjjDoOiNRWwoymd2rg4TEe
Gp7rpQHTDcsB2wRLAljU83oXFJp1gjCr3U4cIFprGW/emf05H3uKrJcxsJa1uR11twDL+Kc0BHun
G/W6cSLxpLvWqUWLtHOGuty1CeOaFfWiebIUcZ81DwUB8OGSnbDcVlGtDsDpbX/IkmhbmgGJv0V/
LwKNjLKuAwCXjsCnYv26CQpvWKVROOyaapiiHZffSb810q2jc9PmNcLtySL3VBUwlsD8sK8zjSY4
e8xxKp6scDMIUTBkdKlGQ+Xz71Pi/zasv2hYl76QQud/blgvXuPiL3PJP/7GH+2qjcPQtC1EwHD2
cEstcJk/21V8iYgncaSjaVhSdf7TrTqILiGdYybU/5g+/im6lGBngMNapE0htaWB+Vfd6t9KYFxi
ps7PWRpJ9LtLIf5DtzoxGDUx9c/7MthM3saaIHte/XA1/qFV/fshXGEvnTVdMS24+HSIYOwzLUQ4
tx8Cc5UygdLAt7o2l/T/XfP/j6Msn+KHEwGXr5RFTb0nlKrVXkr11lm/aEp+dSJLk/TDIZy4lEU5
cIh+vnH0m4lV9Pz152ch0NTyU/7SKsDroZtzDIM7Q4jPsPuWEJAkHFCAWVrRfCsdWwcxpfNaodGb
91aQZrcYVvBngC44mniWt6BwASQmSuwIyxx3MWX0oxEhw/LjuU3WTefcGFY+WOtoUOPZQ5q0ZeWB
74WEtK2Am3GH1r8n5BzHwf2UMmB0wACdWntwfLesXnK3WidMMzZZKQYGDo1veXWkrzQIKetUc6IL
ls8LGA/Woh03qPGaPjlEeuacdHe2n7XcYUQR8WzFoaTZJ6xjRBboWruJNGtgr4JHdZWqDkpun/ZY
1PP5gRzXbE0yp+EzOmbfnDvHIM5xoiJTW7fOnO+k0Z5Jde0eVDHhQAt6sdN6J9uUVG4H1HPMwnsh
t23qolNQlbhw9RR4jYn9TxlquDWdjh+Sut3ZYe+7KWfXmFYDuL0LMt75fUi80A/LPrqhDBi/odOY
bobZ7Ft8W4oBKBabnRbPb2NhB09R1TfJOvey+cEeUWCvx1m8NQ1qLt9qZfeu1RS+vkqIE/EM1mlb
hTziBs4EP2i5wMivL8rJQsuSd3h47AnoMnV0Bws3wLIQS1IuA6uAnsnnS33P6hwc/Yl2mYTyrWs1
uRqnrv+eLFXQbLx5hWc9gzlAG91r8VOXquSgTzWXpIlqsUNj8DZ3ZeOh/6jnfVIjZkkyMIsrK5i7
R2Q8KMsUnyNBUHjMWbg+xtrk+BQYzil3e+B5aKNh8TVi17djdDNmRoLjEEkYQIgGyYWr7xAjYzi2
bDv0vWAKCGGb9MQn1S08WngToAzaHMCYsWLUSbcbc9ozVsfDXVrO/V1XBfzhxlu4udicb0h9x22V
Bdg9yepaSa3sNwOgryvX43Ly+kXqlDeVsTZ4dl6y3U/o2gw731bZgrNQAPQCyo0A8m0fhDdTGOt3
S/UHMW6MrSvUQMkuIi52J2QTfA0cy/S4S7Tg0hi9MvBTKBRQViFmYMML5NUUNXA8cDf6ambDMVVN
fa41tJFARYeD7VX2dUBkxK6tIvMagWZ4HqX1GOT1fNM5UTsS3jXo+z6qbeNQNx1q9l5lyqd6Cr6S
ELLwYsayW5kaJMoSIOS7TFL3XQsxZrdaO54aR3hfI+y+m7CvJWJOZjcbEpo9MrO85XoEemqvxay+
IyjmSraDwk4bVvqe8n3a56xDzxnkpXtdpfOGVEiQS6ZmiZ3rFIuSTo5PrhEMLwVtzw0lk06/bMAK
kr0i49mJB3OV4z35JtK2O9bka1/2pmJ9Z5rFRcGc5kqJ2bzPvA6+T9u62kbVwjqNRjhdmwNut7Bq
3GsW68Ur9dbIXGNS1wrR1KUC1IwA0pku2tqzTmnF8kOwYfGrqbPvKhgd626e5n3N1AaDl85iaMWi
mocXiUndTYM2vVjNOlsMpFq2tY5ds9wOwQj0IbbhAEdwYe6ACCXfrdlu92LgIZRqebvj1rDWiL2s
bTVVLcnbBMuu2wo1FW8Vuel1WZ8yhiaL2amO7mcChXDXgwfP+aWJ7HXiOYFvOMV85NOGiLzL+Til
U32yEqCymRXEtQ9AR09WVp54B7aS1rYE/YhWLvQOS1IS2QiqRPQVaogL0jjnBBCt+C7mwy1VAv68
qWkOGqxXTqN2p20AEGrjBD1SCUPPPH8I4I7hGp6RphUIf9mf11/Huut4jA3pDe2Qu4sSnZxingIv
MVKcDcZkZ98ZyfDm6DiijZDSFgVasSNZPmOgrCXVa4tS42vnFO2EKDUO3luvzx6nVo1XRCqkx48/
bhS2dZdHsjlMKswNEssc1LZzopjpTtgR3bScNtzDuG4nQn9Jw8qb1cch47lK5cpuMWkhcfEQ62ed
/jVNu/aLs9jkBoLlmWA1prZBojZdFFWY+EYbGreyUMFzIqPycQAqt+s84sMsaw42QNB1wt5hXo21
7vm66tMjnd0r5qzuwDjVTcEiJNYaO7C+J7cRLMLUDJcecwV2jhG+7Aam3IUNAPVCIN73yEsr1b5E
eYR/oKJ5aojXoeN3h/yYtEKlrP/srmdah02UvS4fWFf2vPfi1L4TqtWfunaYMW+2fHVVjmvSqtwC
sfcyzZurnsPGKeZZBeV1Re+AYZx16X0VI4ZgucpX77JcPZeO2Rx6tGTfPTxdR1TJ9l3e2NYpEKWH
6xXPNsgccj1q7Io7qtHmYFZa+khomAfEq7bv2OlpG4u4b9/tumIXplgjm+Vl13r4IzWwUdcj3O2N
KXCYll6LMx6P8rXZTPJVMG/bFBU3uB3I9DhzR/toh7pNLvXiLeEdfjDgn963qT0/ciOF13akAVpL
eo+JSD4wDGu9XdxUBds2037qKEhJ2ouN4JyNxJj6iES9nQHJ7rrD1ID6Rh/eBox5Dzm9oz93wH/X
i4P49+8phYDxPgEEZ3JvjltdVuISbRb75SDlIWOm0zHJjH6jWSp+LvrWvfHKAVmS3ltfzJ60Ivz2
8ktCP3zJm8reRnWkrac41tYaDpS9EwTkDIRac1tGebGBSJ1vtBTrzcdV7yxEUMvg/wq20FYvkNt5
DHROVlMKWN5RidmWHX7JjbhFm6yfnDoqNoWXdId86sxNVefCV41OwkBAwvmxN6bsKnDx2YgcJBqC
ae7l2RXzDdpfluJ0KKfZjdWl0xbBBl1tiBC5G2p2mEV6hQMzP4Aat588AB47/BzwsdyYl6E+S77+
uZ4v0racL0SNPTwcPTP3dYSYPAIF+kkt/tqkEPJ4KEwHmHXFldPMAJ2RBIYIT6vpUVelZa0KUP2b
uZ/aLWBC75x5U7LqUydhax1pW9r99Cj7HPb+OCMedEZtEzSVumJQx6vbiVjZO3WpgTWYc4iEhmgC
HBIiQgqmsuHgkbs8oldsUZR3WSH8winK+75EBd/zwKEGAs1zIgSsu6pD3ONNj12XENr5YhpFdawD
e8mtEgBI6rTQ7ltdLxtib3ANWNLEHzTw2NBZWoMFstj0z20MJcwd2MvV1VDsOtRGj3rP7ZRXTDjY
AoivTPSmC5kDAZDjqH+diP5CrBFjUNAk7vSo5RczZux/JLV8vmnQfh7tUU4bl+XVwZ2Mgci7aajq
Ve7Zg2KKRxjeqmjN+Ua3AakQrMPE0Q/4l3v0V2G38oJoOPedloCdSuU1M3T0ieVcB/tWJHIXA1Y6
JG5g70bWL8sZXTmRYkbsWdGlmGOj9fs4vzOQzW1KVmmbmZTYXWeVHctvBN04xIh/5t1Q35mDSRha
+n/ZO7PduJF0W7/Kxr5ngfNwgH2TycykUvNgyfYNIdsy55nB6enPR1V1Q2LmyYT73G6gy6ju6lKI
ZDAY8f9rfSuSLjEH3YkS0X6hV+G6j6U3u2qtraIj3hepsgJCjGJypPCJQIyV0wiaemvbdb+BAKHu
fD8C1si+BEm+UQsK27K1YYcY7svJyNZtON6pZQRMFxDdTyuXfjYTInK10bbq0Gfzvq26sENLXaEZ
eeqLEPOQLQUeq9WOGzH33cglCnyYxk5if5VyTAltPJc1o6byXbsPglWi1a0r2610kRsotlOr5Hrz
0gBtL+gusWLn18SQX5d5GAD1JazYBBQVrUBTi900xeH3QHSGl5BzP7clh24zEK/8WAKRxeUSyBUx
dmp4GcZmeYfspvwqBQlibXXMkESW4meJnv7RUmp9cFMbyYLoxmmvRk6y09NQeFJIHhpIiEq/021i
kaEv1o/g5QEFZMIa18NQY/yeTHODBMgnvDkMd6lDxhhRpBzJ5TTaBzE5EiulrX449ZRdKmiGPcBh
hlO7fRFocKxt0kiTyyb/wfZe+TaAar9WHAE5u1aN4r6rYurziDb7O38i97MlF3oXS2Gzxf/Dq4hA
uwRKJBEJgfm+Fu7gGz/0UK/6dRdO462utPF9jv99K6Kx/mbW7K9WA8KcmxG+PZKX0NqDl85f/NGi
Ul3lQnuW5y+kqRCaKId26A15Li7DyNavQ1KBX+BTG97QVv0+NYLusqfE+5NkGJ+SscLDLURLsoRV
Zr+yxpLXHW2816aJC5VXpLT2SqJSKW5DAx8aB2yaBrnOWbfBjj5Krf5Fy62MfBNDQd3bdeFNIY1v
CZ6Ar2ph5RvE6PaaELtpazRpTJRHNq7Y4018CsMsFCshDb1rjjUrWZzGXgyLdVVi7ubx8rXdQ+/L
3CLUJux2NkjdciLgL3vCnf91gFq6ohaLkQPZoUs3iUOxUr5gvNMwYoDzWMmwxYRrsDPeFY6ZPRWA
M6/aKVXR0PpspeBAjT7uKx0VppA8rYGS4XFcMqW3sU1Fuepr40LBc/jcShXypVLY4KAGrExS5H9J
Nam94qOY3rFVjF8HRSu+xFVSfS1FCe+ylIxRWSF0jpJdVxg+CDhAKhym2vweOXCfw2uPhu9Jbaoz
xrWHlq+Kt6AneFtQ3rkC/pFfauxsf+albOKesRrXlJKbqejwpKG5TnctqZPrnkd1lXRlD6m0Ktsb
hKfBTcxmCJbObGxA8Fpd1wEglqaO1Qfe/19tDtYU7W/nrASR0jNgfNo7RSPuEpkigx6k4fNQN1jY
RkvB+JUhe8dE9EOTyu80y/rvGHMfJ6E2kFVN4tWkvFd2wKtY2UtJQ1Ik0kcbeU+7DhG9Pxhy2mRr
WkpbMxTyduo6QRJHqHuSXei7MDStKzUxRxaXWlgXYeZwNo3V4AcsP/oHrIR4QqVgi53XeuKow/cE
vcN3P7PQfgXOiz7o/aWMNWDHTwFhOlTtI5D7X1Zq17dd0Y4/gskn3jfp7Yj7NsbXjjPRnaK8vHIK
295VQQxtWXK4KZpvvYCL0Z+irqi3sYh4YWsHCmbOnmoMTVCokrFrtVC94wzyzIKc3A7lZO6riqp2
2+PwKTEVvhYO9tG07m1vzk+8MQe4rSvEr5D4a3a3Q2NU66Dr8wd4pgE7XOkeUnN70dpjdu9Hknln
VXLgmjHGUbCE2m8lyPN1EfdEzZAhsffzUNzmBqyx1EiMR72MnTwgOMOXxDdUHSs/TJpdxnK76Uqt
dAmslO/JqTI9nL4059qk2I2dlj62rLhgZuaGgtPJuzoVTwRq4jK1ZHOvBcW4a/v6OyZeyyMjiy8W
G8E9C6nkZZrTXbGVs/a9ngWAS6uE/S/wINEin3TTtvyhVTE6drsVFUeAKkx+wFaN5UulFP6l3fux
S7WkZ7I16pNQJXI1JThzzk0EyFVdF3lVDQgc8Utuq3ygQ0eOgnOT0x58yjO0hCDWnF0YNYFbUsJ6
MtXmDV2lWMkTW5W60uo9fZifRFBlewMWIZ1mg0NS1Y2rSUlioEuOsuE44Un4rve8/wZODvM5C9gb
60Rhe+wKCS+J7J+NGgm3kEd/Lcd8X8e+98RgvlocQYZ4ujJq+Z49lEnljDKRJGzlp+6k/aU+81PM
SqOQkuT1beArXudI/u+QJs6dIUvqfTM4v6tBl54DXr0v5HGi1zOagpgapx58l/wEa4VgrtjJzkCL
L6py12yDDpMGFYDThdDDKigeOfTvIPSQt6jLOFVsWGreQR73MATRXJcoxkVlwZysdpzHs3N+h4Oa
6zwa/grZNilJvcPJPlZ2B2Ngn4SpbCwCEkga/sD6MWzSoEzd0xd2UES2kRypM03NUMEqvCtFPgwl
N2ZJ+VHhwkI7eBpinU9G3CnXMrrPMxqxz5ny74wHhoIIoOvOjKhf1KsVTPJjSliJl6NZv0ogo3mQ
edhyMnkRMgw4iElx/NMiOdenKlh6qcMZKrL+z0VyI/IVVSqIphwT7qKq84cJXHjFmVQ/c32AJxaV
coZCNGNhjkDlulRwJSz+U1lKtZeNoTaHEUkxi5sdXyQqFc2U8sddOSpUENMpvBbpcC6Wdm5cfK7U
M76GyA/vwqwQXzQ2IMuUIa3mxrMz+OtsuihkVP2X0/NlVlYtB9GgPNozEAMbyKzF+zBfBoXPReug
5UDzq1AzCNlFBJbm36QqzeJpVIGCCWfYkHZdb08PfWz+YAcxVMSD7+DMz0M7BvaGQNXquUgybkrN
AGQQz4VgS5JTVOBk6K3GsPU3p4c99uqjxWJvzpNVEZ59HlZr4ADOyltU6HG6V7Lui4nnywtMZi1E
jf9kwmKtwgaCLNSGKfp5uKAmtB1+AsM1rfFUqdWOw/+wqXwsbqcvTDnURyFlc3BVcQJnoZGXerNp
+udZmpPofzbvc3P0xa+hZW5KsJquKSnLO5OgpdfQn4tJPaX407/EsUmL8AZYj64BWzx4aSythdYj
155GXuy9IQqq+QFL7OlRjq1yPMK5fYU6FeTk55uqD74u9Iyl530VILyVVoQDe13R0QWdHurYBekY
eND0UpWHX/N5qGQQOWbDngW1J2cRdcV30y6+//+NsbicCJm+yYe69hS1vZ7Meqfb2f3pIY5ODuaf
wsNhelgHk8OJ7b5W29or2bteB0JW9yrEGgQnffQ1lFhhqryTb4OaNkuJCvMCv8e5Fe3w1dNkGaeh
zfuHMHbZe8SXLjSpwKQSgEVZtST/zIy46iqV4uoiKZ1zqemHz47x4JI67KNmA9bi3as4VtljqVVe
lg9sUMzxHoGFdWYrcTgXEf3YhmJQ2iXMe/b4fFxBnUBpISKklRe1gVg3ZUHiVdldWTG9jNPP8MhI
XASh7iTIGujQF9PEaaJoGkfc5Sxt2LKlObPVeirr+Pn0OEceE7FHqoxWfd4doVf/dEV4rROyAa3C
myIZj8arhIw6xvofVf7+9Ejq4TcWsOOHoRbCX2pUJnHfDCWQG7l6roOu6a22XaFxFpuqy6cv+PUB
a9P/qN1Kp7ov15X/zeTIugG/2G5iur87taGMltUaBfBMn5K9YcflviUO7IK86enaTzkH6lWOQyeg
W8S5qt2kKiapvYXj+aYvBBVsAlbTNWU2SJBmNJ25UH1pBHz/gtPXA3MF2wLH5ed7mqaTpDlQgLyp
CdsXB5YquH/7YQTi/5pNwtqLFJFhnfrf6gFNKWgCaiaDeWGiQYsgIayVCheqKr5kPgcjdF3rvMge
yt6+nnwKS1mRVJsm6ak3RppFOGGsEdbV4yNCN2XtJcI012jQdY/eNgiX1gZaSry5SwnPukp0tAxx
4qCjY712HeIQiFAYXJ2dhMPdIitv5UyN/MPy+/zMR+vIXFNJe0fBwTeLLf9irvmwbdh9jNyXWGqu
OoxvFzz1wQviGirKACfqjIz4cMMDmgnjBN5MTHfOcsNTFaAbe9JkPcduYQdFRbapgrq9MrWy3fl2
0F6FlF6fiDMLLk9P9iOvL7s5DH9gA63DM0cdjJ0UCjP3KHONXzuzV74DsVaeDMWM304PdeQiEXiw
GlHr4K/l1pG+KOfNUeRe1sH9jMh8rCnXgqGU4ry+MJskstcNDXa88iB5/nyZYl+F7xGrCzd5aRuw
kLNRdspzr/GLaFf1+VMwBEg94rH+420A+nreJwuFkYUxZrEgUgMCuwLWwgNn+zKOee+q9kCgLd65
P56mbDcQTCGM4vRxYK8sGwKwgk6k6ApE704mhVctvgV7Zm4pPP06/fQOJ4ouYz5if4MFBznH4osS
RGmZ6ymxGMhqNE8qQa/RQ6Sn06Ra0py5h4cvIIOxtWFrABRPXX6+KrQhoSkyrkzSn0JNeqkm+1c8
aE9Bb57Zg8zv8uezBkNxLMXTqbLmL13/mRZGYy4hxJhdgxq1UqeAtGelHWSvvNtTpjy3Gz0+IrZd
ZGzzS7f8vOilZRfziJXS7RMCYYpRedLqBCErLqNVKNQ/tXwg5mPjrb3vOhhxMSONhnNH61uJJwmx
Rxfq6XpyC/vkzDCHG5t5GI6GGlxzbub8zz+c2jpbHqKIH+11kgrPz8r1i3Lgi3h6Hh6uIoyiyGw2
bJVInnc/xodRCPsY8jhWEq/WqGhR6VmnMbkquXkfV8hphT2tNYzrpwdVD7+UjMrCAaMR65S5dDIT
IdQ6HPsSzyFTYNWnSGjXeZlM14NDl/6d9tuMTqpCN9OTEM6fU9L2AhrYDlVwkdJH3vZsiyZyUR4c
8s9h9JRsDuZtQVWoxiWyOPOLo/amR9azcea3P/pgQFoz4xTb0ZcPBklCmNLZSD2q0/kmHp14Lw3U
OU/fo2MLhIGukpISyK2DLWemg5fJoZ17eWuliLQ7T06UJ9tqz+1ajrywBhB+VJWmifV3sWkx4BgD
kyYcTh1KDSGLH14MpjxsT1/NsRUIQyVlOHu2Yy01olMsqwPcvgTxUAN5zOIzNRhgv5sm/dHF+p/v
ojkzIhPlkwHaC2ju53fHbiOzQ3CVcHb0f833ro7M+6z2X05f1bGXZ6bjWnMuCBe2uHdDkxA8VPDy
pBGU0GTOB1d84xfNlmJbB4b9s0/L+IJqYXPmU3VszUMRq7OvfqdOLL4elE7lUNO7xAsC9bbNpdcp
DrZl/FzG0yPL9ZnRjk14jj0ENOicLA+KZCnXaJllk3g47ZNdZhrWfa/Gknv6ZirH5gg3kSAJXdGQ
OS/WVUeog4Aul8xYLvk5CuViK6E4Xvmx1qX05qz+SwwsZS2KtrutoPXcGKml7UIbTec0liaN5bjE
0eELoGs2egwh4nOnW+Xonbc4YfNmYmBdbnxqv5ENXGR8bQadNkFbvSqtU6xRlTXYPu0XMVCdsMqQ
JkauRc+4LJoL3ym+hyg6JrNs92WPQZQqkrMyR6lcOSHXcfpGHrmP9LTZgmIgpri4/CCmFr9DNLDd
7vPpVwl1YCuXiCl9ghOK8fX0WEduh/KuMTbmQi277s8vmqqMsqzbLVt7X/klU3Bw8e++NmOae5aT
xxtK5e2ZHcaRl04h59RkR8MX66Cs39XpONRBweXFxtcwCqS1imqHPkY9rTR1rL5UdV+5qDE678+v
VSFHfq5IsUFcrpS6NHN8bIBGnNVuKrOvqUqn91TjIcomwfNok1N2esRjT5ItG2UAiK4OS9ni7pp0
Gxud3ApJDiBYKkQr5rnW3veVk3kZCW9nxjvyzeEC2UMBbqJe+/6GftgMZH6th5gaCw86G50LHT+R
XBWVq6GI/U+GAvOt2SYbRnv5ES0tPWohWhaeQjjHnZFW06q2WvMyEopyZvk6Nkc1XqjZhzBX+hdz
tEMSl09UBrwmE4SmFZArq6e04flFQXVPjkv7x4cjFjBMFyqecDo1yxdQGei1qc2Ue5M6ofGz+oda
1G5JHeDMQEcWZtzHsqFpVJ6xcczP88PzKicCdYnBy700MF5Ied3ZU/V0egoaGj9jsaH/NMZyVSbI
NdZ1xkDQr6x0sLf7BvbbgypMAP4pzswokPuV0del25DK/qXoawuxEL1aYdcJxT+BGjKHX1LoAwo4
oj+hiYwphvO23k+6Ht6rTjCs87Hzv2GPy3dZgziL0+24RgbrX4QQpr1JHoY7Q8ELt4pp3z9MTobY
KlcaTMFZU+/krvIdDlBDcBunMrvDIopWeRLVt+FghTulbsaL1ECi2WnwxTqYh56dOE8RjuI1dzjZ
EpeO5idEKOghTsT12U/lxhehgVg46a8KXSMCIsJmfPr2HpubfMUthXnynkb2+QmapA22o8ncRCb8
Wg3tK5ysW12TtloGc3sOCD093rE3nD03mz3K9zSEFu+CERKDo5Er6LVVONecbno1uejb/Mzm9bDk
p1MrpbFFLZMynbMYRh+SEAKqk3uIyO/LMqrRDNo/q+QLTehrBClEU6vfgzo/c2TSjo9LlZY7yuF6
uSFzyqzKyt6gJlKM09dwkHEJ1bp0j9FFTjdoZjjjVITKbtqkq9wU7AXN7ZyFvFK7CwOVvxH30oUm
C2mrtHq+9hGGMuHKHf1OOthO/MNQOg7qJGOsEyyGrtMCcos6C7an4j9imQXQPhnks7WxnqzaqQw2
Mb+P26blG54P5S4GDL0rh77a4ujif88mYx02bbyxJEt9rjTj3KM49sRNOB8WZDIWCmW+ZR/WiEhu
jCxPutyT29cRpP9q7OVdokD3OT2zjq1FH8ZZboy6ssvSwulzD7K+vM6pN6wBl2xOD3LsgwjZfyYh
0G8D9/b5YuRKLYtKr3OPphPgfQOKmqy+FEmIpr4Zz5jOjg5GvZIzi4O7bXmIMGsWo5wYFvR38F3h
bO86vdyiAEVLjevy9JUdWwhMyv58LbDsHWx+sSZrZoyKCoRdfa82lgm0dnwp0vqtjdAshOaZO6kc
mxdzz5sDLBICa9mnmRroEOQ25148pCEuL1XZ21PdX6jU4t1Ck0JPL6t2Df1Ye4hkP/TGAFNDQLjH
tR3YsLSgpH6xsARhz/AJ4D5zP47+ejRuKSNRvz2gd/SD38DvYpvTV+UbuMXnUO0eUw0dyen7fnQc
ICFzrp05W+Y+z6imI6m1RI/ncRItqea0r/ko9W4h6jMf0mPb1vdkR1vGkcl/Pg+k9Q4ODrSXXotn
JGyQuPb5fV0Y+9hWbtOieiKz6Uyh4tgE/jDkcsM6x5yj0ZMzT+qJtBLFm6OniNvNfV10Z84c2rH5
y4mUJhnbR87Ci6Nw29uALAYrY5lRx++Ar3/3kTNblhV7TfmWZPKSPLCMFXkTVbPXQFJmZSbsdiJ8
mhedosqLX9mNJ1QcC7ja8BmFbf0YTE7h2jk0h8xv7O1g9fazbbBqrmD2IpiSmsGdoL56U6H+lnsV
O0tB2FMpf48LcYMUp9y0bPki6AVEp2sRaPpRfSwRXfOxV40zs+nYXXBmpy4lDubtsgGbpmXT5PgT
vKmcLqZ2IlhO1l+M0rikZvrSRmN/ZsBjj3h2ZiGUsSi2Lm97GRMSXLEZ8qLKkdDFCXL1Jk6/rhb4
qU+uG5r00y/MYcIKRB2VqyOnB9HMQe0ukMaULmmaeWY2OeuwF+ajHhJPl2ujcRkWafr8TjUgZmL2
XdF5sMM2fc4EcD0grM5O6nuU66d/qSP3nc3GbIEme5jjxOKgBI7QhrCnpV4CLXATArm5zkO2jWNc
NC8Q2ScPXeSP02MecD8BJqFKoOozr9owedTPbzQpHRMRj7zRzeQjZdUCfYsgVds2PrRXxzJJBZwp
LqmRbpygDtcjPRmcF7rinv5FtCNr2OwLn4llHHP0ZXlfRhoBDjvK8C3HGq2R2dcQael0j7Y6Ny65
M9ZFG6NGxmJFRHRKEVmRMvqoUR12d73Wy9tx9OWvoc7GW20n+Svb4nwX9kwpHFMJ+GyH+DYRvo2I
sVmyu41uxuEGrbDuEnbTeqFZWZshFJZrB5cqySWPiZYPt7y2mNDI0JpeQls4+1S2vsliTM4czI9d
Px0wPOjW3KFfFo4ot8Vp02pcf5oMjyGyNG8wh+glAia8PX2vjw2F8BqtAW50PhuLDQhNp6rK5s+S
U2ihW1b27OYjC2tPFl3wcnqs9+e2OHpxLJj1YRQx6aAuZnUumakAWMvhAEI25EIaxpi9IInvfHgf
bk609qUCUeWuHdT+RlWl4F5tJWcNtL4E3C7XF++/0P/iG87gG2ZR54dH5762r/9kVd+8Zm//899u
1LR19LP9r+L3f4EcF9mPiDLaW95GwLp//c9///3v/ws9CMtBdui0IJyipKqoTLF/sRysv1jB0JBT
2vqbM/tvmINmkzGNBBODITtEZCF8CP4VP23/BUWP7heKLM5cf5igdTDpSDk1ZnI3yp05mGu+8o/n
hRHDkBKOg4ybpVhnwe80kG6H0b/Ave/mbO+zSN43RKUD7vyqJJBUtebMejZHDH8qOcy/gkYvQkOL
RVVDWcz7goJ5adtA4goYMje+/nUkZ6bpkk2ebYNExQ/S4oBwyiBf6SmuHPycOza4+aZXv+lEtU4h
+ZhScC1P0gqM4rZ1klVpKTdVSMlCN7oV6YSu1AUzN+cnRQn+TzgHcuxUyfcYrNr8tyMoJj0avzRT
sYuyZtVIm9FwPL3g4EzcjHlVyV2O7FpuyR6U6kbTXDkRfAVyCoGIPJgTLEL2KoPAxGfkMhC9tYri
6V5vmzmEm4hbW7oGIEoWYqs16DqudEncQzoVmyFHUS857b3pfFPohzWB9To1/AYgRFcwLde6aa2z
ysEXE5LCkLrdkOFmSx4GyX+Kq77eJE226dryO3xceRel4i5orEsSh39MyJfaOFlTvkx3Jlb6FQSZ
GZOf/8wGnYNhTJDPKPc/Uem4gSmaK5IeDLKPy3VpNgw20QvXboOMHd3/Li7vK8CZxYVa9rxz+Den
5GB1gcdUR78+LSj//Dv/rCi2/Bc/Yu7iUksFRP0h0N62/mKRMWG0KXPq3jux9F+ZfIBjoL/oLCi0
slVL41P2z4qi6n9xvmaJsmU0njMf9U9gpgdvM9p/iKooD/7hrX5eUIJ+kCe7LISnqiJoieV1iD/T
1ZAkPKHh1rYM6kCJKeDuOSFBrR/u1d3fX8sTqZKoHebscSS5nLpo1yy18hVOTwcUGnQIoXYba8zM
jQKHwB0t9kv/wVBo8pEjogM+aDpi0eoUJTPana4At0pVpV9pDQlAyDKq/+CqUI9w1GDrSSN6PhZ8
KOpMGMZLVqh2hyI92g3k34FoaXH9Dpb4+6P/c/g/wVtx5AbO59IPm5D3Gwg8V36XdRAhsViMh64V
+AS5gRj3oWQR6pOzwfw9dKYb5HAhLGoF2MX9ZF3KZFmcvqXMwSODzzJIZjGxDIvrbEng8tFstTt0
AOZK4ZC4yRW9OlM2XGzquET06bgc+LCa9MuWgo4msLWG+rHY1Y5u1szNHOquAamk28Rz7NaZi1oc
Vt6H4yNObKLCYeXAKWJUnaqFSit2KLVJHkrqN1Stv4mHyABFZ5emT8zKn95GjoYYDfBzIDc6KIti
nIp7KBZiB7TaAAfvpDwsp9icHmV+GJ9nCqPwvaa4IRNR/H5M+TApoaKwdyAbZqdFGJI0Sboiu/V2
pEcCuy/7w6P2+138ONpiatBVCqrASMWOk70CswRLQweUryQZk+xxYIB1kpw58S1lK+9jzuUNlFTU
tM3lQWsME9Pue1475FQ6KR56+hzIApg75B9PFAGU++rB6kZ7XaV688tsZXtfGpongrrYYbHoNoKd
+qrurfLnMBAwM6KVWEEdqR4ndHqphb0YrfR0ZmF6x2MtngwdIshZBBgg21ueWuwGSmPR8hpFvaAs
rUs9cBNYV91GkjTY9o1SrUu76F2Nu7dR00H/Lk+QHIRiE8/VTto6wJN4q9jaP1/9/+fqYhy+4ehl
WZ/nN9zgr/mff5g0sQOjdjLSdje04Ub16bdwKB3WlW0iDqmC5ssQadjue9NJIYJO+R65Un3VoClN
IP1TxYbYCBQQUQmKAJnDaem7fm6TUw0phl2XWt+QDiRd0MQp3IrEc7e3DED4be08iz6SngFI+2tH
g61Co8DacsyPVp1W2+x1hn2b1M2ql8hoa30DnE9KhUNPvojeJidaH/ENa1OyrYFDur3U3hYwJb0q
sjCB68SDD5RgruRwnDO2qm4X54kEqH78nYzaQ2u3gC6tIPHQ+ba3/OR8e/p1PFxmYBeyMeCtpxp1
UNkccKAJg93dLmrCGykRFHlt+UKJhifMkOWG+DnlzDJzdETQ59hS5oPIsuuDwa+znSlpIeH4F0qD
kV4Jfjo5Rmst19eJY349fYWH6zYFc1YbWvKYxFAbfp47TeB0Oc+m3UFnLFdqp/cX8IIBfCE2PvPB
PZymFDapelEvd+bT2WKaBoKEhh7b7c6xO+OykCrloujFuab40VFoNLBN0ShnLYvRmexLGRmgfO7M
Wq5XFcBWT1SBfXf6vi0rV6xjXA39fZvdooLehv3nx5cOaMOMziLOY8Ab5hZKE29NErZcs0GFqvsN
4bwaEx8FTLCv7ZdaDXbo8KJzy9Kitfz+a7CFQXqIxkGhy/z516jQaU/0zoirHVJrg6gh3ZIx1m71
vkW7rOmTfqHkpDDWcvGWFr31QFet3wWG3F1jA9b2RlL4Z6awevR3QjiD/oEO04HcONAlCQmc1uzy
QOQXcm1sHFn0aFfb6sZv8BmHFmlSGJQlQBXSeCvKaFybEcIXnO2Fa+XpW6oM3Q0IPHea+u8ihtJZ
RW35OOYiWpVtZHhGEELpHdMbSW7PbS6OXwAaFWToBNKQR/P5pvpK7WSj3XNTw/EhqK1yK3o9+BKy
ipHraMUuWYjyOoMtyxerzvZjOL3akfXU1KZzIUofgwCRnhvUV849UaXFk61Pb6B68r1G8PG2L4PR
7RPUX1rcpts6qs6ZsZYupr+nxYcrWMxOfMf8wsXY7EZCbff+5OT71hgADkuy20Y1i7wwxxWu6wut
gKvflLTrT78g2tFZgBhWpqyKqWj5utsja8loiGZGXLQzOdg2frCturN0eg6pI/8q0m54QbUT/mzA
iYguWIOWILBFCzHtBM1WlZvCrWk4rfpIgVJiqaJchwy4I+hmRi8HytuYI3WpfevR0pKNIccFJATn
hbRuPGKdIV8BU5vbGsWr1cmP5shAgU4od9k7zTks5eHWzTY5DZJWhCBLPjAwkl5kJX7MgoBd8iX3
d6AJU1eaYAcUE47v03f3yLJtsuXm5Imuib3i4kTRpImZQzlqdhRwfmNG9/lqk3+jD5NzZqT5J33e
93BZdG+pnVISgZz/+V2o/ECUlm8wk+rgCWRx8EI6NwDqbOQ0YYwJ+YKyKdl731T+sCMxT2ITsirS
UG2WwS9rt20QVaofy4hgrPGb39p3g1U9yLr/O7XaHxx5zTMfqGXd7u8BEeFRUeTAjeP287U6WMXQ
izNlOYbnD0Jj3zP6mjvmpEBp3fQm+6BConRwg7Fkc6ODEOuaoHZldiunn+/RyWTM4lQ86lgqFss6
cRUQ16Bg7nq7AKtTWoQ1kX+7ksgWWBvhuVyJIx9NczaIzjY2iLbLM6LpxMlM/+QhjzVtzhJK4yTs
8MwZ8ej9nU1dzCRuLz7fz/cXqgI2FJ0WOGdksFDdELpdHjugPG3pom+gCgWdLlyJSN9N75NmQTUg
3YC5v5zQfZ45Qh4eym1z9jpyKNct+8A9AnnemMIGiZXWtTJURivYNjUcq24EOJop0nrOy92FFmT8
IhHymddqqR14n2uz3BmvG60+PPqf7wW8BnKh6C+QOK2HP0qLBKUVMdHtbUNfNcNbVyB1KwQ/AFCv
A6GuM6vUcOW4TNRVVlkhsjBp7K+7kDblSm1boayNAHz46Yl4ZKFBpm/SGcP0Dh158fqHkh0hETGr
HaSSeivobm10mJAb9vLRmVtyZCgUBDoQRYRH9oElOoqVpqxqq9q1k5/91vFs3k8kHANgMeX/4LLY
g2IvhIiMzHC5qpV5ObWlrUOxUAk2QUZkbotxDlmvW6qI/y403v29Un4snh3Z0DPS3Oc0EBMfOB3U
yQ/oojNSROyb68MlfMyCSoUV2UwrecgokRfheGb5OHorOV9jgAXKhLD+8+SCoJq3TmhUu1Glq5wZ
kImiOFNd6OnnfFEEPfHDFl8Idhoynm9nVr0ud9x2ouP5mhSmiE7KwdYcx7ZeR6HeTy4ysTxdm3Wj
uiZ78nRdaV0vbTk5imGD1EHL7jPb4OUiK3RyLnxEz88qpKfQrQnwFm6ZpiYpJH4Vvha9IV0nuH6b
Lbw5ouUbIpoBRXJJ2toywfW4TmeQbdvDgB8vDQm4FpgsC7qmXqNtCpJQeTIFwS9uqg+Guo2VbDA3
mgPc+KvTK1H2ZsYUS4JVyQkmvBzCWvPdOkrq8EsDcRntY051DbKMkukbCazQPpuGAbisSLrmBoGY
sK/1Voz+vdkoab7lv0v9NuvrBryt0J0kd9GQ6cE1cFfDcoWhFfFWGFX6CFbF9Pd1LqHknSNuV2NQ
q0QCh9Fz1qAXWw1CL2IyXPqgJO+4IOtpTIiiB5I35vVV3HGcjNbgbulHNE3vJO7QGSO0s46O9CXy
Dl+m7pBBIiwzY95cRWjYXi167OPK8tthPdl6UT+WRiRZO3IIoNkQY9895pFet7C8Ksd6kIvMDjZi
7AJxwSZ22Fb24ERbPQ9MoPcw8qc1rhTsweRqF5vUn8t/sGzoGlWNYX+JwypdD2lWELushx05c2Vp
AMAV99R5t4Dfyhe/VNOvqWTLD21uwiDM4sGTxhgHXOXckjuxzatmO4RW/gCscdXpYbBJJrKcVD3p
3cRJ6GuJbq91Y79Wy+Y1ToDOGUL1XRwM2jbTtF9oQvsNHaeG36G2dmbTyxsHIO1Od6ZixY55WsVE
JV42ejn8sMCiAdqFrphb3etUmYTVaMO06oZxhVb+GcfMxpTM6s5wsnqjyHl0R9L9tBZypFzaWRpe
az3Pg9MCbKnIfx4mzdgZkkLEN0mmdAd9PA16Ao06EWwqCPNL+Uq4Dcbj+yQdLqpWh7aIO4s/ktuE
6tLQ6/U+GQbVnWRczEMLGyAO/Q4VZZJd9vTSye6z73xbf8ikcNgoPYTraaonYklgEvnqqO4mtq4P
PlFF33O7ka/y0LJdYqRMd5Db+rcJzGwttV3pAqRLya8qjIsaCt7Kyv0BSWekXjSjRR7h0O1VZdhG
RqlsE2P8msmi+ppHvmcZ+mMkxq/G4NNKlB0KdcL/mplSUPMGZvZFJ6x820lQAydDekoc2983vha5
ZKfbGzkmLCkFhr3SY2dyQ84ND1EtdXc4j+2HRtBm7LXmqgV5tkpnNeko5W9N1ZferCb0oibLSEq2
u996A/BpjPqJClfSRbCKcbxU+QR0iZ1mHfibInLap6Sww2mlMnleMkzQg2tVnCP4mLJIxHQbvxFk
mdzgzI0oj/joYBPlQhbBuJEKKHymMtmX/E3xf9k7k+XWrSyLfhEc6JspAZIi1VCiek0Q0pOEvr3A
BXC/vhaUrkzbVZVZOc+Jw2G/R1EkcHHOPvvstZ25IQgGN51FXPkLBG7xSjS1JyDGm7E9FZESZv+q
GdZOz4lk3Wgm73nvaWbza/ZU0V5YBSGpUeX3ntwsDfPtK01zgZUVng8Co4REpR2RZ3VQ4sRAXfQ9
n9RmKGqi2gnXfEhR9W+B1ZsPMT7V7DDlbr91gqy7gdHk75pMTorwbcQ4crH0D1ePqSfRd9utp/Ty
suUh+2sQfuJuyyVpwnxyMgsYqcCVJIv4O0DcH0OqgIrmO5Z6pBYftpP0q29yxt16s1TCeKtnr49o
0ZxTUJvtaxawZixwlO4HKpYHf7HzVyl4nUUrickZAIKohn46m1nKNG1LPKPCrVRRCOW7QY5cCakV
dC8pqSi/utYudsWsdS9eBzor7+OhPFjzytFZdPHsNN1Cf9hMJAbGTjVEoxLcHKWpOWGh26w2umBO
cgquw9hBSvGQkLd0pUG/K+ib2ANpmzVoI0vkUxdPidr6Tmb4Gzb8iddtCJ0O4ACxck94JZafiXPk
SMBgeq9XKXuFXj+aO8HHqT3VrH+N7C4VQXqZmLC9creQT5KtrOk6iePklPmdT2hYq66bwfevCLvj
Va0229t65t7LwXTUhkqkO7rsP50gALVvSHcgbHAhEjrCrbol0EDtFFGTOPRnMh/IZUpO2ObABLRO
6py4iTpuKr5dRPjuWFTks3tp2n70MunvbNUbDyLj887yYtkr0kj3fsqHqvX2cqlxad61Tt9+OGuH
CdpbtTIqOiiBfLLZhUMePcfeSLRsb3fH1siDKyVF+zEQvv4C8gv4jAcpoDEI9NmoMeVj7YgJPCZr
ZtwYDHDSJ+GcbNVpWBSbIDnNmQPxeXKravlUcAHgHrTmZJEbak34d6/Y+jfbiCh5/I+p35HTVad5
zQk1grLpGt14aI3FOWVOEz+2bprcuM5I+EziFhFB3CrFBsBi1YZdYPHpjOBwkgFi3sLSR5Roo7zs
K3551mznxzVn+40U1YzFa/52qxOcPBLWrDap71CB11gIWSzoykNfxFW8GQJEnOgnMzqtBv7ADwso
SaZyiHLVYmpQ3OfIWLVg6x7R2vek+CTvxwnjeCkPRj+sV/lIfCQzF9O5z6pUPmGPGL1waniT5cpx
9Ie+fbfy1L3XAgVsjVya9LS4FSwHYdf9C2s/863vivFJb+finK1fNzwa/8pZqXWdLflBhbbsYGXq
5oYiIz3Zgk/Nz9Pllpjz5VtX5A9os40VHNE+PptVbh86Pa0Je5h4xUYVZ0r2+RGHN3iiSUK5VT2S
+FYjJ/nba5H5QvY84maD3iJYsHI1UixdjZxPTnJVaSHJhfHZTmm5NsQrkHBcSQlzifXC+VbBpePo
dW2uNM6s9FQWeWOEFSuTt6QHIOISLMR3rQs/JdUfHFwdBmL4buArO8wuqjzsqqn71prcePqB7MlJ
GF+uzMcx5Nbr7jgt1HcDPKsPXbMm2bnPnfHL9EcssLEEway1LR+Ly5Nc7PWpMNhmoOQlXr7UzgRd
c5p5rvyaW7+7G2JCEUdM9DeDXNrXOY+7O2Pwk1PsrjTGlU2ZCd86cI4F/Xbxub9rLRmeO/DD+l2v
+YIznrxR59AsDR+eb3nX9MTxjvTDnkOMbT100wEPYhdb/psiJ/EmrtpkL8t1Td5l87HjsXll9XZB
WqaXZLdEerc7ohDEY9/KeNOr9HtIGv6TaNs2imVrfThB4uzstlRhC0M9Mi1gZY603L2RtKCbSciL
CvxZLdSnajkbVT/fUoRMm5o02CcThlVYas39ENjX0uNInHU9o5fpSb4dg/ymQ/8htV0e8wruBFuu
7kmfKuMm9SrODQvA4qxn2jWb9+0Jkll878ZmcwjmjGhrPJdqY9QMG2ET6CyQDEe5LCWgrFFe68nU
X8F4r49JilOIUp8SkJ30DRLqO3nLpCF59XwuGml9ytI+dplucKT5/MMS3bZ2jTacB/tyJuDvmXpb
x5czNx/BtM6ZmmGXoiwfurjxmJalFKQyb5Znf56Ss16n0w5eyQXUwC4KJi1LNpiuL/xJvaP/Va9F
BSuaZw4fkqnZCQc9HU7oLYudkhFTiEOh6dZGxpp+Kip2HsQ4MvgyxjaiQp0IIS70vZXn4n6ExcJR
FyTnUfBDRif2bkedIEuEaXxEXmy/kxzvPrliYOEr857mXK/2yKUpdSCl3KZaucxNNqXXmY9w0xjm
gTB54yPV42knfQ0almmoyM9GgCiSmxEcxrCZCqTCZFncS4oLIthtZ09uaLPjduIAbnK608QFAB2U
QfAti9F8Bl1p3ARVoHAtVPZDm855OFPD7mAr4JCNRfmEtdS7I0BU7Bwp5m7nURdu+qFPtmzWtV+K
UZMZtsmQ3XQ5l0FWl0lGtH7dcqy1S7qxq1ywLgHahgECWTpguUfPpaC3k/w9X+bimGCfG4quBOBg
a7DB8/lOsb4yZFq141bcZZbKKdQch4LMG28q2yGPt2goM2y5Ixsc8kPLavvZ13sVFZXlX4qFvbpY
T7epQ7IQMdbOqWqdpsGWHRgMLUp1WJZGXrsOoTDUaFrBDefWxzaZ81OZW2mz6XKFUbzva9pSMrq4
jZihyesgHvKXyrTdvWMgwCOtNTyx1AomGDMC9oPY6q4WxGy6Ok9msBP7HBfslOlnsq2OPSCAi1gO
ofRFcV3yLRMtjQNO2A2ERgY8m3oSwxW67wK5Ib8wZi14CZiZ0ue89+DNWB5yVNi1WJlzDy/3RsrB
eJkX+BCN6X0Yyv2K+6Z7o2It30jibTi0hPbolQ67c3JMtoM3Vnes1vlRufQGQ+9gUGEyx2lLOTRf
SLOS2VGzmsmOpKcL78IrWPzl0HCbkzYlBSC0xWtOyDeNvjH9PGkYAxDxxDXq5G9Vldd3ZkeEm5uh
I2+yhQM0T6fhsxSm/lGLPP2EoKLa0NR4wQ4XwNEh7eges7I/vfRUPHxvGU0Oqz1gTKXmQltuQW6o
YG5feVqinanSMEdEf/5XE2fmA/UxnWkBJOOYFLP4rIpm+BSjQEQQy1h9F3aNqiDUEL/pIjc+irTn
Sc+eznwrujl+M4ueJtwmijcIiagXn5rTatXGVDKA2F449X3ZzRwMIp2nZuclxM3v7GBC0RjnlMsj
NUcKnKYum/vUHQuHGrOJ31g25O8ELUzWyMuDwiHiS+cyYh9ggHUpeJfb3MEuFdW4tDyamJkfmmd2
LS4z5Qz0jXotDXJ44egkO4pXXllp/twc7An5MUrtYNH2hEZSAgxMSOMNzVRwladrsLvbVxStZezy
LWmKRx2IoTF+k71M8WmOMJY3ceJU3+Y48lMBfC6Q5Yk5ePvbh+lILRnZVrWMLCT9CmeaZ6i52dBP
NHtyGJPQ6rDts3yyigIWmfb3Dv6xel9mOXIPzoKMBrOYyUYwUIFOZufMxm5wlHO59ENz70w4KvgK
mbeGE6nZCfexgx7CblkBHgsXg9xXLFSk14Ec5Ld00UY3o+m06TXB5OlDsUhzX491/VwZgXdXeEEX
h23r6w9T2ooFi6ltxCebZFL8dVLnPVKV866zOubLg+hQw1WYiOAJ+U64d9H+0yVCl+FTlNrAn1e1
KT4zuhc4ghMV8SKk+MpykZf7YOw7BhhBleV7vcjMOSxZBKPe5etUFzX633HKhKZvuA6p6AjVJe1C
d3tEFMLySrK9YEL23Oqs0/N3NZ5fYTWuye81W9dVaKpZlSeSoPWwW0vI0qvBV5V4Ax8NAkO2Xdno
R2bS5DJWo3VXJf58hZcpe1IqnR4nE+DLj975H4P7v/Kgmvj7/iAN/w8P6v6r6ZM/m9qNv/2df3hQ
SUXCTspNyBIKmUV/d7X7zm8ufjBubTw+q1+R//XfHlS03989p5b+G4YHG68pFqU1jOjfspzqfxmQ
0PJgsefFCDZiMZ5x2J9F5IDYSz9u/PLC8pPXqUhhZwAh2jIkfGGt4r6X2kW96j5+ZbxQ0hi70VtY
c5HHYdWIqOrNgzVVy0GsClJtTM6BmKFyjx+9jbxVaSJmvv9eYlyQzapDNasipa3aFCNl/az96FWr
cmWV6Gqtn2W7WKvn7Zh4Z6LE/dtJZRHguOqynrKJVwPYZU0d+X5Ed0fLqpYhaoWdrE6LYE2tXRW1
HGmtXzU2R8RO1HiTFxrLND6spIgwWVW5dNXnbIS6aVXsxJA8u3aVbVipQxFbdb1hVfjyVevTV9XP
cAViy6oEUspvbaTBEYkQEBcOplU1rJAPm9EgsQftO+pXbRHyc3JZrHqjtSqPbdlRIqxqZL/qktOq
UE42KgmrMp/Dql7aq45JgBr5zd74blJBrjLdkSdFtasyhMp8VULVUCdbvtXNtKqkEFN2A7IpKssp
XnXUUevmi9ZCk5u9xjgHq946rMorvpxdFUx3xJxU5wLXyxXUqR7GGhPtgsauvO5JOp22pi85Zequ
eBnpGO8Y1NsHS2hDCG+MMrhNZH/fWRo73DaYMbtYeKZpldMTIOV2nDptdtM35fQSBxyXGFWDp7my
gHiQGYdw06B6pTKotmIq6HHwC9x508Q5R5gbGpgJHGSw/PbVy3KeUDmJlE91wWqWU6L066Djbuz6
54lvlAjkid72V4hFftRmK5UuC8wR+OGIfiDMtj72Io7hBTR6few0RZXa+bXXbbKymLSN0VTZDVsJ
zeXCwGNnTl7+5pnUFyA5AJcwM4qfcpNHuG/F1XausubeAM91Y4EOu7TXJwDlbv7WtjFPhMDweGRl
hTJ2VU587IDQeLs4MrsZh4L1izGx563I4OqqqSIPeJiYrjvYP6O+8+33TrfgfCFzffSjZx00yxrz
MGGZ5gJDJH8GmOQtH6AWIkxnasNeiPGAVoTJb+Al8UwsY6QDdro1yct7csaY1TFHSH75DnLe2St1
3mPV6HRR7kiFyeZIQVwZ30Prl7yggYG425Z9Vm8XGB3RPFTta8r9t89cBmtYIOl44zkT7sZblxRb
o85ulg6hIOuU3Buj1X45M/1kPDYt1AXeWY4719/J0eDlS7Iu7xKVIhE4PTx3yLz+nT2v0pg2VN/l
WqjVDqhekdugnNw1AAS25RL9NKrMcIdHb674g2WcmwdHcohE2HQX+CICu+Bk528/V1ruDPw0+BAg
JoyFfiWbJzI77aA5TS3RaRuKMzROBJYnyjXzearXOcZQ2d5d7yT2oSni+WxQ00V9T1diJqNns1PG
lzqOdn3UqtUTYcZAYMqpGj7BC2Y3td64JxZ+l8uONPZzrOf+eeo0uPZckcUGYFD8FpjoZBMgK+Sl
eOaFpM9P9Ehm2pVJqt3DHZJ75VL1dgndWFMOwfbn26qmqrnPkkWQUFnE5K8QR8CaMCtGV4tnO1es
jdrxhiVTMBxuwsuPE4Ntr5y56hX/YAb0Sq7DEpodSbwiVzeiTm9kt9yOmniQHbW6dJq3OvM3SeVC
t/evzWGkr09uU7lSPYf0osr7b2cKLgOLjmTdmqtN7wwGle4h3Q+uekp64UaOPvtXACg56GKHtRoY
OO3ShL5ZN+eB59i4MVdftZEZ7pnq5xHKknHjSs7wwvCTyPVaKzSI7guzarnJ5iCa5jwiM/MIYCa+
NQZtPhmzme/8JmFaQ2pVunebIt/4gbS3S1sgqjBXvpCybMPBLzpI073xWZOXIjvzizTn5rJLs/Yy
V6PY1mZlHLDZ/uqN4aL2nTsekyW8otGiLk2Auyfmi9D8X8uI1RwadrUDag0vdKkxAlfWEtE400aa
vQks0XWb+9Gybfg9ufqspEO5xvxt9R3s2mEGyDa2x8ArEAKGNISaxxecucZu7sCl59NSsNNhPLoL
RTtF66GYl+qgkzJGKlVXRLo/tuw5FfFGD0baUdXutKZ57fSRiWHd6FdLoXvHnguf6YWrRw7hMDr8
uFCrVkD58m0t7bnNfO8rM9HA7KnT3zxEu8goiocBQ+P7smjWlnudfBqr80N9rBlAIHQf7SAGmCCV
4jwgWOwiyZVF8UrAaqhQl4L4vqvEZ7oQSq/X/nLDMBVCiZUwignrwdQXMGb9uFXSrK8aw70hSai4
47Lqt7obG7eWWuztZI4123MjNIEC3lNkC02yjG22X8Ixi62qzMNCnO/Gatv3sWzgu/giiHJDvugx
O7h6w9M+oJfACDr+YjXjtUutPVkL8SOkMrz1ViHBx6DZNDaT5d52HmPcz6HLbUhnVScvBLGKsBZW
NGBXuJp8GmKKBP/Thh1y9uixHgFLrjUEaGcmiu5ClFk8oUiasT/jZMkfc2+kaRZ29SViL/9CLyuP
QV8BxUxEzHhWQ5Jw7WlXCP5uQgQba776jRfnzR05TNiM0o7KCiIoelfv37SwfN5qYBJvE9laN+7A
rohDhbUBJayikruIk3zIUI/TGoxMzLyNhLQ5T64koxLjKMwYDEMqlHtjBt0IN6erdG6J5GlwZ+3k
Gr0fFhaCKV9io8PASliHL/LxCq+VzRVTQ6lpOqeFVaQmHoPz2Nw0wEiO9hoHExMKs43hgT0FeDXP
6EsZoDrR1TVCea3dDFAtD1QKBfT3pttmcxmH5eQ06675/F1XpnmC0Do8Tn02XbSp1z273cBYlrMw
oi2kt/UmgnntNgvxWx2KiioMFVk76g0HGJSfDni2I8K2H8BJwbpl7mX4vK0SG4RdfniCTT3Rx9Op
cDX9Gs57vyutpt93JvaucSrguLT99cxUHgPrPjET+mBfveY9rJkor8nPI3KmD6HEQG9KRbkDuTiE
TV/YewXWb87SZQ/NnsfAyAa7Uwp5qwpqvEI2gieX9E8L0fj3HZwk5pWF9moNwY1Rt+Jr8ojN6dxl
2IGsTXZjGbdg6bqVA5Zl0dgD3sFQba4zjDNP0OZUe8T3tgEAeqFPzpPVzvuZQJ0Iqt39QvjLzZyZ
5Cb4fr7HIbl3aTHD0oBHJ5vkq5uXvTXwyJNdU24lgUzbmWioI/HHoOtyER+mLr4i1+sMTM6JvBiU
x6Lc+TLOca8y2oClZmyRdc9BwelqXHqj5mbrnk9aGu2+qKY8uSOJpYu4hcUErEJMNhiyQNMSHglJ
p9PtBnqyIBRMBNEdZupfeDmUKkUIwbJwtovIZTT7rYnMB1crh8Qrx7GJKjfD/SSgay6/UrKbJagP
i6CwC56Gz/TSd5oeyB0Ey1XyGaf72FNqayxK3CS50+xy6djXCAsvnSLFQrXuOQsaLczVMJxhGZlR
GTg5qMTW+RBzs8BFrtWHIYzheqo8bZcZ8qtPFoZxjimvfSmtyPMR6uyZ7ofWXdwi9JhXCC7dOaFU
2ZoxkuuieW+sugFkg+v9Pg2gXjJmbRbP+/hYaZkLeEbXw6ITdShlNocx+gKPyrZkn8PO9mzSPwTa
ABW6AD9pUWgjC3x65iQ3dlf1Ny4kaqCyv9LSFGjyWXBcEuUSqmqsRX+ChPKhIxZ+eoWTX01TLajj
hX1huRnD/Ty411mq0TcdtYzGrHwoDkrFAFDZkV+ubKbvd21ZqecS4O21SKtfNKBQsBuzWylow6rR
1HETZXX6q6sqnvpaV3160l3PrHgYdmOdyV1v6P0r5Yu7NZk8nIc4UCE10NnKcudk5SqBt2qW1lG3
gy7yFsWdNtbTkztO42UHe/hKldJn4QT22qmoO8/BsWKlHxhC9IRoy2zeVUbKo0Anjf/H3tJQB5SB
/8kCNAeHTBzjzKzBfx7wcr8qq2KJN2UIizxv2RpHPjmL4ahP9UO9jvOddbAfryN+wcG49Q11yNbx
f7saAZrVEpCt5gB4BkZEaAOOAadO4dblOVljpt9wCSUUJfmPu6BejQaIdqvpYPjdg0D1vFoS5r8Z
FKzVrIBKJL/T1cAAGYQJ/2pqmHE3FKvNQayGB1T1KzhooGsTzBBupcvbZDVIWKtVolhNE2q1Tzir
kQKabBblq7mCN/ZI4xdHXpCSBZpjwSC7AjfGf1Sf/9fmMfEjmOv+bgj8H6rPxfv0nmV/TDIgo279
K7+LPoZjEz1AWoGHQIrM6+ID/T3KgHjO3xgOEEgCW4JomnUN4XfRxzR/Y/ORTCfMuphp8e3+XQQy
SDnQA0otYEVE4uHo/XdUIOfP9m+bDQ4flzlvy8WSyUruX0QgdnlKlTuJeS8YJvLMURUAamnwPoHI
oyC3Np6CFDTbr9bD5pGmhXamuFj2ta0tbVhmvhOWAhTmRifoMNJcIxwCraV4kDDgfvCwXI647jTZ
ZLd5Tw7IRkPpPzQpBoeRGJ3tj8nA1PT5ljN6in5sCw3E8TNuAejOiSfAVWrjV600RfygPdknjYfx
aa7LjOxyMUzvQdIu756VLhk1FR9bmCaStrcveqDepd4dHXJkP0Yzzd+HZFpuNXKIycjPl9elV31I
TELh0RSr4Uv2iUH/UtqHhH3YuyR1mf5qBCU2DC0eV9WniP5wvfwvBlJrdQL/w1/58xWs/lu+VX0l
QK2r6X/cNKrId8y1GDOO6i0Y5dZIII459zh4mlmj/jW7gVgEswpuG681r2oCnPDpQN9xwqzQ6R7T
fNl6SOaHQI0SDgacWhNH4aeRFdpz3TninC4IE06W59c01Pj4f+KGaKn9fZKShjQKqzlBm30cSoCh
Tjtd4UU0H8zU3Htp8Jl3bvfxz3/p4M+2WX5pWyexfVU6kVVJV1uvyz/sNLbYg5NYb+t7u6niV2P9
9smrNV4M055vNY9cljGHw13l07C1U6pHYqwGtRM8Ta7ncdY/2sJYxRdnmk9JDSl7aiznPl74t459
vy9C8IzLRDOnUzq6xpWVdGRj+vETYozJmjZSSVFP0LKLUr/IyOzYp1qv7QtG5tHS4IpUesU1bQ26
vNSV9Vm749XUm8bFMMbOxeL36xSB1QEyhIvt7EzmVkdlYDDzWrZkndt2M/3KUhjG5WBNv1rO64O3
lP1FPxgSSCMFaSvH3ZBN85mbsrjxpMbNBI/iorA+dYYJOBTi3hVRkfMI9nkkhxldxxhlEHlxJOHE
1FWPTpGhzng1M/IZ8ni3Geosv67Sde7ol+bzgh35yy8pI5gl0qtDsoY6xPzK2NWpEBfM0bLLchj0
6xjH4q1fG/LaoVIZaNnHEiJIqvKLBXttECo7Mc9aNsCaHww+UHMVvRT5UZOz3ptaoe4qfBnPdioA
6DIbvLJtCOg6Stm/yFH7y5nFnj3sO9gJBDUSMW0SfPfna8fEWh8n0tPO6aCrux+Kt2YIVLSZUK/e
G0n3CdZrpwehij8O5yp5ItAdpyX9zNtmvmldMz52g949e53dRmVa6nsQJC8zhs2oG93qsep4lUL2
cBlyaTHK4ru/amKG1vqAfUw4ZP/SnZrnWac/2HgLv+oyass1WxxZyHG17CQ7AeuB2hT06O1gbJ1B
M7cZijqvOUtI4EWj7n4u2zbHgEaK1HLdd45xZbRN/N2Uvv7ia5V4DjDOP9ea6m4QEft8U+HnSyM6
reyj1ot91/RaFY5zQGKYNY64XRdVeNvCT/2TTzTxsv3nt+7Pbso/zqv141+X8tlJIj57nUSst/Yf
bt2pMwSFfo+PqG9dje7ZMzZL32n3uQr4DYzcpMvuhPaQL5lMCQlog/Z67uuU7F094/FicQ8iCpVg
lHzYJe+FdHEqB5RECX1eD/rHXvhlVs330GXkjP77v4C9Pl6J4uO5jOvwz79ArQrRGyyEnEuXwLU5
N+abrk2SXefGjJlFzTkTdxPnBXAlZLvU0bauX7fveqw7l8bkxjiqepLLzKV5t2bPuHInnAupicNn
15V+/FB6HbPDtE7oSP/5e/95Hv/lw7c922PMbpLjRoLAn987CnLWK3tyzs0IlX4zCRF/czXH/kWP
JfIJPrm6zmcxn0pv5a1jZ2C0UdfuwW8zecTkTUQvmuShdCZcAl6nPQxuhQtksgcq3G6sT0RBZ1e0
H/PtVK14iUFM4lvymOAryuwPEU/jQVfKx5e8OtNG/K81y3BeH7Y59q95FTwHzHvPJrZVSL94hwSL
XtuYUIldKSxC+Mt0fsVXqvb9JGNq7xQqDyB6PxxMc/4yfvjxZmUDJhetaWyV1QY7qyk+8C1diNSq
u41VtO2htFG8ao9bnZpgvv259eJASz77WEvl1i34jyP62VHNvXmmfUIqrwjKD5GN0k+9FWqX62n8
ypUnv+yStOSFd38ocy8+ErWirm3SkTJMK5x85PNiLjKr4kFv18Rqu3OzF6/Kf1kNvoouSedDAUMo
7FdhULNpEzEIiMhBkL3JcWLU/+JCoEjkm/7TlcBuIDUDC13OTzn4l7KBs7oaRSG7M105ANoFR9O8
+Tmby2lGEmGpIvTSdUKBSTLZUYq17y7WZ8ZAnEkQsMUh1TovSkvwj12GRIfPV8+KUOJwqTZJUu+G
DuWKib6nf5CIWz5y/A8fJs3+15h5thaBzKg8TMA+/sKacuxa1oOzBc+8cB3YtYVF1yrjclcaMdaD
QFXjhU/nFC2q9Q5YWx/R2w22O3ARl6FmZnvMmNodSsiCtXjUx0/MvByRRc2+SIM5CwY0O7vctaTY
ZWvJuX6vOCKGZ4G7wNEKhiqzmaltYC3PRtvWEWZCa8P7SasNkkO9J/qQizU3hR0CG/V+sZxXRb2U
xZEATv1CBeWiITmobq+QjZprE8IiRpCxSJ94DmRPQstZiFTtZPlYsqr8WTBiYMpRdG5yAUNsnd5b
nAb4Q9r0UyOM76zJaS1wMAcddX+u95qo3KjHuZ5srBS8B/OXSufXJX1gUzark4bYdf49HsbVjJCy
YRRi/7TtqFRG/ZAkA7QETM/2Rhm59ZFaMdvVCbvqxaVGvg3lT7DcYcFqgMSgxXwQOcy5OnQVmwCc
7Hqo1cq4SpypOC5cCMj/E4MwzV6gL4Bss14gj7NavuijumNdImaeAsPv3FNbXgwak82NEEp9m27h
H3BYalvC3mCO+wi7BLn3atpCFiPRUrhZymoQne3Ua1yFWUeVuZlZpxwCVsM3ThvrEXau8tvzpjOt
c5mFDmVrjHXNq5EOi+rG86r01qy8KeRhgIohIJTe/Zyo//EzPCwtuXvvn4Qf/nf43p/aVGpwntz/
d2dLOMP7//IXfu9rA/231ez342NYWaC/97SB+xshEy5PVhIniFFZO+Hfe1rb+m21GiCYERywLofi
pvjd2GBjbHABl5H0QxNKNob77/S0OJH+cjQGBEMQ+GSuBySpXT+r63+oUJZqGGTtZZhWu2q+1HKB
v7wwyX4jcv+zqqU6oF3ZAHZLJwE+v8TFjWVV/WueuwTPxZ7Qbo3EQ3tK20Xe2tYQPxWKTY/LLpvn
X+mQ5cmh6SxsRnE9WlqIIwxV14iDbUxKw9PiDNMdKbOW2PRLVcbHlETzTykX50p2o/+UokH3ONd6
v0LDNcwlqhvS6egUDin7SgfpyHKbU8SPG7cOHEqQynI/GTSWX7XuHRIcdjd5MEtckZ19LmC/q2iU
bfw9WKo6JZq8LsqROdRCM/CqMCG+29TLzzPjgNBcRPrNkLlFr00cpuX97N3iIAyqaF4scYsWMF8r
ryeYK6AM+/YqTbtraoI9Np6E9w5oiywfe11YToRvZBsKWPuKxroggSZXBgEwRNe+K/bWL2Baii1T
qfTVIPl1Di2/8vfCY2F2E1Rueb8YrECMznhwGoKBLrKpTPZMAvwjuYtyrzdza0Wqqtz7Kk3wGLMs
WnqbhRMRgx2uP2z7sIWSqLab4HMx9LkNacw8PUxLOV66QT+EZlx0xzEu8pX4js/fbBpE/24OLtcD
mCT7ZX2KBK1/g2uadTfM4uNZehVkVo7DCyy+4iPVYn8Ig4xzNLRZU77vymk4ssOjhQ02vbsmKBkQ
am1dngwPmjG+OJXDOlsaRGrHky/k6mPgHO3Bv0TF9BhFq2VeLXdecASxFw/Ybad8W2LiOtXpyG7l
nHU8dt22i+xpxn9K1Twchxxw3MZN5+TWH9pv1miWkSRp1WURCKDmGz9maWOQIdp4k9lq+FX3lqtd
UBqWTzG4mwN9TLelRM/XPRdXvrdG4N+CaJFR09bOLtAsoBS51Vk7owmIZJxJZTipQST5U6czHpd3
OA4zRgqG4kGz9wyZnSGMpbeVGSxG+cm3S20QsmyU8dny/E8hWVIpLw1mC9er4ptEdEFUGY25MexB
vk7ORF1K+NVj4vMzmC1FZA/c22JOtlNN/GZIp0kqf1wb6+gzrjZg2MjLhgV2XAY2hvBNVtze7JXT
s+M7LiaMhpj77cButkJvq7AbjHiXp8Wy0byB7osuadMnVhWVhXFpDoFx3egGJofGPiNOX5ST7lyp
1o55/PU6Y5N6uXDnjs99xN9csZW4xP/F3pn1No6kXfoPDQfBNUhgMBcUtcubbKfTviGcG3cyuC+/
fh5md31T6Spkoe/7ohrVQGVKoqhgxHnPeU5Qug13oFXW4lazq9kh09ebG7MJvR3wyu5kFA1dpVRw
kGDyxkuPPz4Y64KTmt33nU+6pz47bd2fjLQvrsBErdJPKsfeO2nZXTWvfVhifphZlf5ABn9G+vKd
3M2+uU1lBdjQAU7gPXzSeiO/ZasnN20JbzOZbP2RzACrlluUDFRasFnCSZk3ZEbMtDlyN4PBzHTo
s3vTKj95VpNvItIeYPvNQ9pFV8cpY8wHeroJmept0kQMtj8xVjs0i1NspsxZr3Y1PnE0jwMxzN5R
gqcBhuUMe9egW9Yh/BGwPGVbTMj2kbRgQUjJsyc/str+xvYysa2ndLrMhb28mLllsYe20wDAW+5P
JKJOsu/kE2JWf1ajk9NEHrWsKbJi7fATO9S+Cqyn5CuzaLkTRJh8Jrnp/TKwNmaRcg8Vatqh1zxG
IbpGX3vURtMuNBboVKUoNmSTSP8nWX1b9FhcZFO456wx3tFB8XRFzDImivd8VJJuW7SrD8Lkojzg
78224WKuYeco52obZsoP1dU872tCUpdrbg7M+JKJtC177vKSMC66S1t3/DYIzo9DmS17INNiK1y2
pakl+13TusXnmmDzfdyhX24ivv7PqWvvDLvXbu1sKu/0AWrWnEfiCZJU/qOdre5V6pH1KOupfKhr
MrKzXotdrqz+Zlg695gKq8W8kWngUlwoZRvKJvvHxDKrkxu35rvZcktDaB4vk1FTU6CrljmErd+1
rU1YtWNs3Bbj/BjpxUpm1fSEHIzXXYQXDpfWzsODiO10M6RtFlQAMnZhHt3pHvb0hKMGwmovXSai
rsRsZ0YrAMcw2MrGy0nkCid3lha3sCXD57hcxhgtw27f5sTAHL9oQ3Ixhqw9MMeuGVDp05cCsOKG
49/yZA4myYIwlQ3jMRqmfVm3zzUq5WWJw/GyjBUTyNwRa51WHV9tp9cfEYoM7HEUnjGY7UAQzV38
omrVYkBwUJvbioE3C1N94Ik+vcfEDp7wvKE3IxlO23E0M/ad1oIZre+wpncPXc/kcu0G17vus6gd
j2nl7NDdLT7POBvLQ0VIMnlB+VkdO13l9DyJMuGmd0sVDzjnzb7Y9rpTB7M50PSjxLR8c7vB2YbZ
XHJ4TFiCaa1DJGyaMfSjeO73oyiexokjHUk0ItpREh75KvMAx3P+YKq5C+yS3uRIU0GNsfi/ft9/
Uaf/cX9Mg91v98ff3uPq1w3yzz/xx+BHBx4L05Uvy+IpzpjnfzbJAKwZ7/D8AgSJ8M/u+Y8tsgdv
dh0DGNSc2EDOUMX/2CLrwK0BPTD2Wc/7TIv+ky0ym+oPW+T1byDCDsAWQ/5fi9oyPax7W4bOLY50
2sHDcqrPJekmcrMucUvJ4x+xw8RmCKg7f1wSZXtf4IN+j6EdPVoyM+2NXplPIKqnl0xqyZlt3YQz
3XCJyrC/YL2mK5tiCg23D4+13IhqTHjjWD+Lsg41vxyS3CzOmZe0e7xbaXorAd5ilkNC2xE+LI9F
OCMOpH29KeZ1n0cvQACwzd7FCfLYNvX6h0x5VFKlYgwvOUahS9sb3X52hvpkeM34bdHzN6vo8PR4
rXjNx0ruhUrUW1NkYoOrxSFu2L6bDRURPiFv7GXSaOLzMsfTQajK2vFFabcl4xkCjHLYxWAam3DT
eCwtDTHgXi+Gnd3mDHiNZEzvtDg2XoZ5WrG91CwmbElbShqvM9C4a9fXZQCL5iW3E+95sqeZEdZk
7pXhvUyT62wHMW9CcygemAfVB6tvjNumKJiEYENlc50kl2KoxqPtxMmNp+XvXseOgmvNtI0865kt
hrfPK2340mYyPM6hbe7YIOffizxBYKND5fsq7NYczRtqv43ke98bzZY80vTZ1t2x9CMONjgF3GhT
F7n7Zhg9TxGZxlyb6qVIipda46XLWkE2iccBZpNmbxGiqy3kO7mxlSxKX44lhrIcN5zum4lXPMpl
AiUVilgd1zvyuR5aZ0eSjRwO3uPsgIeVyppYSlC91SCDUsN5QVuZ6cwAQjhO+E6mR1cr07P7eW6X
u3CM2eQvVn2JTUPDvCYmm1cxK8zR0tpbaY6cXGhm8jg6bX6xwWhcYmwzNzxEofjxvLgfm7rZlW07
fe3Wgh+faUO36TNN/fDAXPRoIjQIFDIdL5hzksNkl+2lC13M3JMzRt9igqObXJEoBFILiXzulTzr
TIAqP+mkuMXiLXyn8Zbcb0pDlLDEB8+PXEK85jTDyiNjY5BNz2pcAkImgRHFw26IDfLsWqGlbBIN
7zwUBUbOjmc7zhFk/p03Tpek5k3J2lGndpnb5whHBPtStng/KlzbW9fNvYPESn5pbO2bs9ig4OI4
TX2NAgzfbLTR8DmtFhuTVPpOpsJ7wYqc+UMjzyrE7l64BK7oyhNfBkfPdwauza9ZHS6IqMWAoDPE
zh5Bx/YxUI6fvcoyeeiHEkaWG+76jsT3pszG+VyNmtVtXBIGJ9fJRhUUiLLbGUDLPdvCarvUeDIc
B2ZdN5lwJwheXXOCqns3H/tP5NwrSBol5Jw0RCySXpScNWXC5ig8t9i4Hh/JYQNC7iz3Wlh9I3H0
Zpg5nAwpxppw3iajuzwPUz35AzOLXWwLclLezFfSWeFN7JbNvcOTWA/d5olJqXP1zP7QlOZyN+IV
2fAoP9k9P2syBcZ0TMICW9foVPeAdigHGfV28l3lzo9Zm6sbNosMTI06fSOiWjMHx7bZj3RFuXMS
h8eSXo7HKa2NjYdZzJyUuMFxhHmyGh8iq24uc6rSDYunuG17vm5s1LQ9F4nJosCZKTJHcVxq/Rsp
C+dWUdR4BPxjHIu2d/xEb9mcl8pgsh5G+wZCbBAmijpsNcOaMczuEXvd/L0QSm0WTc5UvmClknNd
MCLX8Q+juMYbPbGzvewnFSQhC7kwlu6cxP30XObC2tWqjJBMB+dGkJfC0s9C5MFoDELCyq9mJSi/
gk+z0aYcGKXVzRpOWdt55SG4HCht0L7raa0hDsQmJS9W/yMNterWspPq2taYBhSAQjRA8R4tRbSt
9TwPjGrgWDG0Gkc7xOxXZPfu0hT5dS2hP8WeU3LoatSZ+HJ3v5T4v8bJXe6Fnnh3bbyWmzOsXbZW
5DT7wsJDiDfJDdrMHYJextZ3Kv6G7Sinrz0e6k3Gmpn7YTbGm8axtUus4YCtlD2+KEA4G0tXyxWy
sYcxvXJegafx2+CIDubEJYCfZBNtOr3GghWRXrYT6y3LB4Kqsk5u9bAs94uo9PexiCwc9sszxrFw
Y4yzcbAHh4Ol0EL7MUn0CSrB4h4ZvFwXoR/ZPaCbs910tpmY+YJLw/YCmQwPo8qiF22yYaj1VC+g
Y8T3NLzMpa+xK/4kIqc+eWYtTxFtiS4raOgdWDcJB3fi0krNvC5Lf89mklw2ZZBnSA7ZxubeY2pn
FCuMxOcngazv6WAClig+eq52zcgN4JJsKhoZzDDagAdyD8nk9LvI7fJty/Z2I9zwQqAv21cwC1Cq
UxczMHHyURFt5wcV7/qCeUHU9alvTDmgGzcs0KMblu8xHN/jRKi9NgjnvAyt/KrLPP/StIoTUds8
tGZhP4IzehazBV7YC2ssb6Y8Np227N1e9tsayeW5LeL+ZDvFe7qk3TFOYb/VWbLypUlH9AvlTP6k
Re0pwcFHpCeyrm1UVvfLCg9xeXINoDMfiM4br4AOxgtBXgaZmPqHFz1JtEO+DPalUEl6MhJ7V5lp
zTmBHLhjfZq00fIFfKBtUpqhL6Mhf/LcSO37zq3viCbrm6lVgGLq8LtLPITzZBzvcTbjtmNTf2gB
OF9iyxrPys6iz4PXEp5shypQCzl1y7GXHyClnuKCA7qRpfIxC3kLnZ6R0oGm4TupeTOwqm5VrL+F
LYaxorIAjajqksOTI6PP4TvUree8zojGwOPYWjR97iFKI19MWfjW9PO0t6akecOfhsrn9R6+Urof
5Ui1Z+60b6POuuKJQt9FqAfZ6hdEb3zXepu8ygwsW7rpcvI4Ucssys9Td5YVqjEgtGK4tXIIh1A+
yV8LmT+nmlM+sqnKzmXt8qi3dQYGyZhxZKqqTqcjKlK38Al2hWOqvcu4/QZ2CKitydb2cWoVOxEb
0UUyqdg2CCqHCL8gHm0QOfdYmadjbOUY7l3KZec0tcldjW8t3SYbqC622mPsXO4U+Z9NZjf6qVqa
cme74/Teu+hmflvDFwmz1rH9LI/qkj7q2grsapm+llms3hzYqoJt7nsReWHAG/lR9EW9S3Go0ndd
as1xboW7KdJMOzAyz5yNrLMiRf7Kyhs1GSRxMsvZjkPBsA7KwDeYCwbZ4GXkkeYQC7U9QXAnS+/Y
9266ZG1tJVC7E5QbbZcx1E8L6wAOd3abMVabQ2hq4ocLDtHv5nzw+45AS+V00Rb+WeOz9Wi2sEUf
bKhEJt7iGdMvbd2EvgxSqXzVbzBHowNTr3Ary17RhDW3+Bfavt2QVmmDesxJH9TonJ/rWDTeTu/l
SrASD1LxQPLJoKRAiTr966RkfgdAjQVhMHJyP5mxC8sFyNqjO4V9CoJ8cOPqa9IXA7k3JCuveJJT
nGXWKbTdJDt3k+tVT+M8cNUIcU+axgS6ZKfspw1sJhTKXJd0qhG1DYAhZTKY46gMtC5MUbnI+n1X
QHa+jR7vkD2C/Zk/U71pMH92szGoIxbyqfH1AQox6JHk1A9ufVMr/uuqdapXk1+emc3NjleETOdh
Xe0xB+8TaavKj9RUMmcWCIjJ5B4dCAz8gjnM3creeVrA8fg1eadvVq7a0F/kos7Q0cctGZDm2hS1
6adO0ZArUsWDGOOYvHE1Y7+Px/5g5R2dMwxFA3Z9BjILWxhjbNeZbJIdKNS2tkwujLMoWygCAqdY
AktiSxRoCmxnLph4aryeyFQFGn6wXlri4syGE0U0odU1w69FjrTBlbsyyMRGlnczamx4F6Xg632R
e9Mj8akoGFLUhk3XL+JmVpGxSbu2DRozn0jZ2a7TI2IrXCY8hYk/kmoBMMBw2W9VWZymIk2fIjfv
Xju2npyZ2uF2LpfoEemv3bnrxQ6LON1T4sPpyzYKCOzhQON0VU4M73sljnPa1o9hWIguoH4o3fdE
qo6YN8prF3kAx2q9/tTEDa4xyC2fyyr6FDJ8vlgGM2HCO0I7mMbqaiw9vMD9IM7SK9QjFKO2DMJQ
lfKG0L71UMb1u1waYj3UM9J4pMVi2bjQzRI6PyMLfgrZ+bssn/OXVBBgctMxRO/09AjPj25QAjd0
z1h30fpggG0UNAti65FirMMQPW2wDQf4X2jvdjqbNEcNB6ar8UQEsPzHLwu7Pnb8Gr1zTTXN97V0
M9qZvDy5NhHcFFEvWCqg3Rjb1tX0rSFBKZKhTI7xsqQXOLLJsTA9eQvXgQPs5HAzCe1L7lbLcxzh
8feZ1/HhiANVW2Fn80vGUoEGP4xis6RyudPminwJYOt9Zwz5tVz3SebCfYXVpPMRGEFMGxkhDHa+
+JS86lCmoQ4GBd4r5891I6vbzcU22VwnpVjpBgtJ1bkemXa0kCnrzxXtl8WdnqWtCYTM4TBW6zwF
QERhH9j0sUPQAeSHs3zTSOmM97pHLsiJCWElJf2jL105qelpGTUif77WceDt7nvRYu/Z9r00pPI9
s5nGM5ekcUGiRRRZbcxWr0jo/K/CGtrYIkh2u0TTPtQk3eZ5MX36k/zzN0bOn51bf3ZkuLSCCRve
Prsy1J119vlnY5SqpzHNTX28pdPDDjQP2V03mJtNxVEDXxlGb0Zh7ofUOJmZvdOsZmfH+taV1HP1
eMqqbstH3XtLCpAr2f/+za0+3r+8N/xOOpBn+PwGw9c/v7dCH+pShFTgKdXcSsVeMTwk/9Rw+ncv
QpYc3C7DEiE/XgA77SYOvcOIwktjBv84Wr4rZfUvA9d/R/b/KEm6Kwj8NyN7pO8SluSvquTPP/Rv
VZKyKwKNBnVKNrlk1Ef+vj9G9zrzeVjuK9bfo/Rg9SH/oUsa6+ieTkfY55Iz9aom/luXNKnqcyS1
QKAEMKML/O3/9//8Um3Sfvj/f4bp0kDz631K+Q4De2zv0BDWQfBP3/CfRveJkyDf6G18mmpy1eTi
KvvnmPasaonUM0+6BbWTWIvKaoyUK6YYbWxwbdJ0LQfIQ6MX8PndKndOyyKtcEu/7zL6nRDTA1nN
wtrrqZy1h8xLm5calI29AaBFV/kc5qBOB6Md2CkXbu3nIacVvy/EQiwfUvPFSx3Jw21s6K3Vl85i
HFl5W04TZrMdQDTGG3Os4F22oSK742r4YJkCfv0Z0e1cD0jSIswSU0HetYyqbcMOdIQm4+IZXRy0
zMRvRmzTfjH01xa44U628Nh9NnLC5MGuJ48qTeeHKRbdbRMZxXXNm5dbOVUaTCp3imy/tEXEaS9V
19xWpLOjsUYRqeZDRDvMyVBNwgza3RMfayDTVUm1s0tS2UYbA+jpKLrXg8kGs2R10njJ1/FGYjb5
o26A0vVi6y2CiXbH0NMLgG2a972RNsehmq0g1o372FlwvJWO3GozsadJafm9KbX81izHqy3Y09p5
zqBPTTL+CiJM7S0GexsUrOysFwVMMGeqr0PDou73cRLdsO20bsd4NZKxB+kvYtzWjPBvQ9UUP9LB
8XYDDTO71savhBDWXg3H+2qH5JX0EFKWo8U15CT+B07SiwfzwW9QKDcqt0/DWBFPA2L5mDateWVS
O51NJcf7pBUQErP4S0oD1btdOWPAQ+OMNDUHNgAnH7elxZNcaQ8Dro3HvMkKFK+8vTXMLMbBCNwq
9LKHJk+7W22i7zDhF/tMzodexdaYbmcwpoGabGOr27xTDRoZs9QwelpcCX4nd2uARmlZcdJm3E1i
Vin9bMa1OGHJ+pbz399FvZU/4O+EOgTRwrtKQK0PLqYJJLAwRX4H13traUiaqeKJksFE2y9aX16F
wR0tnb67GJllnWfsnaoxrR1b9/amoiPtFR0Q8Dfz/fhkpbEeAObMaw77gxXUWTbu2bhHO63GX0Ev
3UnEzs0wtDUcJoeZM8PMdOOmE/uuMscD0HIPQp6dgQqFYCRw237SeCKQUL2CHRe7UJ6tAfoQIVJy
sH16H5vNndZhY8VPHXi5dWXvkW9LV31tlZTHIq0+zWt9BF7Ot0I2+Q7iDoO9IjHOtoX6ROj7nM/f
tIiAZaXTSrH04sXqPaLgsxce1DhoNyNN9tuwV1HArPSVxbC9M1Qx7TRUcZr3Ivs4E63/ZME4BN4r
W4RLrJ8a8UzK50+SLZsPaOoVTl697WXR7HH7Gmx8T0uXXLqii/26Aw0CJaEMOUKAc6H7EpchWm7B
TFElu2xkKm+xFbq6oZk/KNeOjpRJQJPlVHakxmd6KKZ82ZddBtKZB/Z+ySbnxmoGGGOYhJrZCrMA
AXJ8wLb7iai3dtDq2b5FtI5LfmBVa42C9Dk+VC+odc7F93M4msUFytFt0bhfMFPaW8dZvKeUXeGO
NrcMBmYS3s+mm9wxun4vLYVaU5MkXxL93VGDTQ1bI7q3tuEjw0VVQaNy48zQkyO4YXNLiyjfDIWV
s7+L8/uZZdePJ9Y7uhuhrclyflt6D859yPpM2rO7JPM0v3nzBBWPxtT6sW6IzAtSDJFbFncVaAg4
0B770vvIDkntK85ETEssNnu5PeAGXNLqqLIBLmVSdnRfqdK7dqn8oSr028iAMjXGbo6ogFGpBjPP
sUo5ZVGFGysp+omDc28j9qvE0Xb6ApfWNbpiN8eAwFjckTOn/lOcz61uHWasraeiFHHPs0Wrv2YY
IWbCSClw8ynmUH6XNW4FU6Wa3EPWI4BcJqtxHiYe2I94Q/iJZCO3HkrVYH9u9aQ5xUsxtz7NYfaX
jrs/2eg9PuKNroXSgpeq5LUGl80hgXTlqTLoSavnUNt1XlpGh7DujnNiRndx3uePkE0xVTUDfO8Y
P9i48RiuvyrXard4PoqDnkTxu8uu3/OBEFOuEuGfuURmg4FL/jRzLSMdbYPipDuawzD4BJ1IhrK0
/ygzi605DR7jTTe07T0e6VoEEm4WHjbizeR/bXJRPt0k/YtY3WZ1I5JXnsnAT4BS3RBaLu7CwfZ+
COqvwT7noYkrNhtetAwnW4GlDas+Y6rV5Wb/NLwlP81v/eqDi1ZHnF0Nx2L1yGE5wy5HkmYdL4Zc
RYS62P3Ur946pKn8m5ZS9X0qegMQvqOS8SGsLecTzxFvq3669BhxYtySUoXUyJECODarpy/jVGOx
GEWk27NyuJ8khx6oD7F2n/w0BRo//YE/nYI5WQHu4tVAaHjFAvWozr5ZeKWxIoOHa/PR4NxYhkcG
VgWwhZgfq6IT9275aRnETu/OvgEzvNjOhidusMOPr/Y4j99DN67fME4Ou1JLOeBqkRdhqKtn7USs
YriHK4+KY7aN9tUSc3s3QySkGQbm6KGXAHoPUhvVmxdNWOnnJeyPSsdUGKRJip/Mw63+UruJZflu
ZXbX1GL6BpzRrCENqPzIbw6GWW8IrCizxQmfd+5tTdmI19DrQmtbJiKbAn3Q7H2fW8k19BSxGXOW
m5KRBbwZ1yKObmJ2RMUbmDBlhrzMY1ef9LhzAkdZIpiH1SBkoL/KXC0bapSsbS2AGTip0W2B13uW
r7fqQe/bLmiZhF9ybSATK4nrBpNM1bGVVlP6RV42r1mTrsm4qG918i9t9TmbQf9sO1h4NcDdevkO
qd+8CQXTJ9NwvlhR7D1LwmTvVdRWOxOfYB6wxGMsm4eMoDhofVZEBrPimEghb7zFkm+D3eQHhRM0
ggpjL9gqzdn8IkfmxF2om588ovYJnitzQhhrGH2WlVEd4LDxr9nSZ+4BhuR8dbOwHjYToYj3waOA
GcudeuN03j3YHvyETToZ4rXHxxJuIzH23Eui7X2gRfo3r2autA0LJ9JOpI/Dz0SOy2fSik67M3H9
n/u2nzlXahrI0KZlXE5m+ZhG2b1Y+uRzXcrbaMblFxcDrEltC+qC4dLceRQte+K2J/EdRF7BGNIG
GnUHa1HzXQywezIOtvLtZrC+0Npn0FGDlfxTac2SsVwxIi7rmqnPG71NBCDRKLptO2PZjljWj/TN
E0207C5YlJnveiH6i84E0Omb4nucGqvPsXckpQxIz/4AnCbInK55jnAlfHGwge+GShC95ttcVugD
BqfYmDJimWYGpSS0kXSSJkotuPNW+k0BBih9Dp/EuLU4Z2kxx5uKsdFLjif3CYEs3ovE1jgfhP2l
YaaDCktVJe6vwttEgj1iMUYnd6FOYVcShDm4iYfRi4rE7HPrSlyFzI2ZAsSJDfVEKcPZMhVdzpmm
q9OI/ePCJ8wvhpUkX8Ml6eB2dR3g8XrYRZ5ZHus8MgMjW14UMbV+oxt68x4xoLk365rhmEj+20T/
77r4fzolezQD/u6UfKl6gnLv5a/u9n/9qT+OyfTF42GnWt3EOoMfnczuH8dkC1sPAgcHZEf/WU7/
P8dk0/zfwnANDDEu/ncatf7/MdngL/Q4OXP2ZkkX1Ob9J8dkc1Vr/qTm6LrO8xZnkS1tCnWwQ/+q
5tB7MvbQT5qjXYaQ9dJU068irhegFYnaVXXqMjpQxHZaTYZPZHgZRBRleNKahPPpGlGSObm1Sjjl
HoTJsDEoYip81820J1cVbSChJSfbSnTeRo9TAEwlIc90DUFCOc0/WQb+SLWGyaK4CPHQWkjPwKEG
mGa4cfVINCPhM205VDX+7b7sp38Iga5a2q9XYM3FExw2UDbxRH3Q2lKc3kM1EAKbGn26x2juURVM
ZtPouvVz8b7/dIv8jbj3QdriiluERgUwJzIKa3/Rr1fc0PCXR1mmjqNG9G+K8i+rdXYN5f7bcPeL
JvJnDeSDM2t9JVqr8I/jZPJ0Zsi/vtKC93BpAd6SUajbwODE73szwy5MQMkjoxRrP8dpeP2PP55E
GFrbbykDR8X89UVTYbRjUbb5sXdi3CDaetBthSFtsLY2bpr//NVstCT0JOqkEY9+fbXIc8ekLFLm
5mK0s5uyofAA5RC7eZ97T79/rY9Viev1ZMLDi5A39zDjfXixiRFkjN0rOdbxlOPTjgFZB3VdVIHb
6BxR8Hrd9U2vX0bSdAfUHIoVoN39U4/SX2+gNTmL/0ggapHg/PC1omnJGUJreqx76MTB1M4t3LYw
fPIcjiv/cIH/eg/ZQtdtw1g7TIF7fqiXa6gJNbvGSdkALstD5TZt0Gn8gtnGZDEzyQTPtSyBXf3D
6/7dh5SOTmMFzkLprMDUP6vMWZSCJ3Yg3JZjPSCm8W2OZj/CmU+Y9v/+i/3wWhbQClRmT0cqZBUE
IvDra1mJNupD7CXHRK+jAOiRZH4jmvkcgdR6/v1rrX/Xn1abn69l440jiy+FZX9sSUuLzgEPwD20
zMuoB1Uoi1OemIMe/P51PgSX/vU6pkM+ikWG29X49TP1Tt42TjUl2CaAdgbME/hQ1lxioR7AG8RJ
Qn33BDSZ8RYzN+hrRRTf/P49fLh31vdA8IOFDq0XKsjHe2eY9SypgcodQ7oPA6a6teFHixbdhOZc
nKrIBUbtmPM/rOc/L+GHS2ywBDH5QYHmMPvh6xwiB8EglAy1EEVeGqajJxDM861Ky3jfmAo0XadV
E0fKeYrkhhTyPBxHp5y+cXaswZMQYToBSgwPkdAwsHC8ohc11R5+f3X+7n3afDFrG5rHkMP58NPK
bDMcF6lpB6Llzpd57q0Gc17u8RXlzugcOLkpUkqpJpFBqzG7YfzNWMyEBnXss8o6s9sPj1Pimree
5rRyh6OuStmce3LY//69/vWudWmmM/GkIuvT8ffhrQoP2hGnUaaDngC9lXEmyQDetd3296/z118i
IwG+MimZVK5ggF/v2kQjYh9qbUKiEKKBl6yh6TKr7HPeWvbj71/r43LO7ekK5g3Gz9wz6tyHDzW7
rd1aU8pyDpktiNxwCEgWgDfnp0LQY0UITNgP9X6Sr1pRRvupsrt/uLC6sNdf4q+3K/XTcH08qtlN
3s6Hz5w3SjP4ZdCIhctvPsrcYDHtvMlUx6hXy4NmOuKLvcIgKBxdc7wqpuAmoW4Oeb6AIwDkLDx5
fT/fdwSaejTQlPqSGisxRrWsWG7yuCU5yJT4uuRm+GOY+vyTO+fLDcFBIGFe3ThrDCQ7GVTsnYdG
sOAS3TCuENWcRydW4tABm7nEnNdAxKpEwxE4Lg9zFJq9n9N5elcg6L3nIezZBWT8TaspgtveVIY/
4AbY6lQWNWGYkmjhYUEEa3eppM3GRxNY9wgVwpBf1ob1HiPFfC37wnweTVPVlLr/rKFARfuRD501
BgUez5jpdRrfRCa/bMtmadGbIfnSxyzeFT3sP6IKsQvPI9vGTRkKTMhj4kU9/h7H2jMXYTMEFq/9
5koG4WVay1e3Hhv3Sl6J+41ff0SFVOXx8iimGnJ4y9rJGVq+LszAgynzohu5/tnWrngbs431qU5G
Yu8yybUnrzLnG54z+ae6nse7n5c3dKDPGGUsHpRZx2TEF5nHR3LOjnky0EBvMo7NWM4g8Kit/Lla
Icaem25hhXLpa3grq4w7shITues815dDnyiu3YzBBVaAEPETTivrpW8EhmKDWsf7VTVZA0L8PWOc
xDdoM3D/apl8aahbK/2waeaIITHcJh88hP2YRqb57JZDY/iawbUtQLN8yaPC2OkExt5TuwZZyI8G
tEVIF8uDPWoT2ZQMZK8Y6ukuma0hDqSlJ2+507E0YZpHgBcIueZ6HxbrTMvtCZBt5phqjWCZdDYw
elEtO6CJ3Euy6JabaKTEB0P3Cvjo2gEajK2BvVs1zqCPV/5KygdofYg+BNpbbrCtICT/Ho+RIDbj
cvcCwJvum5B47KHHeErRU6U9OYT3+B4ja76JtDw9ZW6+9RaNDsTGmu7AMdY7JF+dARfu5xroNwVk
VUMAPk5gqTblmbq2FS2bJ4FjtOJGN8vl1NfCOZjSDp+iTm4rq8/ea6fMbmZeje4mW94Vi9xnCd0U
NbxQlIPUfHVdfnb4VEmmzgQ+M9h/QpuWjcGZb6PTprXzJoZKyFOYa7iqxicvGe6SqJxPqe7t4phk
JdnYCl+mSYJNA7AHS9GDG8jHyjMaczE/5Uhka5pghft2tvXKVMu8iYrkrplQrzHGT8FA6dCGBw4M
yjp5dkIHHbFVxjmnwUBQObFRXTnuMw/2J1DqNW4qnMBTkCoTL7628fwFledd9Vq7TUHaBthxy7Xg
wjhqwv1cOy0ovP/H3pktt42k2/qJUIE5kbecSZHULEu6QciyjXkGEkg8/fmgXbVPtXuf7rPv+8YV
FbYoiQQSmetf61vKqfO1ngKeakNtvxeOe5oZKjMeTa6xn1DI6PpPSoU3VSmi175G9Ynp0DjFecEC
7C57pMLWVz9xnEs/d1QoAZg4GQp/JVW/50w0OoDCXjBfkbhaGzvqfhIyrQ/aqlDkaWYIGYdETnqy
KreyVqERifPg5fxAVU7eZqW0PT97s+vspjHHxNkrDPPERZtbNkpuvBkh0GwyAbQCcEn0jKw5PuqK
inSGIwQcVuAQ9SUjNLDoamLnZoRE0gIRZsp9TIONLPim7KIvbWQ+BN44PohR660zD8N2ef4QjKxq
/PBJ3RR3XS9mgioYM4+u4bIVsDNmDK1mL5IFE8/C0u/WNP0mLEXlSBYy5IkgIikOdcrRZ+D62xRs
83ZUmrj7AexlvW5ru7jtzP5F5DMm9RGzhtvMzNeinCnbpoduki7NPEQy6y7blWnm3ZmooDtfDNG3
Po3GG2eYKIMPx1OKoR2kE+7ldwc4TAjPEP2ZuXdrHEvZxifygAxh7BEheVYFF2bK3oEjQm7c0wwj
toVusVeRvDGLXr0BxA5+9e5EqtYvLWzvhSe+TeMs571JxyimqJF4czWwHyNWdKjnWV4no/GZiXZ6
7VRVvTb6RuCIHCUIKotCi9oa2p+1HQTbekw1bCbnIsCvUrHTMtZzpXV2PURSDLNiP4hc3udhA4wp
dEKHw38au8gUrfVkQN5cW30uT3yo8nHyGDfwECafTajE/Zxms7sXvYFq0JRwxCssWIHPJUDytl5p
SlD2I/PqnU8kD5U0cSEAd9UdxA1nVYRWegzTxl7wOsnGQUttVGjtledxYcvy4iMfrMNC2ncRRc4H
rxHOWUagL9uaxFToNRblQmO1z2m82eVzF3wMi+7LQtOsVTcmzjroqxbbNe7HfaxKO4fZZeHA7EI0
V3NyroMZVLfmjDeTrsLKX9XQSKC2Z0blUv+r8n2eleKNYj9EnKqJbsh1BhVGNzc/akPqnz3H8TMD
geGeXjpslGB1VLc2spJnOlB02gAr5V05sS+QV8atobKqU25pGCWqry9jWuSgArz+Nuim6eA0NKCt
Exkcimluj2NALEARpripGJ9d0qEM9m6kiu8L0BP7ei2bby7EgZ3vp9kv6RX4NmpRV0fm0mhJZHZe
BGWIBS+9bZvKzdfSo59t3QF7/jBrN6Uy1uiIqtULRjawQPM2YJA39M8NNzifoQZX6ZZPPNlmhf05
GpIgA5Y2Uv7SgfsdRfoi5FB9F1apCLOkxiaQPAOhRs977ZHrhsPW31mm6r6nbcaaDZCkIBEg2yyi
o8nFues99+ZQiu4TN3OAzdstp/hXTJ051twup0vH7UuOSb3xq/Hj8jJ5tX1NRm94ZiCtvrttErxF
g2R8UZbkt5iMz8Gir8OIEPDdyqI8GL6rT7adYhYpfAW/jfytmRUESgKV06rbUBiDO9pas4uKrtrW
YtPnDaqG3YRMyfLJ4afqp4NbpubFHZOcoPvIMwOeIjjefBjA67M4xUBdUtoirHBBGbRFPWx6165Y
zjQGzcBJbXJJ4MuOnpx4jFioQ1yXuVyaCWbjKYHFspM02mxrHgp7x6z7Uz0nw2fN2YgTRpwT4ip4
F9ogeQ/t5VJGUTIvsahtAmJ2Ox180wlftGc7H4ZdG9BkhvEcBjp68so5JVnIy07uJJ9pG1AAl732
PazdhO2kKddNlzyzMYa3GvomUfDmwXfgDi+jmZnlNcxDLqrixfRKEyu+8SAUQB4asij0EMHOnelj
a0tsA4TlC7qXY+ROAS7ZKuliDThjE9OFvE193XdqW2MaczknY0jpKx6ViznasHeDP/5kciv3nOXd
ddPacgfMXqyzwj/ZXUE2EtryqvAWCDeJKKLYBqBlLmcznawb7VHwNltQMnjhuBqCva2bbEVDZr6H
wzU9Nj6BHHsIogtc6l9GTdNcM5Ot85WyTwnC7rZDzTolrc4P0kQesCcFMaJuhz3db+b3rCc0zxmf
pw4boZM7VO62o3uRuuoeJkM/pefMmvYZ4YMVjQzTmkO1v+lhKY6+SY2GO/kHr8WTbhYq4GgCI4/E
Cw+IKrybrM5c9Xla74K+g3luVNvaqOa95SfVqmjke6vpamt17d/0NdrBHJlHek4xXxkfie/uKlCD
7FPktSw6+MjN21jMtwOULuLSz5ASLyy5CEaEvG/8dv6VNtGLJfG4UChVs5vGFEPy0UxGTBGIlKIn
luqZ3Xpuo2EjDct7rpa4o1nZ3ydpsbGCPrqhABUsbttvpG3u0qGm/VuM5P39z0KRvLALVO2VZ3Ai
iMZh+DY78+eEq9bHc7trYE2Nay119M2suwgXbxtkJ7fF46W1htyQOHtr3qomeYXqxyS2j89e82wG
anhqgkZu4y55FE4UHwTzRRhrang17DbYTtiGD4ozzHkYWgZTxMO4zbV58pxEvEJ8KvdJ0VDu1cWw
2pLGRx4d0+U4Aet32lcADraMjb5AUPC18RUY7S4upge4dfIHxA3GxkadI+iA4+4Cc28re3Ru+qAg
4rhqYopFcrtdXs9uMsoAEJ1HhAsr7I8RqAK5E2NWtytUTRdDvYktb0c4gIhjxn4IjPEggL6Da0g2
HdWc+CskoqnfjRw5CfWuWzpt3oKIfuEu9LkB+a6MGDxiFS1bEQ5SAFgrjkURl/2woX8DM1K0zDQA
p4Rv0JyNbWg0nDEq2jzSZAbSxzPuJWhCfTEIjsG+xHjc68Y3r6lBocq2X+hQxSBYlsYuddZkXzmd
kMJVP9MZEmjqa6Z0VjbvaK8F2JcB5ooKA5E7grj3YHVeDz2g5SQSzcr8TsTN9y59rJYjr+zhhcde
3eEZVGwdcsM397UFe469PS9NjMXYxhUH9I0Hn3snLMH5avT7dz8v7E3Ssv2jd6y+8+jrzqCaHHFO
pOuZR/7RzjoepJ0TnpzYQxToOOSTZUIjWCY1X99P1a6x1ZXfHkMfHCXnBAA5sMtev/4JiUj7wfQ5
9n+RQYXnzQfGpPVHV+B7XE+tjUoQOOPtSKMF7RjmMuuZS/9RZryZzF898rx9s/sSioncMkaZqmAz
ZOjGeZHUmHkTSngMyY9YxIDDcHKVe7/wum9V0vMLUPRWgDWd5vsO4eWO/nTrlRYzPvUyA+UajlN7
bL1yusumpdsYg/1hzgZIrrXWPQlYfi/a1sKn2uPY16i4BkWm02bPVo2z/TDkVE/TVE1bUDKjiiBe
shhgvSdVjFGscpVHe0ZINR3XvzkbZ1lF9QfiX0InW4qiGMw3sm07PO+5hHPIswObVhnN1a7HleOe
84ZeBo9w5U2VzkzIZg/xKpyz09d1Z8AC3KmUT8CZMadhYZzv474DPqIIpfDzxbCXjBJ1DQyQO9/n
w/Ke5ANTNov/5bOarpWAMYeNCjYpScKLXVrlvlqkuG4ANCiwZ90C7qEkC/74zne5Anp3ae6RannB
PPUfI1saeDAVjUdg4ja9qIPNVArzFWjfTNDbbY+iXP626nm3LKqKGMw7Ql8UL0TzRCs94juG+RqT
ycRi3pMWTzqu+9hgew3jjQn8l/BEQCT8NVsuolIKZ9aZeVE8fdUHUmLJDLu01XOPueosrTE8KWqB
P8IYfq8OY24dI+YWdp2B2SR1GaewtqqPTHT9UTaT4ax0p3ITukUeWg8cDvgNS9tH/gqjKGMHHELi
lWVinzm3tN8gSfMPCsIqp6HibVIdxNUxozj964a1uyz+UcxF/YGthW89DZ06EWUJjz2SK6bDwOg+
ZnwbEX3c933D18mWYBGL7/fB6xScVuKPdV9/0vwsQTzBQ+5UG57Mnk+n70Nu9ok7MBy0RLEo5b5v
Vb+NKl9fHCTwS10AoGxHTwOs92frJo9s67Z0/PDk5UtZYM/Jx9uULId70/EQPxiLBhtMkXI91khz
Xu0hKXgYftYZPWftaqRB7eSL2fwemSnAUegDOOfiWu5F1XpUinA6xUrB+ihd3qkIR8gTOP/wl6BO
AEdUv1yDrUkqjZBSeEowCYfsA/R8MMQCCg4Exz4KdNTPwOecTHbKml47EkzvkwoW8iAb8hYptY62
MdsKnozYaM5Wp8orvZ3DU2KOwY9aueGvpJrkSXm448jK82Ryk7HZaU+QYZIgmI5KNuFb6i+M0q7F
/7YRFQL3Jq+Tv4C0/4kD/DujgxtQAfiv4gDlj3+yOfzX1/xlc3D/WKh7DkNJ3AToXf/tcgiCP7jk
sZo6iNuLq5+/+isMYP0hPEbFqPCYD3x3mdT8FQYQf9Cway5f9meG4H/jciA38pvIHliOxU9BRyH2
rIBp5j8OFgZs6ckcT8bSdzxtKGbPP7wU9vNqSEwuzhjNik1YpyE8D2A2kQcwKPhxW1xmP3SntWWV
YJvMRP0QkDpuZwq43qWZUqccyYxmYr4K7F0VYtYp5/K98ELnaPqWfdsmPLkhP7fOBTUUgjTYIlKu
ncx9atGCR0F350M7DerWVB9F1WIOwkH/0tNw9FZliTLWs8rh22ZmPX2ABymmVdIZiOuGE9H0N0ki
ViunF1G2rf0m+x5jVwIH2hY0yGrK3enf0Al9UM2E1SmXA3L1ROcMvaAz8dOWw+cWFUjgnXdkyrEw
SJ19I+G8rqY4jM9OKlSwxZmXUNBX5r4DVSKrPuuurt8qmNnXodPmenDy7iaS3fhJ5Ll84+CBgIhr
U99wwmzudZ1GH3YMvilJ7WVnP1DpVtRrHy2NaotgvM70Sd8R+qpoJAymhiFHMYp9PiXZNXCK6d7N
nXm38InY0R+FGGkDb/DDq3KAbu7q/cgO7s5qOgSz1Ck+IY1BDJkKoHSeRTyzT/tHRwPRTbqu27qj
dg7hXFvIIkgWJ6+PxCbVHP6RZUEiMaBoTmoG1IVY7MmITGQjzoFZ2HCVDJ2/OJxyHwc3wzI6WOO8
GjJlvSYiC1/ZZUzHevQoFOdcfh5nG+pGSYKhmrW7HqdwPs+RNXzLM103a08W7XkM2+aGfYX6JaF8
8DzSPZJ0lxO1Vm6Zb2voFummHCWZYYuU6gXffmutJJXAH81Xbwv12d4+SgoSbjbHo/cUsGy+9N82
yMKNE92VAQvpgZlU8sDU3vlmowLfy9njuzGYah8t2nN2QxO7N5ad4oaOhyo+4PlHcdIUGtm9ag6j
ttQDFh2wZdR+vxll1IIcLORPyBSi3fmMj/FbOkhd27Fp5AMJl3lc04lZGa/MFfy72E2whqsApBlE
uTn7dOvKkex4aOiKzLnYSI9Ee1MApuVzzJ4RrOI7MaXdpbM0NDc2sHJrVWNzjsPSBYuho2LD5Vo9
BU5jQtJiQrkxGv7eqiL30iiOqmyji/qakhtLOgzE3OWvU2mlLt3bETNZ3p6JOSTFaiox+U8FA7Jn
Ki6VTn3YEHIy83NpgqlA8uwoDaA8COJKqGhTf9CjcvQp9uL00Iz+nRWkeHNd1FvHQQAFWodoyCRR
bTvGbW9hSIbdykNsomIAIbTOartiRNV5j8PgIZPqxGKU4iIAxbhjry45gnMPn2fv0n++6pi+wpXQ
RCFDlW0DB7BHy/3yEHZAX1YJ1KPn6cuXTyLDTO9EQrec3Lg1qYVHd8aRg5df+KV3ta3GOIxD++Li
Fb43skAu8w+iAA6ZABWV/qVaYgLFEhjIl+hAPRT6njiGTY0CwQKk2wgSSZffjzyMH/I/AwjQ2xyZ
bwWtHxuHnAId7wlxz/hapNwfS5TBJNOg0hN5Wl7JMRrEV2IPkvyDvwQhPBIRaUpap2HzwLCx42WW
2MQSoIhBYx3DJVRhLfEKsQQtEhIXcolejGgnWzrUjQvMUGTyZbXWg/mtXEIb4RLfyPSPtlM3DA/y
ddibnABtJBsLguCOudEz80SSBeRBAgFosSAhQl1ZviXY9GAu4ZGQjTr+9lt/TNO7nnwJM0BS1PpG
LMGTwqweVeIUq2IS/XpcEirmmCn2tktsBQZKcBAxvUtgNXKCw4zfVjNRlwbUyql1upt+ScFoGai9
vSRjrE5DG3FtgS9eZvGpjYSLe26s5zeyxt1FTqO7AxO3srmMbvwlf2NGzOvMr0zO1FR7wyuNPeB+
riayuFf9FePpKjhwARbc+0Zr+eAAEIg3EDvy+2xJAUE4/SGq2DxlSWTdzIVstkZHynbNrtJallmq
KFcBl9+ToJ1o41lehU2G3NG8JJDYO+prvqSStLLa5zmLhrXhAdWwZXLvtUbDLUGeCTZ2R2SEjBPk
leJR5WF4D93OXbmLRcyrTL1x+JgkJutNtiSm8in8iJcMlb2kqewlV5UsCSt/yVpRs71wbv1Tt+Sw
poFLJzXMb96S0fKWtBZew3ANVpySwUx8jnioHwIo2ut5mPSOfazcDaPIfy0zqiuk6W5JhY29S0Cs
xeN/ZY0xzmmfECBr4qJ5oDsWr9eSL3OWpJmHP2Avpy7+dL+CaJIT2FpkwwMXYX6VlZnDv13y0kuG
LVnSbJZl3gm3czdLrutYLJm3PHDkxhiWHNxovXuqxQhsGdljsaTlvCU315PY33VfYTqWwyVYp0x/
je2v3IE6xFztOf7eWrJ4hvLlyetGTRVlMh39nkfklM3+0cgt/09z0X/2yf9un8yOjSzr/zs2e/NR
dh//GJr9ry/5c5ss3T+8ANOeZ9KVxPjOwrb1pxvYMu0/TEyonMSIrlJkg/P4r30yzpS/9sWEZEnP
WqTqMXdZmMH/N/tiNtn/uC9musMsSQQObk28Uv7vxh7UiyBPo8m/KWyOkWvbFxYFyxYRkmY94OLo
G0R28h+I9oVThdeq1MB0W880WBnnHmPxYw5rCZtU1/nE5rcGDQlueAjCwfLZFypQBKLJ5/qaxVAK
xa5oCXaN156G+3hihyoYqbsdgapo16Pq+WflNt1nFo1MlhJBssY2xNqNGazmWPhIaGLyYEasH41g
Bj4/M5xnsg5aCN/9AmWb99jhaQcvJyv31mlncpOIltLkQ94EQ3MHgC97bJtQvqGNOaxK4HOtdduq
tL5h8B6zYdbyFc+NW/EttD9vJ6orkn3NcYUWH10WW8ozg9usKf23hq3oxpDV+A4bA3Ys9+yuGjjD
I4SBXEmVDf6qcmIDQ09lMAubi/yYAol69zuvebU7h+2wVSXys5LBZz7pa2C2KRaUjDJ0/ggvavCd
28RLzAM2Mmvbp45cT+y7+DeObO4HpBaI9lqbSO50pq5IYMliBQQbuKkb+no1Wp7CSTYXdwNJmBca
AghUtBrNexb6Xna2ZuSYLjvuhHEEaQgjOcR5mvzgevDu0wyfwFZVtnELJ4i0r+e3gIVQbMCel0/x
LIBpB0N1ByxXrBXIC8jWQW9fXE/Z3wyarqhdbGzntnIXTR25iUQJ80CVWPNNDsJCMVlzh61ll8OW
pg2wLwASd85IXVfuphPom7CZ3w1dMCPAW7OHdTEfXZoMPtmOi2PcWfXjbOrwOhhNda6MaCj2jGXg
IQ6zryx4PcrtKRhY/fVf9jWYVC6GZ4PzWCcmWRUKNZV0y/aUIsqP5Ym9y5hXG9GHTSp3rLI8OIAa
4hQYqbaYtxR9WObn1zLxnxX1366oeMT/5YoKYnX4zPQ/gAiQCviiv6QHeKYCeztKwhKv+JvyIP/w
kEVZZvFJB2xKWPz+XFEd+YflglUxCVDQPWSZrMP/d4Wlz4B1EUmCXr3lq37DDvwrDIH1u3MSAyrx
D/z3jkPTlP27BxZxL26DOYxODLRpbnYcS9yPFrK+M5b9PmkE2pf5PTVGzo0NsC5in4F8IJDQH1pR
qL3TWM2evTPi+9/exv8phmD/bhHG+ej5PIlMZFGXx89vmsjUoTZmduAfhYJDdCvZEN8GM+NTdlKh
l62sgdpwCxvKNmmxEEWc1oyaMX8B+jz8EZSlhUbvBU27rbUoxLe5Nhgkx83Ys2B31lsRE9ZroSbU
CPXKN4JNjsvEvOXQE3QGBLLeCA6U6c4b18xKuAVWPrrkAiuYsO1zrFWEm8vA5cX8Pm9IOHe53sBU
ZrPNsV2eAqz2i7zBrL6VDMiGmKJoOQbO3Wz5w7Os6nw1tk2hVqzgOVLPmDbfC12YtNU69H4qJm/p
OonZebK5Zae7U6Ed5yewfHm2S5SmnyUF9HBfLgYgzF+kucKXKYyMfZvM7amJUms/DE73mZhxeysL
b9r4aXcDyuZUg6x7EmUygZ+Z9F50Qw8fK1anyVDGJhEzKy5DcP/auI4+l1G8M2grRIgarOoB48+b
6aTdykgAFG7mLI9fKWbCDGwO3ngxOFPfEwckiy5i3W0x9EznSMyP5hDlt60eEricsgTQNPpWtCOJ
435vO1hhso671eTBUeTJbCb+gxlk9YNCil8XYVDceWoW8Aud1souxO475zmNSNRN1OPdznOzBVnP
EFPm45PmUEydFWG0ya+9PQiccleLHsub1frDunNMf+lhsg6TE+JnnKWxcmYTQJ+JTYNGgXGN096/
511vbmB6tthBc/MU0dJ2IhAQnGLck9EmLM38te6t7qkSIOyb0aLPNRsMihO6ZIYFYU9nR5niRyRi
f0cAstmiLUGitFW/zrVqt3ZS9QBjY+Xu5oYuo1Wd1fFHxmVP51Y7rXuutNXMqv9gCmAzwG7UjTd2
w5ZUquToHedbcIB42jDV8Av1DkVxRYt6NjNhbJOYS5qS7nA3qgw/0kxA+NXjRdawK3mWBnLYenK0
PuwojUG3af3Tphn+0pBH3wTT1B6IxiM29nQRvPEkpj8y5LB4tJWftptqdHTMWI+4+54nMEqS8Lou
WNlNIWy0oyanzoGGnk0e5cySOcgYT97ULcNBI2dIgkp0I2uPeP7E+3hUcKnwTFp5fI4yv2RuDQLW
ceFarl21tFooYK3a9tJVGYTuJ5nMERpYPrZP81iXZ5mDLYNq1WQXD+WUEi0JdjJIlrsrDhqyk+w3
1B56vgNvs5fjvShJSe5FVvnHjDSmjMf5u1DztA3Hzj1Kf/Gf+FAgCQbA72QlHN8oaw7aVR34MG8L
XBjWJmMqTagSdKLGbteKd1Jqcth4BPwBXYGyU1fUOPdInxONugBdBWFM1cfFWVeit8k7KXWsIr8i
asAiAuOSqTHYEeafK8VQ4xahbbz3W4U9ilYQxZaU7NItBp4aUTGIaQemCduAsG8BoKjb2b/6LAc3
RQxUCxZFXrywEWroDHb6ajvRrH6h8K05GxSSYwZZlKlk0agEW6h8Yw2JuzEXDcv/krPaRdlSs9de
RjuO7xJ7zJ7rRQELFi2MFBqsh3qEnPwllXldln2mEc1JtHIsYprhtP5dl+jceIU7g9w2Lcqb/SXC
iS9BLqpbv925i07Xzk5z0oU1vsHxRJ1d9DxrUfYmJD6MLAYUtEX3M78kwH5RA2OpUkb3qn30nAqx
MLT8+H7JCn2rVJE8CD0V1qFru+gOklNNSEf3WY6JNe7eK0rEipVLqN/bt4tKGS56ZdzIhvpra1IX
vAMK8ZxBaUwMOuBom8HUp451UT89BZABja5Xv1jfERONeMQ9ATDSNyTfIpLmfAaY4OxSTQ6qzexp
2yyqK2vDdMS+H74CBbD4g4uOdZ6bPEODWGmzWlSYGXgp0EnkXIyW4mx9ibxC24vg26H9IrIgA6se
NklPGuLrY6N+Lr4pOE1Q4OHwSypLbLE5fKYOcsUYYLPMmsl5QcWrj8Q2xJ10YtwSiNE2ciYXopc5
t5NRn9OQpX/28nOkgxClmq5VQSwdUOxE91aBl8wEw11jU7tqD8q4y8GBL5gn+5YWQETWcRHMvUU6
h6ptb4pYo5q1/JEEpvGeLoJ7azvTjes1WN+6OkaQ96T6VItInzme2LQAEPbLvuR7voj5XKWesyaK
jcbvfun9epH+O6C5MXK80944wTI+8JyYOYHVzcLdDtoA1YOsKJ2dbo0ELB1S44uf9n25bZZBhPs1
k9Bf84mIxs8Qiu8yt+i/ZhgBrhnO0sEiMH5NOYZl4AGrPXthC8fHBQTUTdWtQT3Zgzb9x2wKvX36
NTtx3BaZFW+Yc+m+pisIHPZtyNwapT+u3vUyhumXgQwTCj4vwLHMaQwnLd8dOCS8JmMcexnomF+z
HbGMeYKms84dyxl30TIGwrfBRIh9F9OhPIA7uCKzkn1QVfXWGZaPNYNg7XpMZX1K0bTFirvOoDSH
6Uq8HnKmz2R2muIBwHh/rRbYkrtglyZsZ85mgQlETK4BMw1d9xDJkYc1OLgLrGoCfRW32Dmxfcvb
IDEhLI1uAv3EK1z0XwjDm3CBQaG8Nt8D2eAeamdDnhCXIA7TZwWJHbyNpM9jhizVLpCp4Is3JRf0
VP9FoaqTHH7PZGAZXYk0VefGmjEQjl/8qvaLZcX2pP1mpwvhSn3Rrgjeg5P5YmCZXAPhVi5oLJW2
PAnIqpfNAbq3O5E1C2NQj9BA4MfkTvA4Lait6ou65dKTdBO0GQttLBcMa+Xn6aUlKToR1RAFYn0w
vbS2bB4YJoj3JgzSfeWj7q+yJANWYYULuUA05b7pWjAeRlRgaYutmUdGQ6YEo1Nt3VEpGxcniiol
hCMBir003WSdmxjI6iDNzcWfaqyADPvmZmLy4eAQC7RNpdN/jnX/P2Xntkm88W/nkX8qO798YCj8
KH/8/Vj35xf9eawT3pKOFyaalMspjcnxf0tlQoKeMz2OaB7aFSe/v5/rBMPdAKskgpZjm4hof53r
xB9LcNfikChckBv81f/iXPebbsa3R6czOTvRmylt//fIaGkOaVvEGfWRkUVVacio7hxNkX4ueLit
o8jz/s1x7fdzJN9QMEA3PaR/SAL+b4c1jOgxO1FfH6Ypbe9Nig3Wvj/+O7bj70dCvgvyJBN810Na
/KfTau91pmo8Kis0VFE2QFNzn1Ut4XRu5q1pjDlIlXbcMJMyHjqA589/uwb+pzOpRE39xzAcp2XT
XkKjQMZ4b3+PrQ4a/40WPdNKOptIZIBSygUmLzqQA4qG4vZE6VPbUUoqyFXU2PYXW3xiJOsOY8wj
4ykQsBX+3wurYYL/znJzHGpjtgN6zr/NK10AlMmNWYGVS3FeeWGHYtcHWv9qep09OGlAtAT++yFG
xWJHDv+88JHrQrrU9ksejc70yGLQUzUO7VoAHOaD2UzWkw8j9triqX6y8W/e9c4QwvPo6o+ggEq1
5oGqfzHdxwHGcOglH9jYd+lUnkPLyNdtmCDAjpVdMuA0q/c40fUb+AO+cJwSee4wEG0JS4cPUhGT
2qiuNqsjb1VZsG9AMl6HhI6dPX0i/Jqm6GzOXYn9pCuNXWeq4luvmctz5UpGgdiLgOeJpL2vcsWj
SAkO7SBwcOj6MblAZ0oOmODGDaSA9pQNdnOPAZD620FMex+m/hEyGT+O06uXFGfvS5PO/iOfDiMh
wv5b4PL5eoDB96kZza0jYXENjaV+jvuweuP4xCdDD4B58EfJPTTilHL6Up59jpoHyqj0r3Go9bPZ
8iX0p3XffMqtzuEUuRTk9tbTQOrhW9qP5XmqKnkuioB3BBmTya5bjAyrfEDDgLbzetvVIcPwUtnb
qrGzh9qPGTqTu1tjRWg/3ZD/jTIoGZRmUQtwIM0Ad8cdGrZm3M6B0eu9nwz5kQlofdWiHnlgpFhO
O6dsS3YQkA7qLkDgnUkkCdIQe8MKs4eIKifSH3FzJcbvEbKK1M/M5CFV0qy6K3LTZNGwqvdkatRL
KKv5IhvFSwH42decxlfWxG8sR6O+hoiwEAgb79aITEWEhd/Fd1NJSDQu1oqxMLUdcal+ErfWe3Rc
9zZy+SRCJQPK5Wq9ocEEbBzZVt5Xus0+iL14ax7TKemfCU8imeEwfPDNsPkEEz5fyjHWz/ZYAO2v
uBnytsl2SC79DzP1rScOH+MGdgfmV4P3Ft69eUDU5q1eLtEc5vJPjYSwm4Eo4dOY+SRcv9J71+L6
59Ffv+URvch01L+NRkf/QtLSNRn8wsltqlViFD6o37CwUXe9dxM/+yJ+DC+RzbW5so0s2dsmnlLX
pZEnFIowiqgJd3tclIvHbor5oHxh9FRvu/VtTeLsVvajdztAq38qk65+GzwffDc5he0s8PDSc1G9
O4Wnb1LH8B6nYEmUGSlGvqAcq48Ir1u5Thz6fLFoZJuvXy6IuQkYyxsPk65LiFIU9l1GBuPfyNKw
ZYU4T8gu4v2xeis8TXlarP3RTA59ReHpegqnZO+Bxv+sqRrjYyqygeZlTtKvNEDIc2pq4WzpJW2u
vW9Hgf0tyCSUoTdVlWP/mbSD+5ZYZZFFB+XMpXtI+tkot44J8OmimzH0TmPkDO4D3HG9atxJP1sB
BtnKX+o8LW9qAVfMtGgD8MCDb9uSOBt1EhhzyutQcWDpucJOrpHd9WZHNaWZPxjecHWLutixeffu
Z1y4K08QJmq9iFBSeMWBT45RcBNF9hwfCzt77mB3bNkND9vB1d+TgIirq4YfWWwDMi6jTzLvMexp
P1qV1lCfofqPW4B8E1mdqP9hJV2zjZIO7n8T7pAirNM0Z3ID01Gsc+HBmqqj5OrOLj5uWSu9pmLn
5KfBychovEzyBlJ2TbPDkbEbqoQxEbDA0gMjMOPwWeT5r6im6m7lUHu2Z+qr18wBHjSFr1u7MORN
Gkf1pfPTkaofbtgmLaybBNb7dqCIAYIDH6RtKfNokgk7FAKbbN07AeN6AyrX0jOocJvsY1PUa9so
zBvaPORhiKxHp6Di0UfLPFuldPKtzXv/2dXj6K+95v+wd17bcSPZtv0i1IANAK/pk0kviiL5gkFR
RZiACXjz9WdGVtc9ElVHut3PPUabaqNCZgKIiL33WnOFxrIi2VGHtuXdcLBVirXfGnEARwj8W6wf
BAH1x3gMLSw7IcMNL9I5cFFLhPjY72MvZs9jAw92A5KXFbCrbpuVor4HfmOtrE62uxgpOkdw2IOr
MJheAhgRK0LqplM5xSgFcimfQyOq/LWYxLzHfYpxwRfohBEBEgY+uA6Nf6e+43SGD6b3CM5QrK9g
2VhE4FYib2lXivfqys1bdcKou9CqNe2jPSmkHUnCW9VuUerWQM54ArEneRdKNNPnZXSydZNhigva
8jDmG2cwKpxFYnlVoFOP9lwsD4oUiphSNDxMixceiz6ab1PpLJsh6usLSUdoLey84HGXwyonzxSn
JY1cv3Ulh4PZIpapGVFqqGBXG0OxNbQHekRQswHdkz35AklfYM4jTcWZ7INwMHb0Ait8HsVdbhns
5ehXj2nq4JJyh2ETw9d7zIPY2ucpTzwE/uQYDBMl0hi5VxXZRrjxRuO+IIng2qqX+YJG15BjuwaF
S70MyMyN6+skWvzLcGJgtXbHEQ8RbH4PP2cir4iYt44qKbD4pYloTjlpvM891ZlLW5DUCVqUlPfJ
jE10nRFA/qcqNAcXpYAglCAzB0J/avLHC6PZ94xGn4lfSHFgyzS7dFF6vRVOJvA0t+5AJr2FEsp7
DgfTPIyJRMpD4wSnB4xgufMTb/haZVa17vJRnwtUfTdNQDNFPZDfFdAaOtH/BBMfzX5GCKFdJMfG
GZrLsG4rd91Q0tKYr7z0AF0wakkHrbyb2SYca0lK9dVWiK0xrc5S3xuUxPqIlGUO+5C2vWdeSzfS
xp0dlKr7Bmp0VDQI7UruTNmy4ShW4fcyz9Gvz0Z0r7Dm8g7g57/0I1NFm9jT+uUkJdIVNNXNQgzL
vYHoia+bOkTKUGcGm5gB/rrgkJcwp5jU1wmuutomHjfJWtid555T4V+Hrzq1rYfMmttvKvOzYGMD
PeWcXGAeIyaDGDyOoeLTRG3cEtZV1+XWpiO1yUj+OgL+KC/zZiHYyGyBG1RMGbsmQ7tZKHx4m8Rr
2dzDojLuSzI1HlMbTmdccNKAtayu4+X8KcL6yaGBl66Q/OlFGaf8e5dxJklDn+NJWNfWLctg+c1R
oho2BoAUdm2gESJmIVoVZL0irFTzPiEh9pHUHO6dVRtBuTaLZt7HhZhPJgPybdIP4yaO2csrDlvP
jEvhaM76+BuK6tnvpvyIv4+csNi1HoJimt+DWaV7pEEVnIU0xEEzYuqfvYjQgAqY31FS6f+Oq/JP
NYQmzlAvoWxgBfpR60vzQFZxbHSH2LDriyhkMeQ4TBB8zZz7DrUrx3unDjYDN+alnZsAdSU5gpu+
835X0HwE+VPC/PVJUETjkACT/uNn6SsHBWJWdwc35eQPt7j3bnxBfnDc4XiYXQ6EScgv28XYHvy4
KmjEe84BM88LSYo8mCVd29YZ5lM5qvqp7133ZmBS/3nkxL37dfWlQyl/Kr4QSmtlCfmQqKV//LCE
vUh/MJz2YKTaF99i65kVL5ppZXRme546tiIeMBjP1oPs2mBjsk9pa3b1minOzT4W2t8whM4D0h/w
KJRtPiQx/aF8SG0fCt8YJCo6srg9AHXFnhriHNq0KDkIajWGfdP0yYalednODmANGAOcoDJF8eon
+jV1B3lPzkN94eQCZEbkVd9offl3gYjVltTD5RAZTYUCoPOMza9/Ts/6+UEEvxbQvKCodsRPNBuy
d2EfzGNzmGr2NPqrKtvWBSKWCh4Cv2U5bsLE8d/B+gwHMD7gsC37NcjUl7GMnW3qcVwyPKDevSqq
q6Gx3edBqfIqXRx5Ms3CebFdmUxXKlblcGqSJMDTZckNva6FBCZe6IKl5BCHqXdjWona0jDjvJoX
4SUHSPxwkzOf3ITTfFP346bSK4zt9sb9EDfik4EFA3pLbHoru3QhdDota6xwBefesYLvRmr0EcsO
Z3aKZeoS6JnGCh0IT0gDNAQKgD6rT+VS35V5rdeUUB/bJQd6ZqXtymUE+cl1pNqSEoRACAX/Zdbj
00NFSM04JMOjpkUl9M7t/KVxeikuunzxaVZGY8yPlCK0Naa2m7ZeLAly7JUT5RDDHSYDzdqzOwO5
HV+otB+ryLVwnzpKHn2x5PGRpnO6IYeZ/yLiQB9tzBa51TpKBTOllceJ+xQSgPzNz4nYYzfmTN+Y
SabTXhK+cUwsE3M1BLqrfOIo74NlWRmk4a0pp80D1TdLLNDkL2ZGqYlHy1u3HjSRdREqzGoNhVuQ
uOrrnPVy16Rduu8HTlemHHkiscR1m6QU/WOX5i9+Q/0IKUU9B2PupORiaYCD/u1CidyabAJNXfQS
477JbOeImJumjUMkdSQTFj1GSfmxw77/OoEzeXXJV+e8n9tECE/cT6cLmlsq0eByrk1mIyNFv8jL
9ksJboUwUQsfw8Rq1OnarmTqRSp7R5PcXfIJxwQJizuLEMhj02ZULaXvrDg7+XeF0/SPpgUjB5NX
9eq1DQY6lwpLWVTPGyJs2AE6IqLoMNNQIoBBXeP/JOSFDnL12kUluTFBR2UUuUwSSDFceEdaPPMW
82j+R7wH9Rv5PvwqBdmYLdXhiqy85VAm7Im1qunKMbWFeRzqLTRBh7zzZgKZ8VDWT+PsB5fWSJuF
+Uh4GSOhvEhnv7wUiKj2DRvovgRFvq6CcngM0IuQaDCn+0B3gJgxqutC0h/yU8rkYCyXd2ys8bJN
g0U9E21+O0y++oqhlXLb9Ai1Ll0mryMxMohSsEoZ+uCsP/XkajhIkFY8GFWu74EzgjLUr+qk13cT
Tj5xbWxTXj31u6kpMqEjakmqGVI6I7p4TSeTAj6Z3PrOLBvuTJVxFDnvxQQtlpHu9czMffBq6UMv
fR0Hcy2NVb5d7s+nJcaDNg10186Poa2n/TzetXmYelLe3JiOh9PO9d2541M6PD54M7ABWHROkOvn
R4K4UtRaHKjyQASXfUQQxrk9YMQGP4NbU9nScOSn1428JQ3mnVQ0hMiqekcbM18tvG5oeBH0R6tx
ohcWxHSvTDXJ+1q5E3NEfG/UKRzJ+gozbN0PNOfKjlscj4y2p4VvZAo4NoxteAUrZu4PdgS4itaO
CcWmx1nONIN2Bo27cVsWvDHxVHg3thSahWeaDY2voQV20tARXFxZPy2MmXJUuGP9FiPk2wJQmT+X
wDtXkd3kR0M3V+DDsKxR0WO11Z0a7bleBRw1AGAsKX+nwqbZUy8scY7F5c/9m/MmOUl6t2WVuJBy
jD9Nc9HHZd/g9uUFh6W6NeXur0cTB80OlUB+LCsrujetvLxUlS03tecGl/jm66fKooeGn5qeWq/P
ymPhaO8IlRZ2xY7F3bDbb1UeVi9TzGGnMevwcvRZZ6uRNItVwjD9zSwdboiUKGpayqctOXW0KjBt
XurnuW70MtxGVQuILacjGaY+Z17Z8MfZRLH5IAR9SHTXm3OJ3gUo0F6sgEfCXfr2W1/j7EysKL7x
IZpBk9LPD7FTB0odmpGCrwPSOj+ej7cB7qNdLEt5XyCr2GnOzQZZqv1w3husjhYwOIPkxmfJp++k
1RGozW/82GCUHI5hcFmHHEPqWdoPANWGdUho01rgoEA4yI1PRGY9KNKaV2nPjQxpEB/n3CwvF1wV
lx5BksdC3wNY3Oq5JaNF7Zql4nA+WqxmgEge55FjspL058wqtx9gw7HYso49VW2gngGu4vvVQWXn
luDQ0bQMbDyUMVpN7K8cP1tWE7WmzJGkXU48IdXE4QRt96rgxd53WEgOdZXzUszmUL0wJ6RBPdIz
dtKIUqHj4OyIetzYNJcJndQPz3mZnbRWhM4R4DAEl1+o6mecJbb2gkFDoQvVOGCxaNp8ZkKNkxPN
xAwxZuDHNFnekoH3SMI4+WKKQVHjOTxrBl6XibDaFzufivRYMla+GFVOE1EvlY7Jj9IQP3yzBISK
5mC+6XrBg3LqkP0hoWXCO9nQnS47DMTo+KwHp/b7P30Nw+r46CCbUPtDf6EIQR+qvrZFw5GjxsBy
JIqRIkalyQ0ks5dh8PjVICY6R5QZvCqD5DfocpNqaBjrJ04lMLyR94Pzyc0q5NzSe+k1RmUW2RFK
wWNVRZwg54E4vJ4bPgdyuZI2LfXzfzy/mHORscUYQITePEJO7xWbyrFcuul2so15R8xcCi+h4oVO
OVXGvsciM3g82ShvF4/BfrpcKbFQkY3+vJta+d67SyVAN1DAnhvFmk3j2lSmcN8LyFg1JRmK5n5P
I4FvPEIAzMZDH7jPgCjAsOtJDJEAatt7+HdXEsjHRRd11ep8XP2vAvU3ClQb0T2F0P+t6b96bdvX
t6SHQNK1P84rz3/yX/NKEf4RIpa00KDR7UJRygTvX9J+39GhV47noQNlVOg5FAp/S/vt81QSxT+e
AO2opbz518DStf6wSdAi/Yzah1WIAei/MbBkJvpDbRdwBfC2DjJYLvbTYC10ZkFT1FDA6PP3hKP+
3giqSGtGxr8epP+TOv1PV7JNE3Saz8CLcvLHKjIv3dLVx9VDYJOWVZjqRZXVtEIU0P9mJvpPV+Ia
OBhcKkQ30P/7dwlfKKGipUHRd+hGzKBRb960AzJHUS+P393w27+qze9B2v9wIRoJtguqXfC1PkLS
Bz+ndGkWmHK8zzKX76jk3zP+/T+5jAfL2ueO/3SPOkZvbeJNipp0DLdhwHBR47vXckr/g5+OZzVk
Sh/qfLYzm/b7n06Z5FgnfKMBgNzlBOwPzJrNGbDMfvOldNPg+/qdBy8QzA9s7hN+lY80Xn+Az4gc
UB2SEeiG6Of7OZ4eLWN+VAM4iF//groZ8NPFHAC1cFRpYHxkucPsqXg3K3Wg1UiTj63kkIF5IRIz
fYUDChrLbZwVocPdv/8oBsJ10CRA5BYcNX98FEVTUQ3TvTzQeqg+9bDrV15oyEcj469+/R0/KgHO
PygtEVYFHPK81T9eaumzfk7pKh2Mvm4OIPbmLarq6NOvr/JPjzxKif93Fd3b+O4B0QqLwWCodzDC
yYNzMT0OBd4IFND/0U/33ZU+/HQjDPOKgTgPSN7PGzFlrwsszvX/x+t1Zs//+HiEmKsIGMQw4Npk
w/z4paqo8IKiUsVBDTY52OZgoAlU7O2LW8xYa03i3sLGQuPseQezmaoNKZwk19RueYEuAuLZSP2x
JR+vXzcM4t7ObWQ/w+yvifi73pfvIDWdY7xYw5Xy4SOC7GvFyg7pMVWK/wvSumJLmW8zHne8gz/V
xd3chPYX6dvV0SNz7WUoOKCMxeQdIsKVV9UMLmTMeJ6lP4mYhivSthVNNzqYNWdLAtbKbS9z4mo4
JX3qjMy9IEl6fKsjVnmrE3x2YXGVzK1OcBmHbJ345CVvZzfHeSATglixGK4NO3Rfi4gvLWH07aow
VjcM8qpN56EWoa8RRWhrwepPtLE7eGURJ+PaZBqW1XTUDTjG68Lk2y0FCxc8zm6NOMFGQMHiksRp
uRWCLQDyrrXr4PJAwgst58ItOEZmnLBPgPgg6Rccd4IQci+KcPtLnAzeaYqt7CUOqvxRjHSU6tZR
z7Uo7C8R312t/JHeiCrcfuEzDVG+SnwVdijhZt71SbjUsySk5o/tCN2YQ3dxBwume4n4aU5JVqsb
0WfvpsU97TNhfyGL4n1qx+hTJ5bqOOqlMWnbSkfc0S9pOG4C+ArR4d1mqZjuM6i7R1b0bo00JN0P
ce6sOAaknEHtvgScAld75fbMKWMoiZCj4vIdFat1DZ6UH7HPvZLJ5Ei3/vzY520MINWMgkvgqOVW
IkD8EvUJfCcX2FlRq/ghWGxdovupfAkXqC9FTSpwhBGdEX+HPG9N9rjI9ylTQnVl0VcKNyKJhqck
Uka4ZWDZBujfQNKuBB2DSwNO0JfAKL0HpjvFO/Ld6oLvOG9Lpq6a2VUf3MwKHysEiQ8Owrls7XFC
B8uFPEai/k6GatdPNBWbSTkr5FLcgi6aJGBTINooL2NpQKsT4WNbN7x2Llyl9eCyxS0Yn6l21ECw
Wj6q5LErjXjY90GZvYYj6ki4BcMVUZloetIQLGU7RBPn5nB4WppF7j3Vd+SYG42d7jLleMt2QbxT
r5Akj/0KVJj1dQlV+81eeLdcg8HfJh+99vNAMsMzgT/eyZ9z1lAaYR62X8O5QIyWMgQcYY9akjvh
JbF8qWO7vMD3UdJAbe01sLh3CpAQ3Q70Zj4INLO4mDfG3FKPJMgXrmPMGVvcGOE+w1+96h22Pkzv
NM8CKnAPyvUnkCCwWhM1JX+WKvQOpRT00wTJl5eu1T+pdsb8A9OhWYU9D8ICFfMCHeh7iwxpVRsd
M0gr34dN/GfXN/4maUm8q23kBcPXPplTEuYEbaIIdh5boX+X9LyUDJunLS2E4WromnAbS95z7HoR
cB5ffgnASZ3McNoVC/V5vEyqWxejbCXSS0yJTpfzULMqTrdJjqikJDv1xuFQyZiOt172uHMGAN/0
ibN5uzSsbjACh72l913l8r3tInsFXhLcBAStY+9ugztn6KzrCrHMQ4Yp5wIOCldjQX3pQ6QTZj5X
m6Hk63vtwmtElmp405X9+NYaDfC3uGXNSVwZ3FmCYGvXhOrisVA2DeuHSAz/bknBGNlNM28iNKPg
ap0+uIsq2dD961nJzictQJo1MNWihwKSsYjZfbURI5cmbbA5pG3QMea3xrfEK4+qzEuYLyTdA8Oi
9E3zG0d11S4ZnYCbUKibttbnapK7TrmleJioPPGkFJa7lkTFrdIopJcgaLScV11Eas+dDKw/TXgK
mDp5Rjxzsa5l1KXXBIjFu4GQFtY4ThIrw+i86yz2di2DlvVQNfhAnIUVsavIpVxE9Rk5UXiz+FEJ
EtRv1i42/nXPHUZNbzbNIWY3eBhUTKytKEtSDfriru1Ze4yY1WMMeenlQJ7JgFR452QeAYrlkF47
kW1+DS08TLRaOI9W/U0g2/zQCnPYZ0kV7oswNq66Jr1xyLJ4MrKsvZmnpLuKsuVLajoj8hVkaMFc
pdgzLe+wwPannYwaWxlNdJvLZ58s8w0D2PcqjuI1CJnPvM+PzWDCyQwqiHhxARzVdNSNO6OBYFsE
yC/cr4ZHVqLts+mBZaedliZw10tW3qZkxTGLAMGSaYGBW7ilxHjqs4VwW7XD6WbtqL2wNosJ7U3g
lrgiCGo8FLbnNnua3SubViyJvy1BifS6cxazjCKPWDS4qoUOJ5I6n4QsxAAxHYS6pmigbtcL5i7l
pAWDUHBwyDPGulipwv7cFnZxMdYO6Rd+Zyr6y8gV0OX3m94qZjunDTZVvjjNow3ejs0nb1j/Cn+M
7mu62SMDgiwB75AORXKB+NxBRw2YawgukNVUIN1F76DR5yze9GK1hI3/3s7EGq4C3MR/Kg+hDQGO
/nGih43YcA4b3anxTBqOE+v6HPgS/G3XdN0t4AIk6pnbh/i5gjjbdippXCanvUUiX2u1L4E0JYqi
Kf80Zs6EntASNJo4XCN2UP48XJQ5TBSYf1/doIdPnSEgmDHvufAZdrbg/WLhGO6wExlXsNQNxGg+
eCPDtec976ntrKqMaXGP/P5g131HTzx6lYkntz5EhK2tRWAoweEDdvYEiAjIxYoOp7kpXbvH4QEz
6JrXNX6LSajqV9JqDVrQIAmz3DCO6YQ1cufHBeubK1i+yfTrcRr6eDBHN8w98lKThgDOEb1oMHu/
i9Q4j6F/OIxqsW2gIVceI1fMpj8eRttlid2+NfMDnSnWG3vEFBP32LeChnNCx9HyenYMaLL2wrlC
hk114oX3Tp1ToE6xwt8Vaj8hsv4S/6KQpkNBsavrju9O/H5s40hhCT00hfXYm/QQJWvq6AMGy/v7
aGab+3WJ8VNlGJoWPDCuhGtCUw1+vCBKE6+IaSVCLuUQVkZ9xAbFdlyWSXUy3Lk6/vp61k81jb6g
7zEogHvgOMGHyqlsOOC4QuYsKOALV6wSFUQoQik2iLlfyYQJt5IggRvhBePtedshhcQS+8QerR16
P2Mdydx7rZZ62E8t+/qvP5/zT5+PbCBUWFr3/lNRrqaU4AoI7oekKNwLYDHFe+XgMl2N3dgCGIb2
Pm1hO/EiJZnVXWuz3YpsTUSOFgdtZJSvHGXKi8BG3TDbVJ5tqpAH53PvnVwbEXHZZA0d/TaEw10z
L+iYiIPMYVV2JgrXresX0SfHNd1XAAjIZkL+ZY/73b9DO8kGHM1T/mimafZy3hXL0gyD9bhIO/nN
b2Hpe/Hh7cBJJnBoC+EhKvvwcMQ96lR2L3noRKaBum21gjVMkofjPtXgWuFTKYRqqGh2HjxKQru7
i1/fjp/qbDzgoOIQvHJLeEw/fIJuFiOxr4y2QurtvYfr9kQcwe+WgZ86FlyFRoUtQOfZvv+xEdOn
/RCJskoPwuXwLGIWrlIJiOSoWOKVkBWgy4zigQnY8PTrL2j//BtzREFdEZCyhVvpYzlMPJM7NPmY
HHAOxREjPDRSBqSql6LnaAw72ZtvQsMLdU7noyQKFX60NwLKHbx43VUlYaWst1hzapjODpIWxXES
s92B8zfDYCRj32rS07ujEbUUrudP/99+9e/61TCoaZH8ol8NxE7/Q6n0h271X3/ub2hC8AdBZ2w6
3H/dExb8Lf/VrQ6tP/5qUtusT3/zEvjLv3005h8WPAVA2Rg04MF4wb/TliY96sOLTiuF6DUWD+E4
IR1WPsj3204Kf8OT5E7oSHbwtTEjbeaVBNdDY6VU6hjydbU2ddhWp48XzPXcFX5obWWo5s+waShs
SOFFb1JJwcg2tGbG6TKyGXWlDJUwsKnnRckGz3abpf1yilJ/7rdlq2zGsgTOhD6SDV3SQ7ACWC6v
z2p6tHxOv65TtDRN4oBczVxH3NcGKcVNxvAqGEcaR3oEfxbto4mNLioPOT3QJ6awfEyEMPgA1asT
Qv1lT2JORY15nPs5s1YicQ36hfms4r75ZHEUx9iGKdtazYSn+N+G2InFbgx9w340hyhOt0UfT5Cy
aNh4z4kZcpbW484uOVWdI1mcR7oD420NGSwhEiQY42t890mwq+RsxfeE44gdyr4Cr3aKaS7Y2e3Q
mRsIyo53tFz9/4yZ6ftPUyMVTObaFKsYBQ8QqzlpCLMhd5CopTEgvoXiGLRAihRARIwB2ErjrwV8
3JvBn6ttxTgbJKY/AyC04jp4WvqpM7alNU5blHZIrcWy6fhPK8RDzNmyerj2gwz0ujRj5wBl0qJw
o0M3RrQtmvwOXke+L5pC61ODnPbQTjUDASZDLupTU+ANdmtF/gLMOq+Dac++llZrYw6ju4F08c9S
efLJ1HGUPmlVa8frEa+m0vvTKKfsPkBBtGJcWW9gNpKug5zh2KHoekZqKleoFDgl+E15BDvWXbgR
xwfLyu8TDrd3w9SVxBAQKQMAt8b5MQIkq6AihDP0h2YgeDsM26+eHt0XyHE2E6Pdo4wFPcCxK06+
mbc4VNxinSxp/rka0AzUhpXs46kK3wTyaHBkUZPdDoaoX+PB8rAOqNm8DucARGeXWcYFghf+FH5r
867RIk7wi8ujY+cPmaGA6yF0I27alW8pu+2jCHipXDbRHfJU9xhL/PuintDvOISGR0SJLHRNtiFB
kjOmkrh7bRbCfZa0OVjJ6K6kGk+Dm3g3OfXfzhkWzvNkT1aHJnblsQLecIVq3Hqe7B6hs18iYrdH
YASZRMDgAj/u3ap9aPsqvnFGrzpgkHZIp5qn6xwv8KGIlXfHudu6pm2VkTedZM/c0Xw/Tb1z6qsl
P/RliVZscfM3RTUbrSMQecQXOMstUYPDZdFx9gE0Du8uUoF/P2cd0RuGAT/UwNV0FdAUhH1pCk5V
Oi8qn5rIWKkgTS9K5LA3fdC3l0PjpF9AKTDBBhtqXik5pODbZf3QUw98SlOhLhwSZLYGzqznyp0z
ClXRnTqvgqw99X52gUN2ITerSMBqmMT0KTp1+24x442ZhcGuqQfvHeJbvWdbnr9MGRKIOCRDR6oC
tVZ0xQAbrVmfmJCcvWlrlfHRDhV5D+a8jkIHkIXbf+vLEZCFLPODGU8AOeAEbCwYy/BJSn9nJ+aE
kU3UXxFx9ieTZB4gWtR3onTHu6zyEJzLYD5UTe/cRfM4P5EEvLx5kTXc8YNEN5ABSDDwZ0t364oN
70lHGNOUoconnx2HuqDP21cwC9Im33PbeVsM4M2hL9U3FMndfkEEDHIkMp3tJHSqedF0t5jBOK0O
xaw9WEOCYMaz3xc7ARKCIbvnUaY0DJGYIgAaruiX36qhC6/tyo6f8H7meyT/9Q7tojGskC2YVyKV
5PtAIb82yIq6m6eBiFBIiuFlVekeWT7d5HWPG9niRb3o+5gyFuVVQfRjNx1TacXwWpD2xYHQYQNO
edXX3YphKksN7Z6TIbzswq5d65OYC89emwwe120t5rckGydY20ZA2k7fZtmBLNb6q4T5N5kZ0Q6T
DLdRXdkvGbqOYw6CYl9jlX6wmgzbt9/516AoKXlRPaK9A/34uS3Js5g8fwFRroxXVfUmO5o13ucp
QTzEprf+ZTmO8zfEfNkMp7imdVh64wVG6GEftdZwTW/PuUDhV4LMquvHkZbY7aRjaVDDLnsnnZI7
djb1LHSGTdCV/vucyi5fia4FuR3G30Y5ZVpWEq4iGoQjTYrTDC1ow9S7WxsAzuQ61AE6gSXJ0jHb
fHglwdkCKmGPsBHEYhCWkbj1Y6QDeSodzROcU3o8HdhTuhZMw3CovwRxKcTWreLiqxPHwb7UcT+9
Dv4ZgpJafSIMKCEVCJQ5DR90LOwnudvl151r0kkPivZK6kyhPmiri7oyaDd1hiDxTnrXY+4PKwNA
8JeA6QUNTh1Q1J7DilqdW6TiNrjENj//aTp93usmK9s1Y5r4lI+d8ZAknnimJGLpOaci4fQiIYlF
W9FX0cFJaBMrNEilc52aUcmyxNCGRLkZhrKOXfLPCUz9OY3JDmFgFhZsNJo7wavUsU1m6rxS/lfQ
fErvU6DTnSxzckBQhi7L4GzfzvVCpEVUXukbeFHnjrVfOmCcc5lqq6N9RV8vO8Y2FUKTlCDYYtv5
7Ou8qUknT9V15e2NcxwVkO0tlB2ArjKFkVuRLDkvZnuHg8p9Q09FqBXYimVDXFj4yfLIYwFxYhOX
2FgPTKSIxCpII7iV56Ase5jIzNLpWbQuq/VoOpfBOVpL6JSt2rSIGxDTRdjZwdZKjfpPup/Echkz
CV0QevyDb2Rq3er8rjKa21u15OpW45AP1HI2wCCvXKOiMdbjOQYsQiz2hbOA/TABqKYbhPjiPSiM
/rnA67uLpHoiLI2A1Cy8A+nTZnw/E/Ir55SWrpEOI8u6jGaZIqFMnMPKGODCs/JJBHlLVVMwZNfJ
ZjYRZ17F9jbLAOlUTEZloZPQIs6mO+j+xak/B6WNQeNnG+ccoDaxCF87SNQ3TDZI1sLHOIwDLJBI
p6+x35U7MMQYVzqkQ0Zq+QcbVdeNb/kTu4JPiJsObl1jNeQAQsZbTxAvOegS+51vYaE8enkME5mW
5S2SIzLiCCqEBuybFcfXoZ23wLjHe9EAaRoXGL7CnMubDlUU74lDEkZsh/43Dr7JlrLMhiHOshL4
NodpGBME2HW2OX4aQC19NmWVf3ZtzoAuuUwufNO6vlGyC0+LFJxWYi86YmMDVBKbIE9QIbGD0VWM
jhSwzbKZdMBe1mlGUDpYac8RM6wOxTmNz/lXNp/sZitQK6wXl9GAmWBCenwBV7W+EwbRhK7bzNeE
ZVqbEAztuotrQgBLeHsxB/+nRQSnzBUPsY4M7MkOLFPP4lu6F4X0rRcM6vYK5EC+riOBl9EvxJMF
woO4Mp9wjTFxNnWPLE05yyu0ia90EO4CHWQYInrb5DrcsK0RNlYdgYemY9Csp9E9USKcSCAptkAy
P3NbAKfTI1uHLQwiJ+dwY+QpUssUEgkJi5insPwMhC6S755vpA5iVDqSMSsIZ8wL2s+BDmysfObJ
cUKIY9kHuyQm1hHX+00yu/ajc858DCbotqYOgrTgHawXHQ4ZSWIiFx0YWZEc6esIySXNnOfZsKc9
6SIKbXmwD3Xk5KTDJ5WOocTJLF+N1t/aOqKyIGrkoJiDXXg2AZbQvNPNEEPgXHS8pQEj/5gqgq3m
tlvW6pyA6YKDY1YbX5c6HzOU2XzjmXy5jPDMdOkK6gTVdGuhkFZ/V7X+g+jmY2cE9YYNwwHFCC6o
gPrwx8Iwidw5T/sgPWZFS1lnTHiGG2LOMDjhBPjkmmX9pjhLQcLukQD++uIfW3H64oAIAEgEIHSt
8MPFl7RsxLyo9GhNuMSXrEEJmeYJY49Q3v/6Uh/7TFwKZwP/1NVv4H/UrKR1mgmwnFwK5X4JtYXk
n1U5x9Wfv77OTw1nfSHXd0OKfnAA4qOTRlYzVHLpx0ey7OYdk0j3KPqzYzvtkPhKbMdDmJjpenaL
V6X7wawqCG2NKNHFdZTw6X79kX6+xb4dIg2m76Xjnv0PtT9RkkHSUWVg3CaT5Ww2c7KRCtrNQ2a1
Zpw0b4wEuc8WhIDztf/bP/pt/+j8NP+qf/SWpPFr+WPz6PyH/m4e2X/wDH0P3fzf5pH5h8vDFXou
TxvKSgFh5G+pIy0nAkBsnGWOoKegW53/K3UkmcOEb8KzQNOV+JB/Q+pofZhkoFmyWDdYNcCEuq75
ceUgHQjDeN5apxLhfEcmJnkH06HxEJpg3ikF5I5kLqrLTFrGyMgUcBRFdQJmqw2V9+qn1CcWTuZM
j9c8ggzmBiQENc8ptnUEMlZKerN1Cfps/+sX4kMzjLQNPnDAT2vSePZoO/+45gVtTwRts0Dcwg94
byWlsfYY813Og28iZJ5RVvz6ggx2fuy/cUnXRLTqgn1EGMVv9uMljTR3lEE9fkLVdkngk5Gt84HZ
xD5zsSSz09dGfbAaE3/sCL5tooIffPdA/sQQ7bw4sapj5MNfWS2Dz69SUsHBYO7EdBuUKQyDqiTG
K9H+gJwO3rJ3o7I6Za0VNVj7S2YMlowaOkgNAeFryPs4jMH98VsbYpjuSaxFNwCb6rUrVUUPrg64
VIicJd42fqSH1tSrYIM5QgRrwR3hpN21fb+LoI2RwgwBpQFTUjM4YHTTOIzSZtcIm+3SKeu6CdDB
rP04JVkBs9AYbxEFTbdm4uYAEpLYfrCwwxB37Ld8t7bB9GrQrLiNhV6lJjsNpq0DSvjZHka5YDKw
6+SGxZxPFM4erT4OFtPnBqTOktLYoaa1s8RqTzaMU/t6kWTE7oQ/C/X0P+yd2XLcyJZlf6V/ANfg
mGHW1g+BmIMMksFBFF9gpERhnhyzf30vMOt2pag0ZWVZPfab0pRiMDC4Hz9n77UNzAfxsZMtz18E
mho5lmsPFyVL40Ezc2P6UnuCGHDT6LhySTvx+8yM/auDrMHLBAM5MtQIDg5CZs8Df1v3JAZvoPkx
AZpUg2lN09M0XsxeKNIqWS7eZjz/SZBmpf1KKnf41M/MzIeenFJai6R5rpvEuYsRKRF42TZcJMKo
uQuOhVT6OYaqUu8tRVjahutIs9ROlqyqhEoBSoqNu/J+VhW3dTBsQ5wiksbjo1puibtcHL9JMu5f
bVYnn7aqANjQAftWwzBexxH58pqnAylAYEVELI5iD5sYfL1NSywkrhFwGAyoHXd019Vg5BtYIBGE
2UYsXvhpfsBl252ZXjDbL9IQB5ai7fcapZ19Pc+R86QNrjiPQ53fggYknwZxzZ5K2/KCxCjd1zLK
hi+1ScomBjce2XjEoUt133kBp36ueJGHZLsak0N7xq5c/4kWXdvdGQkwxbU9uDw2g3S5vGNSOPKG
qEzb3LZ2RIxOUPSNKRT2VC9WJqoTSyNntpi4d4nJkOnHnM4c0Pljkf6op3G6JIWORMbJ8ySg122/
tvg9+gDlhXiAa8TtyTNikVcabE0H0oDKkeG5FRk9g8HLRSIbL2VWV2O4bXVSnp+p7aaLxxIvIba7
XODEqA1nl9F2OtnQO4jOmFr0IkOK5i1deumIX5t9H6t5ujLLnkvvVj2fgsiKhA/B2+ZvQFNxXVx/
MZX3NvNq8soM+ZAppWlPWg/09qozpCZv5wkuArRRk+VXFcgQHhNLL7JLCExuj0dVNojpTPOgiKwb
VmouuJZoEriWkz4ytqRJwYVAwyz3IX3DialTyNtTN6Ctgo8HOZs0blwF10GunWF5KTpJR2M1jVhE
Wcw5Tya9BvUH9XLsPE+51xs3aYiZCfOZ+IAijoJ8co/ho7cEF4IcjtJp74aRTF+kkBhQqUOBlJih
12VfJCuEiMG6APO8qYqydDxmY1rob9w80gDRZoKfpPM4HdvG5Z53uRTnlODX6YvXh032brulYaBh
miHEbgp9MIybgv1HgbXv8ZAewtIgm3EFuVTXD7FBhAcgzUUfqiWRDkZI4WdKIu9cmrr/bA99iAxQ
3LtDNAHbLar+ERCUtsG1HROgVreB2Ufxwcz9EMZTmBCqmQzjSphittexW9h7lEPOyIwlbbQEGSa9
iq2FgKQEu1rP5LrndHXq2tOfWrKJA7PQXzSkQqQdYUbKZhJzknicvL3IjOgtb0P3nSNiCOZFckLN
nat+lA3n11xOd07lRi+2OZSbgk1qzdjQvCDaLl+EFRdbo9SRK7mqIFmSOMJbP6L95NYEGyGMyPLr
pI7yRyNt3ZWvt91WaTTztWECJyixZCJarm+GXBVXNgqZTY9z8Y5lvX5J/T6+HywO1q4+pTvZtNa2
mZuJdNKq3A1ksd5HrZM/joXVRltJmx8ELlVBnjWKJFg/28Iwg8LfjOVibET9kwxm9cCmUz+XdlHH
61S1SwdOr77QoF8ubYEb1XNsonsIVp/OtTOZxJQOBKiEbvsjkWQt5vj794ZKo+2IQ/dsR61rrWPi
h2dQEpQD6yWkE0FfUe28vJkXlbRJIFY8GdvIFndpWNU7fYr7teQ7PmPQQ70EE8k5lMzvh81cuP25
6azwHhS0s9OIYdrahK3SgdAUx77Zcc5a3DUnFux5r5flfBg14R9Ul42buZUy6LBTBw0DLPyXrfMw
JIP6rut5emJEo06ylH7+NyexX4o5IIBolhg4ohEhDG45Q/xJltJUhQmxEfvc1NXIccpFFjiabEKW
hqQQsEl1CnnL97+viz4dyqiKCOmwCVN2qHQ5M306mVihit14tH36bqyiEK9YGOrOoMb4/ed8Omd+
fA6oCody2QBXqH+qvoa4cvrWj8Kjhc6SNVWXrNmLq9meQhaMf/5h6I0AUVAgI+D/dCkF77BGj9s/
ejni22pxn374S7Sk9//mZPdrIcs8E2M0tbhOWvXnQ20T+W6tTbpzNEnKPZd0v3f2iHkcLWV1al2U
W7//an/xecsQW/CY6A4owE/SHuFVvLZ5YR/VFIdPf2xBZUzISGCXiyoXSjKX9/ef+en0yr3jyy3n
VsO0uHmfi/WZxLPOl511xDNMdeXi5E0oS9A6YK1HlYesjH8VaMXAn3U0kdM/fkgRkjM98nSOzoat
f/rSVWk1+pRDReh75nPjyGx5EmN1+v3X/PVV4FNcARHEQZHDyeTnFzAPjbEMk9Y5kv8t93OC2dX1
5r8TP/3Vp+D+9Gx78e38ovdxOtNobI3v8uHccRIUyBiY/xuPie3jTKOrw80Dp/nzd8ka3AXkhtpH
I8SOTUoLD8Uwj3g6sASJc1dPTEh+f/l+Xb9Y01lN+FroA/jYnz+S0HlGa7ljHbUqpCeJdRl5/0Ap
0ufozUoc48bKaRWPyO8/99eVxfNpriDs0U3f+OWN8JGLMmewDeiNvN0hFPNT52C4Uike/d9/1F98
RR4OrHHU4DTPPy+WLmQ2Pqow8BcvjtZCVCfVorAnw5AVeznBTctT8/sP/avv5/AKYoy0kYiZn1bo
AeqBGRO5cUQDgGawwHWT616846Dzt2/6hwrrT2o0XnWf7oQNxhzpi/frm7bI9nXWE9T+LZbkVBQ2
abtM7y/1oCR8Z7xfiOMok6eRug7t+NyehwYC2BYRm8XhokLwDqPiu8AITNWpSvwjXuYw2v79Zfl1
IQRLYtJWY0XCNfrZqkhXfEzAXvGEF0gggyTExL5ELrcrYqd51FKfsv73H/k54+Tj6ri8VYuUDZ/k
Zx1ZlNMvCdnjjpqnUetOnsn5oYMJ9t2TCDYCQq2X5z1NxLnp8+YrRm4l1mbiTxfmTA0z0ahXzZYq
CaczfJL4H28OiEtx3uJzNLl3Hzq4P5UQegNzlVBi+1goj6Jbt9MXEWH2aHOzTHCG63/Xxvnl2cSU
urwNtHJ4RIEL/vzON0m7FP2zOqIJsl5bGDCEsTYlj+m06DF/f/n/6sPoG5kIJX2Wms+7AG4gX48a
fz5OaABu05I2LiwbTjm2XnNK+v2H/bJM8808jzadbi473me1VpFpgrmAPh+d0OZgSYQgTxYvIqfE
33+Q8QmehJWa5XIpHvDDsqV/roxyM04mpgojFYSM21udMxyxgmgQssdQq1R7qtOBTogVgcGIxxjh
eF67pkSLuGyDVTNdYoDhzA1GDkvo1UGzKBcLhK45tLLoepmooZbux0iSrNqNqJ9vuxJUX/FPF2Iy
ZinvaJj6Nubhz6VQUkITdYu2PRoKC8SI6PgECybZRfr8j6suPopngCY/EiT3F4EzEDGjGyYAGRI7
OtCJlO/fVI2/YURUnaxy+tv+4bJ7/WlhRJzCemjw6iMixcD++S6VqjBFI23riIjIeidqaTgS/+Y/
fTREHLelq4O0wX6spsn4m5XO+PyIWIvJF7OvuSgbEU3b5s+vmZXjkcGqlR4FzNRCoaxhyg0aGsqa
aQSk7Xpv4LAyaz1U+BXOfoSbpzRllOxRXWAGIlNlvuh9QRdRZUu/ppHucrDoifdZfXAmZOG0KbxE
kdy63ayV/KQxsfc+ljYUJojuqjs7bbGpLI9XrrEZ7OZOivo4yLluV4bTMugdJ1pjbYj/4JTROMIC
1AwkDnsRLoZrkvQyudZFVtyNdBvO0um03WQlzm01C02hqiHogy42JFPdBbB5RVtaL4PWtXt/FZNg
dNVlFhxSN68VCC9EAxygVXKEDCUCsDF2j7BExIQIE62a2B29b30AamuqdHHl5yKledTXIhffR+ll
NMW1lPfFn+qlGQpOMr4d5ok/L/Py6uBUtChxnflhvHeGjFNR2Sj+VjXufxSfQxbSefHzpa5pat61
uMxt0NolWQ0BUpvFGj3Lyc8OkadNl3pSRXyL0S2vrhCzDN1di3+sWONI4+2uRFFnl0rhiFrLvkM4
gqNgumQ6VvXIcars4tai/Y5Ui28BONRW76ZT9ta1bMTSihpzbjOAJP4hX91+tZEfqvuaURxSfyO1
roYFjUlHA1nBFhFMNm2dGorXmj4InatOxTTCPZRKhOCZIT+xx0mJqXAk+aiZ0l67n6qEj24y4qLX
vo7zhOTR3GwJ6xgHu7uggIgJj+JxiW85ryJMFbMLsBIHqnUYBtm62brvlpTvugS05Bgs4TYR0fWx
ZMCPbsUdE/fKGkIxHogvR6HaTQJHViVzelpe3bdqN+WcYVfI++kyYiCZ5IMobQRZ5L3ygJUx9vyz
lkj2ho86gJ49Tx/YJ1oNsYOK+wjCEBBcSCPEa+i2VdMPv1PhLVA3BK4fLTg77/llzHgSD1Zq2K9J
GJOU2CJvwWr/8Vo5i+tTX9gso2um3mtpJ7TeUJCLBzGJGBU9u2ITGB3enEA6Nk9R4zmLXzK3ua5G
u/TMybzq3zC3j8N2wlt7+8doRnjWa2ibSyGByJB+HPPz10KkSydW0p5f1SnHHwBsdOA/tj/X6Wky
xvSu3CvbZR6xyvRkSreQH3Wie0Bxq11Ra0wa8tniwhJcZBEl4xtRcteWDb+IQL0lt3VutJdSiWZ6
6SfXRG4GdDjLLh7J0P21PeXiwUnT0gp64O3zu6cxydjAGzCsu1nUdIHjmdrY5P0b3YL9mDFAXK1i
2hU8KxbTHJzFVme6XyjMsw6Xg+yAYq7yZKjh8oYhvp+AJRzxWS5buvVzbmJEoYOmPFoSGCaPhf4R
Tk2HvPNokKl+SMc/dvz/Pyf92zkpb82fapZfIyySsnxvq+7150Hpx7/696CUoAoUHXSSwAYLihiq
9X+r7N0PuouOIH6ZhX4I8P89KPX/RcIDvgyLnhBHN5dN99+DUpPkC9+0McZT0fr85H80KCXR4ef9
W/cFh2DDpYfBL6gThPjzFmqiNSo6q9RPpa5VcdNDqHO0NYS9EKK4mOpNZhFsRULTUMvtpNFX2jh1
Z75PU47go0AnwZxpbq+BLll+BRgAv+ekcst6Ej7V1XpsxVvkGdFjgSo2SCLH/jIA9EMnFnW3aoQx
vU2q1EZegFv3OkI8ZQWDM/n1TkvjbC+7tDy5KXQscAh3uezMN22EyXxiGjVBTXeMjlBxoN2PZhb2
7lWrFtFcnzsjSiWrMPvv6cfw1mgnZmMki8Na3aoZ1K4isG1tSt0EhmD2XzEkj8yaetIdrjMzgWvW
EOxWbzPu7T0U98IJTAPT/KbOw+RRxDPOWOZfKpBJSnuVNBKYe4BE7x2rNw4tUXg7Y0q/59TlGywO
SzoFOo/VQFt/lxrJwwwy69ZJmWDu+V/Ma0jJYQGMH/BXV5qdXElMeptOaK9ozKaVpyMhgrHoslEA
DN80HP1x/ELBWtOobOyN4ph5ITTPvh78RS7c9a449MixOPUrP3xShefe14sGSHaz4R3AeJgaiUy1
nYN0s1iZXYLCnweYVBvNNNwADavLNaiHVdNP5dEh6+eEtJ5BeF+MyVLZhMyG53k8dX0XeYEW1fHG
Jen6ghfASvRdGDGdyQR08o642ZXRjfs5HVW5pnmEks0iXHXrzWG4t9DsPtfKhNKoWk09+LmbW8RN
jm6ytzTdy58S6fXlY4SAxNU3PXvspG1GyOdtu2M2MuvtAfQccWNFmtuJeEXAJiPuXE7UmJ37m6K1
AgOQ4FlhxEWYG0KiACxwoHd98eLQ2fiMe4Msq0bSIG25iGwJiosdv4MJAOV2lSvNxM9gG8DpVThA
sEbGVmruQzZB57aNAw6Oa3v20pUibsxNqrPVKPKT7WwHvTA8ohLdllSmj5oW300YMFeSj9lGinRg
WB9fhT6qLSOEcBsO8z3d9PbQQHPdKKdJr5pCI7TItrItebTG0dcYrWSUs5tWwxdeWFNytGglbUev
grudz+qgN7yahpMbj/5svJQdgrVGRO4qjTsNY3U6bKvS7boj4qv0QFX2JqkmjnhlolPDZGKtVKFv
4G/vGJ8hma37rYW4LGPAuE4KrQyiRkOqXQMFRqsYv9uqeYbpAUie6QNmAh1RHTojL4B3BeC2n6Or
chEb0oKtd1At77tEQ+xaJWLFmIHoKJmKW3779JTaMyl0IY3+AwKP/h3K3Lz2YqT7Li/bviGBDwu9
uSojRUBM0+C9tu8bM79kXnKlREhd2utoytVDgva80ltCsYh2bH2wdaowSFabN1HK1Y+cOPAG67Ft
mp03T9epoU1QZvtpK+u82wwhw7QotJ4czPWrsSxIby/y99wCE2mUIwrjPO7vE6289hohAr8DmwdA
mEUw8a6tGmRDWkxMkjxfrAyctnc6oQubYpIlw9Fh5NmqW1FyP5wddQ/6z9jv957Mv6G1RyZg6P7R
Ybk89pKJ2RSa6Tn2u3SPxy5e81aIO7SDd0PabjSPL6Wq8jx5VvqaL6tZ1ocuMkOy1k51bViXxGic
Y1UTPcsNo6SZah+rffysay3ljDH9iDtC/CK35YiS4DYBfzsHNoPLI65Hc9OyrN91JoJSWOP+IUvd
S+jIO8bg+pZlwjtVqTa6QZs53RfWlX5tDG44rGqzS8+p0Q9B02XdTudGbfWq6Zlo2fHFnCb/Wk46
6gatW1tp8RV8qxEwkgMaUCA+BuQ8pbVLImN7aZ2S1QUbNHyvdAsG3uTXq6zX2EpABsfsDk0Y4Fnx
d0naPeRgNLZGocL7MRuva62RwSS69BFZy6MNCHmVa8Nrq/xnJyKLoEcZXhM8QR5LThqCMW7BPR4q
J92RJB5yFRvrjFq22SH6/VYSl7uxscPs9c54qEM34wHOmGQUcU5qaDPq51iYl96vr/I2fkJvDYEW
MLVeWfOKlXYD9eXF8kdGrxYxpstaWmverdeauzZJp8vErYMSMEQQ/h3lvWRhJJ5z23PW0nR51TTE
pYY7XOOs3wxNduR03G3toTFOksiLVTPUCWNzv4qDbM69HSADdYirbt/V6XFIwmwHKTEhOlGrGVVq
WzazPFChj98cuzvHQqu3vlka9wugqeadUYhbd3GxwDxd2VyTFqAF8zhUG5JW4rd6cki/M/qrKSHO
sBzzR2GRM07egz8oNtbUhzQju/uBPih23eLbMJV735ufCWfMNwPfB+FAlQWW7SanYQZbjOt8a8Hs
NoLIthUWCCuHwxw29Zq8RnGyEzvazpo5r9o+Mr+GVV9f6B5l5UpjOFtvvIyVaSjM8jbSBmxblQS3
27Gv1eQO7efKTnHGCJTtfd1fGXBxUXkYHF56HWy+qT3G2rhsz8C2K4ecYw8HASC4J8Qa5Y0e1cO0
Ro5qYbyfVdpfylTzDn6bqeM0mI8WsbZvmhy0aB8WaCO2tjua7crMxShXFi7FYc8+a2xwsXwrtOFW
xC6QBWvsLq1d3o6lpnGA1O6KOe5vYL19aaVJxuzkYGpQzhevtfKHKcmOhob4hcblsDbgab+wvFr7
EdzCa6qE3KCDkgdz0oxNWg3xzgHFufK8OguKzOLLtsNXH5PBptQ97TpCrfQEI2lc4Yrwfjg9USo9
Y/yVHZv5a+W58707aghJeu+rmdkoi73CfQIZmqy10CF40o3TB+DCOnoKmqe+m4O6MCFHTUSzj1tu
WLoiGgOwKfNv3mt+vYgTzKZIv9cye5t1zb34fjl8MdthozOJP0NVsiFnsGW7aS0ALiTSIvy2ltaq
1mV+gpZQAXvtLWqEMroWRr7vsjALgJQDxuz96oI4An8MXJ7+jhwab69cp/miKX9f4bB5GMAqbYWf
+Engk3lxRQrT9ybzvrE6Y5VAsrjmDNc/Jqk4OaXp72ofZIyNyGsDQYcNgsP1ujNg5Ma2QfsF742B
0sJEjWPYzVVKKOYq79r5qgBrtB8rMZEw0XzLo0IE/ZQn5C/Ug7hngWwRjBEg6uG2GeN8Z5URuorC
yti8Wq38Sh64eYqc2d7m1IJPCxRmhhKSewsXYzbvi9gUbzRUnDcSYGPClboIl04MGoa2+Ya+V7Y1
IDKhdQLqAlrr6PZKA3QLFMMkI5ODypJaWUqSyWB5rwsqD5hEyRCRTxwK+pIniUZiiy0wuvc1ClHs
HLkfFOXwJH11gFLxnTGWs2ugna4L5mWbHtIt4pTKWKnJRuVu6Tvu2tFOLSxUnGTXeUXW9mT1L0Nn
AdJRdb8qyW1b2zmcHBk27H9ZRdZaCao2rDu8eCLfmwgNVrFMgYjo4yaU5jmNUxOZkCN3eY0XIIkL
ZIQd86bM9ZGZEV48NPIiiXre6eKtz2MKJvQQm7QIH+k6Fau8MdahZpG+Gdf1urUl9oUUSbkzlxu3
yffEDSPqgvC0YrAmggp3LrjAYY2+qGE5wQeLgHLAJoDvQWXxC9bbK4cCf6t7XGK47o+wF6oNFE6U
QUlxGh3gP6nwENFNlIZo2wiiiNyaPTGvDlVlXXzEJTtMh9/ysn9EVUPAl6PuuoJzitHZ0GPRQRKE
0q1ra45XZm3La01OAzhiPMEM3VrCVIvicepaGijwh0FoE0GaCgmrv0IbEjNQXRlpRWetUI+4p1BE
odMKkipMsIWItZhchdOWp3zKHXx3FmbOyQsfXZFfQS2yztICpNY35Q+KX9DAcbsRqaqCWCNAe7IG
pI5tvFV5XzxKK03WOZwzvLilv8HMUVJ0ezZu5jS/JnTMWM2g/ra+ju3Q8cI3vZURTo8JvAZ+s7tm
Rgrpt44I5tyl6hG1f6PX6bmc5v4M6iUoqmYMVCuXnok+nwHwHDVU5WB9KjNwh4EBvO+OV0x9v1ec
N0jp+Wp46jWqnZ0r2h5jKNuwkWYoa9Qh9LJhgyptl8c/NK/pV8Jp9SvRpvW+yeRtk5gEIcUsj3Hj
BYgX9G1dc7xFTGfuyLzbGRXmEzNNT8RpsIGmOsQ07xE+r7kyE/U6uf23sI/eqirj+anMu767dqsQ
f6/qABSX0YumERDQQ54GgUzYrOleKd979vBvSt+vdhmb44rYL8LfAEuvtFIXV0Qs36Uj1ZnWpnrQ
9YpYHqxKOqioaqQ8027JpBm8VVZMii0hDfm67AQN0oM63s6e1x4kT/DLLON3M4N/YoaEasem0eJg
tCDHQQIvvuZVWlSbJBHFmS0Lg8xUmTkFXgVjzIhleTciq9wP2tQsSLcM44kW4XIxCEcIKnhiX41R
INOj+ckhp24ex94je5wshwNVdQYmMS53ll9a23pW0Qm6nrOVZf8wS4WiuvJvfK9Pb8tEEz/spO1P
Kk6cY216cm/kc3bsCW/a2qMlH6wSk6gnjVfO8Ok12b8c8COdmPpogGhdRVcmHbugJzz0mpYxGUtq
IvO4ApqYDpyWBpL6th1TjbXEIRaaJZqv0rTWEbrBVbEwV5K2i9b0NjTGWzqBej3y4jo1N0achzcO
MuG9m89vXkEbvjBcRLs5V4yi9rrs83Iv0/lgywHZ4jickd9RVrQxQtTMfwHDk6wbz0X3WcSIcmsM
bxZ15XrM+PGtD7CLdydyJso9Tv1by8Ca2k0GpCV6mDFJbAfqxoNblCi182LYslzZG1bzmVtvlxtM
fjC56hsOU96lTzVrx1GYjos5pV+HzPeXiAU9u2arZhcaOS2c59Y/lW3pYSpOCcwIXXvVZ0Tr0vJe
VcJooOS1OjbvPNm3mSUCKWswBF2rn/CadRjezR+NInYOGdZqOVsYKjkLVvfNRDLEbSq5jaAZGD1n
REbm+RhoqMpWTpV06ww992m0UrLPETdmVXEdOe5T5fktyfGiwezO499O07YU+i4a6Xfknc1Zxo7n
JamJH4VwE+Fj966qGiVhdz3Tv8cJFtLhNtEEN5yzDLPEwViUq7GL+Xpw4KG/B2iLWZVtPdzHVY4e
PKttipb5OPKmBiS7o9npO9ZIW0hy5oa3wU2xjdkHz2puJ5TXh6SdjTVHyBNL9FMdDuXW6qcNRy2e
ZLr8QTe0oKREop+V6I0dhi3aKIpNl54vqm2BNx0Pbdpv1OBkASFNpc9BR5VfGkujbTKOI4wGesys
nRdjjma+0dBtMmfk5OWNEG84Dnaajh0V8D8dgbUIk/EYE4i0sq3yrewq/y6NNG6kZ++asYnXKA7V
I4qKW1f5RBbWwiDaQd92rU3yt5SpE1Aoa+R/uDPRqm76UITxuyeac6uMU+Y5r6Yw6Iq/dqLY9Z33
Qw5Y2nQvARsnVBq0hb9u0jIQaZ2uVTP8qDu4EWSMv8SNFm+apfW/EPsyo6poqnj0SlTqR+uypBcQ
C4AGrFovaZXeypgFOmh76UzIfC33Bi6+cdSo6WtktTl6/4FD+dDMkv+JnRzBOzFZet1A9ZhKuY47
l7m+c6oJ7INVGTjpxOxmyvJ+SxcHBU7e26tMCbdhh56bHgimkjsLrpy/wiIhD0neMABhVcNt1wpp
F5TGDRy1iYq8e9AAhmEP9VB7biUWTBmYjNiqk8MZYWb5MHp4lJYvGkJWuEZ2WNNzIE1Dv+qxwLy1
2eRmHfhIfISy/2Pc/D/dr9+9V+fX4r3938sP/kZxwToXd//n5/9s//jv6L1aut8//Qf0z6Sb7/p3
OV/e2z7nn/5BCF/+z//qX/6v9/9SmDSv2N904mG7MZT9uRH/8Y/+sxEPZs3HVOEsrsL/7MLb/yKU
C0vSYjn6f0Yl/V8OZ0Hsf9D/cAAuH/4f/XfT+RcaTQOkiSBSFymE9U/671iTP7ffEe4tAiaqcUSZ
AOd+br9L4cDObSJcEbZOlQlh0Bm6lYXgnhfQsYavelS4mBjs6pLUc3leOuarxsMMEJR+n26Em+j3
aZepeSONKbuJsYQD2dZQafuu3E1+Yh7hZQrajEndrG0PbQ5OPt9iE8B8Ao3Yjk9DPlZXesSoYFUZ
+RXUu+zWrUxvV+h+vAvd0N1ZGb77ICo0srcwX+5UEssDowHnum+XpRZuuYainNk34TBEJ5E3PL5k
5Mbh8kUyH5hxDyhSWyoHUiwvVWNB2Uu0cTr0+luWqeqVtoB3rTIzxM0+eR0FJFPlkVHANgsn52YM
J495tOOT3b5kTh0WzOA+k4b2bcSK/MNdot5NwuMPQJ7lezQZYRPERS1uk7juYcya8mK11nhMM1dn
AI2PlRTo1HhP9YoTqo2HgW6jyTkKa8g50svo1NZK+wYTBL4V+EhGqKopD3PSPA+gYggVW+wSsTc8
xnXX3ft+R04NqdLybfGhPLMqZMBObGpOCCxpTyvLRwLllYjUkBqsDD2BbWD7mUvlLuRrw4y9B9My
fsGXyq7Sl/lbnnTd3ldJtxUwI74pvc+vEl3eaCqyj5ns6qMMlTqRbzwEpe22W5fsYmMtOXfAaZ17
Q3I/o+yZUy8NNa5Sz08rtHZrtGZ+moUbArEuHL7o5LPJirC/Eomt7VNbj3ewFvMHFKbxl6xLcBPD
MTIp4Ylb3hTgMASNAPRF9MzMDOMBzx4ta6u/7i1ftaT06CZkbYFDLFaLKDaiSR+MbRljtTaxn+PK
GX8kNAgpHadFhFXmDLLrNC5vE/w0K4vjwFUkK7Um9wm8p/SK6xqy9ZXBCArqRTHSl6Kvxj5lV3X0
BCjbcGA4RNZbM41WDafGpu7POQlB3S72qlbMvCn6qMO8UpxxE/h3UTjHwehpG2I1OdjPw9qR9jnJ
/eEbOVbZQZe0j8aUpv16aPuZs3o8nZSi28usuCsf/SoNn0krjrQjnfkm3filK77TB2z7VayP/WUg
XyXcDHMmvnbApSjqyqa/E33ZvEjkEYFfj+I1o9lDyTp386XFneDtSUQbyTT38M8nxtyS/mhCTgk7
8mhWfSjMJ3PQ41ODR+2Ngl8njo9RchS4EjhOHZXeS+rq7nVmT7MOhyjzHxRdSnp3DJuWJKV8yNfA
LypSfMviFTGA/0jr/03Tx3rt1NKEGO3M73YtGXG1QlTlJvTC8jmNKDGCXBISzs0q5dfO5Yi3Ym5V
H7yw6siYHpi5ddC+rpbA2TV7/x3iPx/oS8L7zC7cwBeV1sZDqQJAFWqUGvqWllGdrC064Bs1doQJ
VsI92nqLD8yMaWtKOtu7qu9Z0WiFuAE5v/puIG3qYgyavasSPZvWmt+FFvBCqX81shiutMViOhh6
TaBvWSQpNI46P0Qzaco0w1DE+JXZXaSXWFxYt0i/ADhuiEkWdLpZzML+EEZkk5LQM9YvIK0wHlhI
z/aQXiMYwvrc3lit1L5VtkuzvxXpAK1j1lhcFNDYChYF1GbLGrYaAeAvcGfH9yaPx6+zVYprE9xE
senG1ptXpj3LMPBDs8H974fZmqCgggbFGGLx0YCyC72+j7K2XmM8H2n0ygTfWdasndI9WvVMDHxZ
wscicRQjfxIe0oxlsxJWs5v04gG0SL9rJZyCBLUivQuJywQn01wytBicDfJx9V3hMio2gyBCuDJ7
wFRVPOAh1L30ZtJhRfcnK2+csmNQM9bJF6VFnG9mEAaZ/uzNGX1uGjWm6DrSKec2vQkngEqGnzo3
IsXlpUQuLw6B5xdHuNEty+KEfjxTB8ADT9Sp5aVBcXjpRRsaKz1Jw6cRPT2Bpgz9ViUEqeMSavvk
gbNmkRp5rTyglrc6xPFbfLSgZKKCdKQksxB4MUzhjE0LlPkayza7XTAVc3LuDb+nGek2kDvaojin
vs6v62TaVrQ5h7AW7Ravuk/TScjWucJE6NwwnjOubbsMOcWpLry3POkc0iQbH6jlPHQ+A9WxqbT5
Bmp5X+w6ramQZ/1f9s6kOY4jy9b/5e1DFh6TRyzeJudMjAmAIMFNGASQMc9z/Pr+PMAqCSgW1Wrr
XrxnbWVWJSuJyswY3P3ee853Jv/aI072nomTPAb88Bca87B8p9re40smxs2v5q+JFY8wiSttPgQi
nTguTrRUmNtuq5a47IT+T7/pIjFfGO0sj2EEPSYb4tsq7TB+VYZ54xcMbllkE5KEZl9NLQyGKkVQ
kD1mKZ5xV9wGePv26no+1MUoLsnFguNlaXIfE+l1kyR9T0FrDIzWvTl89VsskNFIdbaqqxE7tK23
JBUzlTobST3svcnzjr3omsfaL0i5E3Z/4H1yJobCRU2DSjJHaAZyoVARTfqG4X1INWt61Xkw9YwR
amySqQ5ckCTdiPCuKrVuqDT9q1l647FhY0TMYwzXxD696EXkvYjGNIqV3djVl4iW3ld98BNS17Vy
j+ZUIxuqZ6nh8QvZpK3UtNcEoMtd1MfJLZOQ4Wsp5bBJWuE8GUXk3hhTzpsXqkUTM4oR7edhABpf
14ZR3OeT9wXnJ+67PnTDEpdV1Ym1nrtGyGBh8J4izU/uEWA21a1TN1FzMCW+1dXsOAlZwbGo9EvD
oZ9D81jkeoU9N4zIq4K5Li4LY57u6yrYjJ5J/p0ZOnJXeo5ch1gF/XUcDOdZGMxA2zptMrLAtPCL
XZp29Gw4vOJrTJ66va0HJtu05R1VhlwJMQIb2RcBIQHdiUfWqJkK9TlW6OfKn5849o6fGdvmL3E/
Go8emoAHUQXlCRvtQ5XLaZuZVXaUVVOuZQfUWRbjnZPOTyyA38mrfY5b50l2Q/c7ditOEBZB76vG
7p6kp8UHR7rpbSXS7WBl2iU3BzkaYTwQzNrquznbPXiZskqoY+nG447rIsjC0EvOpj0k05pWPq2p
smYo8eA6Xb3NZmM+hzPnHeZPg51p/zN10VX0UhdN8b19Xwkt1c0fZdL/Q9WTiX4abfW/5z18fobr
kgfwWv9cP/34Yz/qJ6qh39AcKaMF4EOmBBQyP4RMWAx+I66IlgO9tD9qKI9CybCUbQLhPVoVvsKP
GsqyfyMwRKg4IJx1iOTF36qh3lVQZD5Ru4GvRVpFG49a6kMFNQNjhuvTOeesT3Ga59HYnXmFWofR
VNV8/dOF+UskzfJhsErZVUj3cvi5FIZ/9iIG9miRYdkyF8Xm+bS4iKe29x6TqK2dlcOB4ynQESd6
ysf8X/hoVi+Q4cpp8y8qci0RNJ2EdZ6R5j7lXo3f+s25JDuVy+Eq83ij10rr7qsz968//r2tRP1y
Uq+Qh7n4OLlxHz/eMCMSbzGbntMMJCgHI8XV0GlCl6eoUB83ZsQh/vozP+i7f3woj4qFrY/DwUeL
T17CBA9KzzjbuN0fcoJUjkbm4BRBzeY9loTaXoJe4sM74vqafYgS6dUpm2ifag7XoaLDuIdjg++u
0WrWdZJyrWeQzxzrfbvXxQVpFQo7oDIBVg1jx3Azpkz1/sIz8b7If/sZ4J1xthk2vgnrg8bOHaDt
jTI0OPlrPCtdCm4k7ZAauw162jSaigvCUprXX189QCt/Uub/+FR6HqzDvBj87/tn1dF0dHN2jSlY
9OIh11RMhMzD7wANKuSp83hnWxAwbEncJtjb7u/5s5bPB2uk3EC6x3Pz8V3pme8mVTIK4F4otiP1
wkweKJCgr8T1r3+qeO8V+fFZHm+Wi7MPIvGHRcCfCBrS9U6cLeUpYtyBtLePBIpk3zSRhyeW9dzr
aNEDHVjFGlcJL4sWQ2Fb4o9+/W3e+3HevowJWxlVp6Tj8/GpNSw48sQi6Qx9Kl4SS/pI240WS/8q
UuacX3/az14SybLHe8l/pP3R8CXKWI80szfOddOSZD+RhU4UN3aPDkzcRUaCw9FkIHLBps9T7oE6
u87oYAQUhNBvVmqe94ZaCSp7DLaLtL5Neu+NhEK4DxrtnE51tLLdnBY2hKgu/Quzzwd/3XLNJF01
SDRsFUxdPrwicRr4nTt54kzGFEf6xaizPDdjm5VPS5xL6g6sexMXMHNxLwdEh6KqnLzqUE4ZqnAK
AJxkCPCQnQtfb17dGoTOry/2T1ZBaVroKnC6oM7VP3xNDapt75AkfrZxh0CpUpdZlFi2he6Lh0oh
HX79gWoHffcWw1DiqWbP1TG5uNDw37/FWRsYsZ5MzXlQmJTFw+ATyPYMAhZ7eKerPFfTQZvvRz7i
c72nhcLkYPLuI8YjwPbyCURFgZA/1lkBdGV+ohZk4VTPxHKJGnYNh1gQAo2aXpJzJUz3cvEnGJIf
RP/lrxzF/IKPP4tfwn3G1W8ZeIg+hgLOVLOyArpzLjAb0QeZ5noTo9G6Qc03tYeceeGwjmUftxvD
1lJnDSbBD3ceMWIqyQYzHMGppbc2AMhu9ayVu34OtBY/Q8OZPReU+rBQbB9PkDl7gDfCQftUalnQ
bnRJqM9qCGh9ri3Gkc0GwyBvRtwM3ZYtgAlDEqcFw/4yP3c5eG23yWg8ZW5xjV6AiQEuDr2jTkm1
L4x5khtRTOmLnjTAITgHkNcxMZHh+/Xh62QXE6H1E+SGqGX/JpjNzkwlkwZXrYdA/kY8rDjFi0bf
MD6mquyl1MpH+n8xudu+lLQWKyjAVRwwQoP+gPwgs4MakaXjMf5w4Gz+DpSqJtMrwxx3mMe5xXnD
+bo+GtUUaQy7hYXkqcOUWfb+ScepfI+SS3RrafVBfdYG0kkItmlze101NFDWWRiU5S3ZKCmaAprF
/saNB++RgBS23YRnBH46r5xT4GCrspCWw5KTJ+E78e0KGz4Ncb7ROndZbTgCshD3yGju3lz4k6Tm
3jBz1dZu46P1RTyayks3kUnHzixC4aqyqdMllGVwk9OVYxbVpTZ6rtgFU5GFyaqMRveIHCu8ZqTZ
vrjI/opVAPF4Twuh3oCgCa5rw6p3NZq/ooLhMBCy/YWGVHQyenfcuJwDfgegVAAtqhg2klq2M2az
+Jp5jf2lMDUiiJ0yfOVBGb8FnR+3qxlS40bvuD20oNt8XwOr3mRC9lj8g0w3mSPnI6r0SdMmTCrt
K/Z8Zz3aUVA+aLYbJRd97jJAxdqTetmD7OljezwAhFzJTSbJyUR6N+F6Y/hn2R6O2mQljMFAf0VW
NlTwFc7eyQHEjNqx/KJBrjT5uknMwIv2U+buNF0dfmZ7vCuShBuUa7i+dfT3Jqu9Zj1XLuacbUPU
GlMqVO2fRhAgpI4p73s2TdjUeumxrngFa8Ub6olxIpupRbQYpjAhsU7WDXfWETM3NYppLOo6HI7B
G3i8EDNx65OeJRs18Zlh19yu58lR/p0BjUKk47RvETPdMti2n6HleI+DgSu6mWFROJ3DwkMr8FJa
GbLtOqzQ1fKGuuuMSHPkQZXNl6PiIIlDKlqV8rMnkNwuSAs3HirdVv8QSeeXLZYq2g1oUX0USV4G
t160/D/BPConNHhwNCUK1wC/H+uqa3NxaoOdGkWNYovUoYiv6dOyxMC5w2tWEW/nqfrYsB029QjC
zO2yRnKGA2dqs4kiRAVHVLiEXqDoJ0qotsRD03T85fJtM8DTyOIqa7xFxcABhHDq6bZaziIJgID6
Js/IzgiCHvr5zB3picC5mNBTPPRiRk6p3IpdRLlhpjFp6D5u87DFp7eZ1OlxMrj2Ipv4UbySfFIS
9s0rrAMiCtVfvTkSg5jTp5709vPCAPHU8ahMscVWXlA9xQmm8fXIYPtuOSjMSQWbdIxT59kYOd/H
Tcqtrfgyo+HGrxbKEK6FhNRUVJp+rYe80k7h69cAO7ES8hhx7wz1bfOiYuNBRXJYyFO47jiEF8qa
aoukfKIny25OYjv2cV/lUL4REfqClKhj1dR4KX849YoBAFWlQS9bLwecTh1VkjluX9+KH1PtyVPs
4eHDdoiu39KSivy00uksSMoTZuHMRj2MVTjds+3wBUucGvOKBMQh3jIw9n9PtRCXZr68QsK3sTP2
Y62OQew87aYezq41NK/4D7hHJUmNeBuaVy9QSDvi0VnbGJ6ZxySENScmwcFAuXEd7vQ1aCN55OcU
F2avOXfR1E3TSiNKINv0bwwPdtxWPZ52noprPVAOXiDDylfWc1y13HjqrrBmauEhC31qQOFAxFnB
5SKABeM2X8a3eYBbK+GatQAZH8c+kg9x4lbptq10kn7AUTOSwXf3HGYDp9KxzPj9yyKQpOZ4B+KD
q4KMxLtEiGgeK483rHTUx2cDprtYvfVpKwALiAJ2m/L/cdyvDpVvclcjgwS+lI2c6zBwBPXyyH9c
qHkjs7Xn2oUAk+gI17ZvqDQU4URH1g3fZHkSrRE55QXQNPVscEbfijpl8QFGGDS33giO5OgW6gbF
KM2QOxZ+dchqAiqjdh49mkcznF+m9ByK0FtyBjKGILvHNms/o9gSD4ameHkQtNmaRlc8DGbNRTYN
xlXMV2IP0njkQUcPSl70ipQKkFP8woXICBKKFahGDbhfCt55UNkiwuQVDShRI5ZugP2UtA8K8PYA
FY7b0qpT2uwO3KflxLhsm9Os80SVyqxuuiG/fbZL8pkMV1vFnZHhdu2oZBRrEA/O6G3iQaTzplZf
J3T4FUkEWYD4S97XPAy8y5RA2Dt9nkx/I80ZTnGTCpfOacByFCW8XAasOeZ1TW2bq5BHnuY6k1VM
8j7m1qGXFWgXG6Cb7RFJejfWiETJtLDwVGrMbp4ttIXRin+aNCDGAg8pqKpjApq62AKFGNJTRhoV
nOQuNKp7oRsDj4ifcKFntblE8bL2jTjS6VcKFnkldFclOTh3FKgZz8RyAd7WIlW497HBuqAW1jpQ
FL3l2WUsw7aGQQS/p4ym3/Fd++fl+URb4u9jGgHouCoruZKdyyPi6h2jGzvpT2Ew1e6PByIbMvd7
KXskJlnd1wfI7t6WIBb7OYCB87A8FW9cu8TwxbVjAS8RFWPD2FbdhqTRAJ87eY6Ho7VzVqJpJuFU
VgZNiNoGxbyK1A/SBsWNi2pA0rWFWnM/cRDCEysMwl8tfgKPHIB1PLjDRqQBb5Yk/u/OgDdk7jCC
jrddXLDam5G4sSXdUSp1HmpdE+ho2oFFe1kBLWzL2aZgjpWtW19T2zcigGBlyoHXRm1AjOkCcizW
Jbm+DVk5NXPZSnNh/5HhybeNu5bXzKwmPjcop/EumyxKgpJS7dEbJw5+UAvpsky9y9NtWC3OMase
xarmLDTf98IFINh2fR7eIKHUi2POMnpdLyAW26Ujzs6PehOXO3ntD63dcQghWcZD3lxG+5wJML9X
esMt3jl537ljdoPf/yXUfLRCXtwc7BQQqWS4cTFA4fsemKSBSYN0WpOM3IQgTJMXeGR7jMFXM2aM
UDW3tDw9TiiT88iwn+sclaxyhT3M417rYugPsHf6VVAVDBCYgEG+LuMr02LmiUDWpi9uGuMhF2U+
rdOyzMk1MYvv3phyXnCUTRvLJ09Y3RitC/mwafVTpRb/U4zzbV4jwuZMRdoJFUyap0etMOjC0GUD
n5b6g3YfxAa3p85K/rvyBBeJvMvxlg7gsCKUkgWnXvANKiQ9U0c65Ec434OWE95YaahyIT0thfIC
bRxMj1cVvSqGd73m6/nMVB5RWnE+sPyBbzoum4kfsm7PdlQk3wrOmOwuXultY7WHC43hG8NenqCl
MAz0IC9PxM2VLHkta1pBTqZ/QT+tPhAS7F1GKnBzKD1xHSD9JtO9VVG7QC4cMyFbhscJwjljO2xV
yqHdZQGr1cL/7FW667JukgzD4shQxNwuhBQEbyzqpe+5lxkD2mzjl7SvBqbET0kK8rxg0vtcV7xC
bcrDE/laAlnJ3jmBWplxCbADUduFB8MOo29W7+D4JiaYNw6pHMK4pCLj7O2EgWCr09iZsyR3rSPu
Bl0eKdjG9kB0Ubdyu67eF23TEZpiGAyDm9Z+xmMuHlxX0LJDvBGt6fNwSWQMaBLDtkElkTlsLE4/
OQ8hHWtkcIARSnvkfZgDtRwsR2Zbz77jQMJ0xnxa3xHDI92tM7XGjk8OH8K6Gz+NKgo4JK/lU9kF
yabhDWF1ptohj4poaYlQLUNEMFmldltrDgmwHKdzd2vW5ngwAlt76UrTfsVVNX9LOVV+L0jc5bg9
pLhtncmgc6E0zxzK9inNlS8wX5x60/l+iq+gyuNqWxVjhUtwjK4jCYoriJ3oc1a2wb3DGR8QcEbi
b9LY+n5ybdD9Zuljo5HJS1FN/JvsXI8aTsq5F9zOuUbFmurBAKmi1WuG+V7vPC3Nkv9u5dv/dxMe
GvMe6JN/P+G5SdJnegnvjepvf+jHfMezfrNMkDEYzgVnfpRyf8x3dJNRDngvthgM4jS//jnkMaX6
Oyo4ULW2/zngMU30cwqe6PDN1J/7Wwlxtv2+u0vLHJ87Gj1P8A04Sn3s7tZ9QuPREdWJjWfcmBh2
2rBvd2bWumc7JCz0aJM+zF4M5sneJjX0h09ha+O+lo7BWXgkmn5GAZx5kc/Sr5n1QzdV6YWLHzC+
JRG5/trDb32yZyc/hSLA6DzExsZTYBYOzFEG5Ndn0SeBcdP2cX4Zl5VWPOVk2F/1U1cCk5gE4uS5
JzQ7NHATYqP2nvpowoYEwlitnrwRX/ph7NzbCcM/BNYovIyNorW25jLf9QISl557NfbtlglwURdJ
sCuV2u6yRZDVBjstzXRYE0ANwxGZXcQucU3MDtrGHYf7ubwukEk2q3BsarmW9Gwt/8Ap2KzHLeYJ
XctOOYM5FySQ4SMZ3yQdaZ/XrsG4d1j5KdeT8I4p6wY1HvF0YjZ6EMlrAfFEfxmGtCGLIwkBjGH8
zhsbAG0eF3iwsg5DCjq3Luekwbhco6tFig17S+jOlSU2JMpYM45yzsjlmq6JEcoE0wRxXvHr7E9T
Yyfrlswbe9MHRWSxtVt9sDeS0a+vZdZqR53D6C10H59IY42gu97CYtuE+THUtH4f4Fy7TzSHlG3U
zFCXRT6cBUHvO4fO4rMs42Q7pF1KfTmFm4gdYte7WXJZa5G5Lxorw4zTdvsk70l9qvLCWaGR6o4u
SxxReskuy/JiYzphcGMbHibDMB03jsWSbLWcpWMnKA44Sv0zQXTZZz/XSJ9JwBKvZq0vb9LY+YSs
PTgTBd3cImCX57RM+qcwowmF5hIDUhmOZ56HYjf1RfSYNiN52EYxfSbYVQNj1OGi9aXhc3CM5LXn
Jf4jqfHmgf1Bu9FG7NLoejQPS0NtXvqOn4JOgFm+EbJOpsdSeXBobDifKkfk982EVXZFLzUY1+Tu
meM6ymo5rgt6lse8NhxUdNiJsNTl7XEggGk/pEnwaJaFeeHNkgpClPbwgLaZZGa3hBmw6ZI6/S4G
y+EMJjmorIIiz6HrFNSUzFAJYZzlsR7sh7iSmybuLHNlYc64FFMZEM5DHx90Xt31N10QsCmNY3Fg
rtwRbjdxr7u0qc9h6uSPNcrufY9f4ffBCD+LCtUcrST3xJ3OtlOJr21qSjSkRHiffacJT3hC6odA
mPOXzpwzrEfDaLzENG8vtDmXMZucKU9DOno7Ky6/9V7lH2jCV9twTCDGIH+/9xK3+0JUXPp5Subo
szm0kb22Kzf5XLGtYdjgDXO0tt7rUhhb7EftLiqdi6FASZ+5UbqP0azd5F5un4YRZwexHkkMSpqc
QcRRQJdne47DFUkK0W0ONuk0auVYQ/hOiIIX9HBCFLu02Vqt2WDNnbbF0KFT8odQXZd2JWWqjME6
fohmONFNzDfmZBuPFhyem1arP0VzfR+Xmnwd7QKdlu71erKyB4aVa6Oc4wfJeOgiQ7J0qbeoJp24
oXyMgqNnNfJqGuqKV6Nr7mcg2xu71osXp9OxiQxzcWv63vw7Z1AyooWGe9rLhpKzYWB9AhaN4r7C
PaQiKbEt0IG/YrjcPbWYC/IiDciyyXBuJUJA7BnrE1V68NxAfPuW4ileN311STk3bG1nGDdh35lf
jNCPDqYmDST4jDcuFzaohReCJkdrYGlOrFC/htSj7epCaCFmALc4J3HDcbBsBeVdxxGsbyKOxxA8
qLfpfTAYNuig3RWDRcMjCQbzvm+BhiVDRkeAaF6O5kubzPfD6c7SaPUUPaj8TrHNadtTI02tam4v
c5gAaApGDDcEvjAQhQXtFDi70JprGUBBWAUd4kKmhphkmig8FpmLTqok7uWSgq64RlCU8IjaJFPq
4wve1PyONMnpCES8WfMvDdZB7DdHOym9fUsT8VJrDcys5Dm+WEVtfy806xWNt3FJQ7pp11OVTcBo
421FGcFLriVXwxi6V56ZJJehjlpsFc8voQ6vqtLVuGMcPxV6fY+ySAeKXoekc1E0RACvdpEQNn31
2TtXoi62DNdD+jHN0BzoQ12nSR/gfIn8TZ3X4nNU2dY+Dmx9x/v+Es+5e1cZzbAOcT0+BFKwgoR1
SXh9kiG88u30yi5EsLbJ4b4qYH0fUIVDQXAyEA4W+tMzT262IWh6uGVSXr9WY4PnxYBYxrHHch8D
BnInvuG0MYYyXxd2aZN+ldjZbeZr2GgNOogib0nta4hDxMgUXSIGkCvq92LfdmO3sbqxfTII0dqk
bkFYlEy+tmBr4grz9Mz2eAmyIehWTjOENOCqbJU3Bbr2LOTwbY7Nd2H2ybYTU3cf64697an1t0Xg
0jV3oQPQXfLvIzIXrh1dtvvBMyu+RVTf9EFsCqI1PUUcYbxEnyXUjkN3Qe88XNs5XA7dSr+iZ+5I
xHCTVxAuYkvfiPvqul9DN/1Wk+d2RCkp17pMkk1l81fkP3mrCTHCoY9a/ajT8N0wCzd2RhuJyxmy
1IsXuygm01Db077QVhZDmHNM4/tkkI+7K9u4Ah0T4KuuUu9gMpvaSSJVNhoQ031ihP1FBK6N92jE
UgCiRtvoE33+sSz6rSmb/KW1ByojXOtRF+B/nkLnMPQmnUH7araG8pBbWbLSEXbsCmG/VHp57lDG
r/IIR5sVw7yrdQ3kEOO1CP18GDoRbLaZE0aqOwyoi2tZ1mepjOdNxcQ361Z6ltBeCPM7V2uTE0HC
wS6vS6AIHjUfPQID4XN4auY02PlWemVmmnbnkeC+T53OO5DfGWxmMztrSX6LUSbcMa1nNoAFeO2k
09nrO7FJ6KLtmxaHZgurbWMFBe21sBP7vDdxcGrSvAE9j+HHAwwD5Sw6YGYqGB+Ib0SSaVsbrBx9
ITTSRlTabGQJ/tLc7M6DIbyXKJuqrdR4/HDoHpyxz9FNYOak2gtXvc1QE1txdxyz2jvEeaDRUZnd
U4ZDJ43sr1gOPv1vLfWf8hrBHUVJ8+9rqetvv9eMsN7XUm9/6B+1lP0b81I0b9YfEUj/0Mrp1m8M
9CmaXGosdtl/llKWKrJMw0TctRCG/xyOpP8dfRw8mXezdlt3ESqgoWLcThKSzRd7LyFIzU5jgw/7
SzObvT7EZIPcldGiaVXxlF8SVGJNhM7CqQ6/hZ0SNvOoDw+2Ujs3SvecZi4S6Jyvf1UrXTRtTudy
XMTSrdJNG4uE2mCh20Ge7L5YSmFdL2LrXumuvdaNrpkfAadZZNlQMo1tCQh5DVHFvG6Vfhv4YLXT
OZYjENfz21bpvL1F8o1KIHmEIDWcFPC/W41KHa5XA+M/PdSYdLuFd5eGbnZXGy35xijLG1egMVdq
c6ey5ztE7PWdSp/YmUqVTkN63DLzbk9spTNWZZMOoiPGrRVaEi8LmcsPHUCWZymz6kB7xGd9nqER
VlXZ3CLOCz9XWdJNa72Iy40Z9Aa6BCnupV2Fd/boxNtep34hbScfL+tgMC7dqvlE1B6EP4EkEiRI
D55UN8v5IW+7ZK2L8fdkHGuIIX0CXUbro8uKtTCBk2A3XwlJ4rxXcQ8/pUmcXbtDH+60NpxPdQaM
bhVOJrk3vSsV/BDqQ+xr0a3hNfFBS4MbTMXxDiVYAijMxqLJ8P+gD8VwOYZ5d5lrIoJakznuqs2G
6X5S+vQE18i6Rdd/40JDOExGlV/JSh8urSafDiTLmc9EoRcnuB7tPWP0dMTXrCXb3CiBx9QheLGs
xAs0o4jeVUJy5vPT/KwxB7lnvt0+Ab1LvzOv1B8Mpl4bJxnzm6yxtWszkuRYIM3nWuHdIBXOu60a
N/ti1lG/QxaQb9jJdULEE4i9uq3BKqvH12pomhsSTIGXju249sw+qigsJsoLAr29F9OMMRqRLImI
WZtN8ndG8BBby8nDc96oI7HjVS0I+GxeZXqBo5pOAhQIRGNoBS6W9AJ4feW1VXNS6XIdS60xE7/T
BONuFJo3bnvNiy/LGaRmSiV/0BmGfGOdjm/Z5nKeqWC+SSiDS2QWvvbiMiDMVn7QCG9VDQ6nZ5Rd
3UUeORJqITtVRE21or0cbxT/8UskMv1zPcbjpeMl+ja0mu6Klhy1VlFW/bnWgvmpSkvDJo+yHC9K
JAcPCDDsG7eycNCUwZ5KHmuV3rTYZkJjm9hmS5ZqP2ObFSKXuKgqMJkchu2N07SU5w1YGix6ruMf
mZr5RwOIy5E9rElXQK/gAvhjxQzJqf3skWWkvJ1y8rvzoNK3+IDsbaSVHIFDSvF915cIzHEBbWu4
eTdoJYKbOrSMjVMhYEgxXKF3AGzxufFDyXTH7aZ7NPVmsC7zVNvOsQgPtuNnp25GCr/KNDn4616r
7H6Xl5NObA+tLUgweZJdaxARHqVgck97tPDLtVVVPitJRLztnBWvKcIkd9U52XhlzpIjMinwUbKJ
p157DPqmoRVOEoKPaTmg1RSJGI9GjPhhN3Iwhs7kluPZSHXxuW78vFvTy6jLapc6Bf7NK4EycYy4
cUHWkchS92WQeetgmBy8i6PeNfq9j2d8cj4Fkj7qXatskYDMCCXIT3NpQL9bty7ssHJj9UYy3Nfx
GHC8DxI/zOEUpvpgf8pAfFZy65bAPXZa17Xx6yTLUiR7cGN1zcbF5va/PVXeo2//9/88v2YR0qum
raOX9p38nXhMNsp/fw74HDUvJBFF70Xzb3/qx0HAdX5bpLfCJn5BEn2InPAf9E/jN4YEDk1NC9Sn
6p/+cRKgqYrtGFg9f8eQ6A3/2Vi1DOifJgAZJPWGkmL/LffxRzEjOHL0qYj0Tf5tLNrq7/+Jio/Y
O0w6po9vA/w6E+OtLWDUY91hkrQk0f3pAv1EPf+zD8SAjXaeNorriA8HEWjZRom9zb4wbcPdiB7a
/6wUwU7qVodgQk3x68/7qJ1UP5A4Cq4XknXXNT5oJ9nr58bDgnAhi9B5JvhAXC8CgEYFQf76oz7q
GfkobjVNcOoqXZLh+P5a1gDogy4R1gXOVOjIEvm/3c6MexwjYFJFB+RRJjEzIJ9B3q8/+ie/kicJ
W4br6lgTFmntn24j9PoenlZtXTQGUt/cLZW02c4ZGtJu/ausAfG+F4/MGEU5qk3aw4AASeX98ENH
PGeZHCOLHhcGCWQ1THlXQ6wjMOhbyQQuR9oYnsAf0lGBNNM3zJUKpCBAsJCKGflf6Z//9eeTd+Y6
DuJY6cC9/yD9Zm9AOwSr8QKKHT/XYy1F5QoC5b/4WWpIwoyEgxVq5fd3mXpdT0NCdC/MZkCjZWkw
X9tsBLKCVOHXd1Vdxz+4+uo6O2ihObpTLfBofVTPRygcGOl11gWn8u+Nwb6EKET7C2PCz64di5BY
PoxV6sPNRCxsydZILTK+EQPHbk9713UAdAj0DH/lIFlQwh9/EkhIAbPf4hJ+HOO47NL9rAnzAv4t
HZ1FlC58DUUDdOvyya0SVCYqLWoJBpnC1jwGvW8ef31hf/IEOwSkoOlVr6oa3L6/ib4hDN8nyf0C
yoBxMpNcQFRQ4+ZSa3hCEZNk24TYQnp7c4c7ZHl5beUq+U9Ep/zsDliUZoQyc6cpDN9/mSTFopcl
JS9vjxZnmf0vARGoQ/4qG+JnH0VWgosrga3F+PhEkaWEbElW5kWE+f7uLUGRvi1Lvetw9399ld8v
9SzfhMrix8DjTCTXvz6+ZdgWKeUSxnh0V/OKVBi0+ybiwXlA/NnnE6vDrz9RvF+C1UdC61AlrsOr
w2n8w3ZWJjPDSCG9k+6jzrJc8sqZizQ4GgdiBqIGev92UViEboxSK+CVylBkX0g4b8PGjZzqMKuI
lmUFeZPPTTMKNeh6GukDkZK6/for28sW+8crgYvOAeenjEHY5EyHrfH97c/dMbbGjAz7JtWznT6H
866IHG0XiCbpCGrIJnwaCDBqiEQUm5OzZe7qnGsEa4w8SMVrVjRpWXt9myRKOljt64hTlxnOohQy
0IWHG6btKNtsgXRmJQKKmkVIkqrUJIJp2tdaqRMlBtOa6YwBv98g5bZVTgA3sMxTHXMBF2DGbRCl
6DOxAnqPtKUICg49vxIHwfwOY6gM62GTeSEso7SO4HgEXWQ6+zSv+Awl+mMmg961cnWdCtgymGEo
oWMTFjwhpYUsBR00AcEaMgbnNCi/AwiuDG1zLQgpSNKwfUWZXz3JkkrzlIlouhNU+rdgRUDzz2US
RF/F5HHLCNh0lPMUzd3jEuCXt4nznEQGT/uSXzDh4n1tRKl2aNKInjOkpy/l7BuHvpLVXe0QbG8P
SIkYhlj9ivUXntngAZleL4pOzUQ8gk4MH4WP9AtAA1HFWDAeJxp/+8V0tNhxFtVPOxtcHxJP5V3T
BPOj0SPXLT0lscocZPWC0v81yQKDVqXZQi9ooDys3an2Hju4PSrVFUDqW+h0pqRMS3Sx1SkJ7bLL
5ezUjIqdFLBJBjTxEFhji4xRSiX+CR2aqFmOjfsUqoPJ4ntaBM16bKAowqEwblNdU6m1SnRagQEO
N4mJ6E86CVdziuOyRWTlgg3odV8CZFPrJfm5yF0aq8d2Y4zKVGfaUjX1mVa9OvDcU57ggMzgJXUp
1DATbCabof0akTRqMDlZ7DdQPBmgiNzkWe6R0Tw2OkjIvdt2pIZpaOBKoRKfW2rScQeBlUMHPgUG
M6UZzPjG0zlYi4hoj76o7GcHhwI2yCWG0p5EfR+Ys3GYSSiBXkfixde87/MHd46mq7QChFE1YyFW
1NjC3QHqqk9RWvTHIFXy7CYlRBTEe9Ft9MZ3UDzO0bCitUcgi7Tj6ZpoQP0is8KiXMF1A6toN4in
kZKvp3yeHhJQh9uuADZ5SnQmGjnPJIQrvcnPyPDod8d+lyHCqtvvrkW0Ctl73bXn2OSDTmPso69J
WJnWRPlm20Evay6CChd10qRudo09OS/jLMWmUdGk2EcAiitz3AAFBaAGhSvD0qIrrr24FwNIgCb8
GihXgyzaklxs2NNou/0LMbUSCHYzOE8lqsUdpfz81QmG4mRajOSZtlnzV3CzyZa88nndiJ7b6GKf
BAg+5F8hfcl2g1+HkBO9lnt1GG1WcsRHslG2LcZP4BV6Di+7DF6xWphQVhe6f9chozxiESyPMflO
u8nupv9g70yWIzeyrP0qZb2HDPOw6E3MEZyDTCapDYwpZsIxz+4Anr4/Dyp/U6aqpZb921ooy1TK
YAQRDsf1e8/5ztc4qdVWGKnxMEd1+ZLm0l0XM8DzpmJYmrUQD4O8ewsGl/uDnOVNbJdiPcrO2pVN
zQ8KDTS9mEBIZYhhjMFWEdbGD9D0D2uUXyCYVh2GyaTW33yjrql0w4Pt6NDbKpVq5V6icF2digvK
UiA0bnqkzmTmLjo919Y5uk3ut81aVv1u9DCykwr3G1kI9UtUpJDoImva9QZ4Uxzx5j6Kh/KBpxIx
vWTYiGvfbdWqSUy+0QBn1zWaLlAWw9jcM85lURtkOw1vFym2YWfcEr2Wy2/hd9vZFURACmzbmdAl
s9sO70lnsiHVS8SckYQc5rsD7oAuGPHxhePkmVstFUEYg/oDXw4qgGWNnap+jS13ur+oCIO56BCJ
RDyPw9GL0YXbbn31kS5DX7Lp9x/eZnZjCrOmZredOEf1PeO7jS8Rw8nG5dYfBenQ7gTU4nAR9DcN
y3ZdByQvrXL0j/AX2oR6TiA1sZzarrnnRd+Uv3qZCJtvcyNdbdcY4m0RDFCKM1d9xefXMhjMDe8z
w9bo2ImoPxT1nAjyNZN0hPGZiS+9HN4ypKpbz00TJssz28cLxP7ReEwXZAuH0BbhrUSByCwnzbdC
qfaQGf4CErNqPjGbLgNgWa76JL2uPCP7/ga1+2WyXesu16xL9lUdRhl149YdG/s9AfD3vqSpekzG
gG+OO54pK6GDEfLugAAAKdIcmEzRBycfiCVUZFU0Ja1X9vF1PvaJOgzRZF65bT3fEBnunP1lSmFu
0FUGi8i3wBiMfgLwaajZW6Agxc3Ude7dglbijubbeC7TsF0z6O5/c6VRbOthcb7UkS+vBr9ZUDnG
duqv+hA+cQ4cY6VGwGFw6Qq2iyj2AE+G7gkL2Je4MdSjGpIcb/Jo3sCI837NlZ8n664QEc/KysJO
QoP5NkKICF7Ec05GpCJ/JWTSv9kpM/8ycMixTOlfWr5p4GVDP9LtLba8nUExK0kTsW0myQyppp3A
X/3k500DCMxZHptUID2Yx+VhYCYNjTpRr7Dm2nFr9r2bngi2mbx1WONbXIUxQ9BbnwTwZh+JsT9w
yjWus2CpPwHTsmEn5iOMR9sIzBytaahuFU/4b5Zs+5uxaeQeZPl8VWV9CQApEjFKaIvjBfFU7R4h
B9TShsrCWCcykA+JLQnuqbKYYXLPlveaTwNksrnwIJ7bbKOOOYPGJZKgUhu77IjbLmAg3wzBvMC8
jVorBHQUwN5k9/1a2/4Y7yIStNBXo5l13dbeOoW/HPoxSM9kH7WfGCD3zyGBRFtCvxk8ZxNKc1iE
K9dESryalizYOA34/zUqavGO6ZHn0GDOiIMYGBQbl0t1L4HC7mnEBt3aA/J7h+d2+mR2yrjx0gGD
Wuq0zi6kaR4wW6i8XdsHnlrXdgpvc2TtfkP8OX1uQmf4DZ548K78geGr2fhjv8ZQgJI9qwsmGDHJ
Z9+WYWnTTUck/HgIhuabJ6bkvs+waq0WWm4nB8FBTWB51W4EmPh55QYkSOc8ne+MAq+NbfrxsIkS
avaEWHkCE0QdoIYZ3SG8ykfm3IYbyBeBBwirYrJkd2htA3MV0xZGVFMUw6oiCgQYg8O3VtBAcg9l
g6BnfJ5EO8XuBwPhP73Qv+mF2g6Wuj8cbTTh8Xdyo0ZI/vd/3X6Vb+8/TkQ/XvJ7I9SyGHvim3YQ
3ZBJ6v6hEWrZnHm+5x7ZzEDxBKPKxCED84FB7Hfuosd/wmhHq0cf2T26XN95k783HkFVfvAn/00j
0rKRx/6hveIBCwn026CbJajT/lMmoxhcJuxd49wEcR88zzh2jrNjGRCPlsLczKJsW/Co9cm3uJPZ
J1pcxgv0fCL6iv1IrXvtxeZov3hiyW9rOHMA2SaJBM1uWkYoY+fOYNpc+YI1o9sMycxspZltZlMy
ZDSIxAL8qi8quR/VbJ1HDA2vlYzl3dJFVH7aizbCJ+0CcojiTu1SCPEHxFqY3rpcjvTd5mHvR3zE
VSMY7q2ThLSzjYEe5d6d58DfiSlUyYE+1jJupjwzv2QoxlCOzHn+3gZGe8dWL0us4uV0F8d1D7M2
ifndy4az0IrNJw+O9dy5CwCvcWr2zC34r06P1vJEhjEHOZ74Wp1UkaxQclA1TiEfkFNRvBikSbRY
Nh/ssKkfIjdLzkuWy7u2oPjJgBFvFPJHntV9DRVSdcGhjDgmrjMX4QYAqgHTU0j1uzFwmVCtOrn9
aWiaIViajYrNemgPseWl476M7cQJ9iGjn2QXdAQem5spK7vKXKPpn27RI5aVtR6Y7hzd3qpHjMNJ
SzBE5tMgqPJtGhb0QD73TeH2zlliI4Uy56NRCr00ltNt3ko3ircMb7to1eCcKXeMgEKc9w5tdYoT
Mnjiu9iajR1uXguZk8fz3OZijhQz1z2zXLFhJuYH9cGkaRhf2R386E3r9lIvnGDBr01q4c6YMpXD
b/ZVIU/DMI4Nara5zAaHKKi+l4rhU452v7dekljY9vLKoGmuuvdBtUMJnTZfliJ+uNzF/9nw/nbD
Y/f56w1P/ev0teu/zn+cGXFO0C/7fdMLnF8QF9HgYd/7Lvb4ffoTQECijR4iqKdh9QM2yfqF5RUE
IcCWy+yHluz3LTD8JeLHsQ1GtokX459tgYTQ/bgFQmbyTFApHHBCWtmQ8n/sPdktFloHJeMhwiqN
ibBzmIBjdMyvRCy9q8nsWvmYeH2MrjQV41Gm1fCAIlmWeyYZcw4FHOLSigC5FN/a6JDPg63DbuhY
YexzU1RTvQnEu6IRFLXZepkMdZvklnA2FrFfT5NdeS9+Jd8KgJ4JP+pJtrH3OOT18tB30RNYT/jm
VZO7uFUKqjUamxizCZi7GdmvKwTkoXXu/dqBMzaYL1GONoVOY2qfq0rlp74Dlo3IkrK/4YXKD4wt
aTPTbYkFfGMZlnWOF9sgHcyI6LB3hC5wWsBhJMul46TCNoIoMm/eHEnsyqL6aL24fba6XKhLqHkX
iC98/ylhnj2vVpZkQp53S7gPCQOu11k5HheI6msC5nhh7ykOxTYj6wx1Y1RGn2W2cMCpitB8Qea+
3PiNjNZozEm7A8x4wFXcHaUx8u5WiH2e0Jl516dDtFZp7cAYHaKOUIqUttZK9c4CdD4cdXJqYryO
o+M9AgNma/BHx7ruwj4y98qziuc5L8Dey2S0XjqYA1SZk8lPK0ox3YUYUr8tQoElcNr4lItJvBso
0m8bRtv7y+dD9tkdWdkdoUb8ebQBsqPdK3E/0O6s1M7sxmo/YhYkt6RZiPfjIvfhPGyrRY5iFQyp
fZ2EFsLS1TjQRLgmOhS/VlxY+XJAfNA5O0EjCaMyOIaaLgnpGpVR56fFrY+yc6FbkGE27oY0sV8a
AuL8ndXMIbEjubtAzitZC+TenLKx71H7a5Fs33speFCi/OpyKZ47wykeRdPNL20j+uuwcqKnbJHh
Tjh252+YxztYJcbkKm7h32Zoy1HSzt6V0fBlh34GiAM+IxMvkn3W2YIMxVvsvtp7jD5XudeSq0N4
HASyrAGmV6l5H7p9hMvKdr4p3yH+Ne7KsuYgvEw8HmyU4LsoMwdxmxc1PwsHbrPzax/2w9qljICK
KLs6yLYc1PpzXEbzTbqofO3UebpZBjO+Kf0yJQ8QmejeGiILg5hwnosxzPfYDAwaIb4g7WUa0jLc
55bZPw61++INBbEYnvmZR+WcrWdIPwIv6GIsW5kXNwAiUHX2lu/v0nAhpy2wmzXuk+qUxFRpSIPD
jryFor7v/aV86A3H36l5Lu+91LVOI7ww6BUt7T8OMTqNZ9hiu1tOwm1zXIe2ctaq8JxPE6fGlVfO
JNwgqOZGRe+KJJUjaGXTk1kj9sh31SCnrbbLkDEbZwQWq94gg8bhZIem6w5tWX6FXsW7H7yEnCXs
QTqMtgfTAsMkzjD3R+51QQTtuFGTGbwwiEpvYstKfpu7LINSXh87Oq2bpYnyTcWsXBGjUpNiNGfk
Ca9NXvO2tFEbboysI8kqqcv2EXFpk2GdtsR2FJKEQOSjy6fJm000K624lU7TnRazqZ8N35v3dhuY
nPpmA8MpJhjT2NKTpdSQxUDogqh6goEqz+JW9pSFvl+ZG+n785WKKaLEtPSfI35/h7RaSoZjU9ZB
v/GXBPV8TBIfYBCdc8sRmUxBHb67MttxXJMOWWO5q5qOE70tnvwgMdG8FXD57a7MriRW4Xkt0byu
6AYTGeX4dLww5017gf1zrebyjfjldtulsw1buw1u63k0nvKc6InVaDOxwFaRkcBSFQPUlnDpqN1y
OJQVvtVasZkDsGRX6jkBv152ljYfYny0ZX4qMCxtbGuxIHDru6iBe/c4LexRHQ7tjW/A5gbjS4jJ
Clskx+/ar/ZTwvbMCdB2uR2UfbY8/UaD6KZNhX7ZWRcyX26UqSRud2VE1S2P7RkiBY3uTV0vwxa4
9nLThZb3Mc/5T7n09+WShpz971qZ26/qXzdfp/S3+qdySb/s+xnxYjN0fQ8uJEqKH86IJjBJhmdU
PZRFP4hlLg5EapsoZM6otTJ/qJcopRClobTVwEZtXPwnR0bvx4E8O3fE23shBjkOn5H38+y/zdyC
KUKVXXf2mM5vbu16/aqiW+tuTUEoZ7TCs62y+ZDCjymNY22LxuuQfwfVgcx4cw+VdX7vHEDBa8Ns
vDV2dblcTZUffG27Itig/fO7pT1UQ0JUKE+YQs3uo4ESMRwT3UG3G5gjQYUw0JwT9IJQTzAPRXfg
34bggV6/JJy38QeSOx+dioDXta/kYL4SGg1jcEVCLNaaTtT0jE9paKj1FAaAmmXpgS+AjOPlEw1q
6AlN+Chs2mrEoaJUYs+ySCzB7Zdh6++f6Cr61jbMgL+YmD2Y2I37qpGhTYfTLEkSTq00B+Ztthj4
+24XtM187+GBh+g9q4yX+rOx/NpUZpDe/Oe88n8SrZMtjVDnr2/AV0r3n24//aLvpxXrF7oqNjI1
lxn5RxzG99NK9AsMR5ssZUBtoF+1Pv57x4a2jL4pELQHyNX8gPv5O+XV/P9Jqv5RvOABCNQ2Y4+D
FMcfrfb58bBiSb+VpplQ/wHJoqldJd6d06nmdilUuPnDpfk33aGftAuX90IqaWrJHgajn3UqnFpI
egit6hg4qHwWiSIlo8p4vnDxWg0/+uv3+0m4oN8PnqBtByAFaUj9fBCjGLWDJjR5v9JiTsyoD98V
kdfoxibXOVaDBrQ4kybV+Kn99Ndv/vMpkDfnGOi7nAKZe+lN8gcRINQmJqB9Vx2XjkTEsii1HMeS
4fWFEHoBdMW2+Xe/8r+5xACAQ8f1ab8R28yy+aP0cOiHrFNhUB4vqsPLZF/C6Ydpl3YQQmmt/801
/tMbYkgnuIVFpKUWaCR+fMPMNCbktXhnYIog+aCFQ5OPUXsZOsavTvwdRfC/dxj/dF0DDymKPsZH
XFzEKT++Ib1o+oXxJA8jDIUcwXHc2xTLeg73IVSbYbvfhkUFeIJ8iHMrveq5apoAo5yfL9UqCfrg
TFS3Pa46/D+wkfRRxZqi6YWc3b9ZBUiN+Dx/VKLwvMB7wL2PsJS2xc8CxqqMwiQrh/HgBU7iPhkl
ycxXfVLgykhqyl4i0Sx1oiSeoUcAwgBAVCXzGewFGBtT+P4p5cFwLGcN0XF6RAvCL1hLQP2BkC6h
dTulohQnadpIVwhFsm5LW08vUX2hrqGlitvV6JigqtleUDN4k3WLsQ29yag5po0BlsYacGHEqaaW
LJ2svS8hJfZMascySQJgW2akneMhKGWX8DdpCBrwkJnS+ExecxSf246Sl+TzrMWnHvSzkZCxR7as
9ZVVOhEDZ6XYPm4GN5Luw1TN6royBeIa4k7oCmitE6cjNoLuwhudZM8wVNGrjPIW+iJU/+b1ogRc
OhPcl4SDvp6kRNlWOvKeeRa0x6glfHQ9mZnWmXdA2DoYpR/T1lLGzauDAv9stIb15GkBRLqk3psX
gT8+QqefXv164Bnuo6hkMqylpEAe+U05+KpVyQS5XV9gW6QcIuYZQ6SoF9truECrizWODlvffF7C
FuxeuyCXuKB5E6RQraM8ZzcTyRauo8lAmHFRpH2sVZElQOyEkypsB/lEGZLV9A1czybub5YMiXsl
mS0b3ZyLUxTEaQkaymjLAf0rgX5b7HDis5BoXcKG/XQz5CPAoQ/KELx6963uw+YV6CQ3/4W0p7Uv
TJAZd8NeYmXQhyG6XKPdOnwwKOz1JJoeA/oW6dtcUu7u5pV8PIbOSU13ZidplCO6EZZzHAVYoJVq
NIZYuYBamP93h8v1RydDZsAYuluRB8EmCg1cSW0VmbeXvzPEhLaUSNjYNxZxMPhdH0QwyI1Komg3
tj0LWOjbwx9yfI1MxWMUFThK0Af0aiTdbgqjs4M7vKNLRS2Fq51uT3Y7tH7feCsoBPb02PgV6o1V
XE+x3BUZc68YTyfTR3JjzaOyhkBiqid5HQdjP6TGfjZH4KBtYszxGTKRB2gB5ib4RTEO8bW9RPOr
H5HUKmejlcRa9Et6r2bDVjS65Sz2fcXgoefIqVAlEDRphNJY13AlEA5LqKhJ/9Q4sdhOOkgorqJ5
FznFumWmdlROS3RjmDm3XshUjsDkQxzN09WQ1NOTX45kgzaoCHzbmG/hbvlaqGC99NiMN42YffiW
k0XKqRjOSrQMHQZ6jb+itotc1ldPTwAmx3QlA0MecM8mHDFNrRUw6+U27MbkHQkIdJ0yDU5VKvzb
xqyieDUu7nyN06TkC4doWRMjl2iu1DK8R6lAatQbY5JuWNzRycX9VW0i8Le0J4IgfnYqFDT0A91P
zPVxSnftW2UFpJcXpuceWuWwZcMmZ9EhdWZJXWCLwtK6Z/bl6cxjjrVsx5VIYQGAASajId3P/dC8
evRinnWqM/zBJCy9lSfldKbnEzOgpLb4EL2RBgceNVdvU413JfN8Nszazp8yw8w+Z6T6gHXSGD6Y
xvCOAkBNYROZONxRhAEjDOsn3yu3S0pKZM+vkewspwy9k1csZvR5AWv+a9kZxnIEsTmGR6fsFket
raafdk5nkRjhgxv7QrSg52+7ikN51MTXYO2S+67PxDEJo6dAiPa5GLq3uZz07p9az0T9jZts5DqR
HcU+7zVWeiL2xP51NMCJrEm7MW+aSAWPNpY8TjdSHT2ciHLjqNaCU2UFTIrqLtxFtHnuphEg3Q4F
53OJHGRTTz0OIwlZdkMsSktkTeF6KFicuLqtAsP9UlgOf7/hidV9Ah9ox19g0KUdSIcmrndLWNP/
IPpqdBk358Y185uRS1fiz1/oEL3MQUi4kluFdyS2mpuMXwm/INHU5GzE/Ws9IS5iSAdf3lHI1nNL
8rW2EcC0lMwVNgu3SDosjv3M2DALbw0NSetKolM3wIr7d7PIIiaEHo/B3F9YNLRioN8mJhClydBL
ifYYnT+hRTUXHGN7IdVkJKw8S4zae3/QOGYAbvQzcPEnq/JCagtCom3ThokajfeKJTg5sP98SFgl
fUQE1EUHz24Wkn1QekmPRVrjSyPauussrHnnjIcJyWcBMtyLpsf3FPq9iwyo7nhjJ4aRv9D2GteX
LTAQGj4ZGIle+gr9+/2gKsRrY6Pca9gktPgLD4Zsp1V/lQOzhLZmx4qwF/R4zPqm+z712KdLelII
AFttBqBljIoQPo7l7z8+llV58DhbkVFJxIYm7wQa9wZSG7bkjElkkNS+iDogXgIMmU/0Rv2qh0lX
uhivYGk5a7OL6ldl09O9sz3Jp07Lht9VyYW3rGhgBWe3bYqep4U/uDVxbSLRvUgVmkCX18nk+idU
aRlG9dabH2OwYq++sNhY547oMdV0WpJRjFnPI8NKnhRnZMK5zcK/dhcn7NkXsYEWtWGemlEY34au
jfYInqJpxWfWGmIDJJs9kcezCgv6CHDfBuvJ6VoeTwltxXzXBRq4mEypvqJtzSoEYspjfWxCZGAl
mtLqMdbfaJY5fE1jqTGnPavIsFpODYO9mB0gaUI2020RMqN+tozZ9VyuE6Xlo++kxvgo/anwybbG
syLCc5GHkc+jCi+sw9wzARm9m3NSfa1PWUi1nOwnNSAbtCg3CrPG2WeieV3HRZluBgUGAEiFvS9p
sCrAPcI85W4nbpEiS9hfYt7yD7N014tORbY0N3z97bkO2VlyKYyXyYjSkzGQqiV7DeSew/KQoOMm
aY486GJUHr9H68N/iOlQBtGVO/fxumW2nIRs6U6XjDvLTKxNt1jlqpsmiCUSo20yFNa5ctlioOEO
9C5oca6snIpk8Mv8m5G63i6UdUwiXl2irGxlvYEVpUj8rr5VBAoaxXwXTa46sq4pDMbWvIuGxryj
Uy03Egeo38/lYRq9dkttHD9O/kiIEw/RDa1ftZ1c986FqXIDMr564NvmuVxNxYknX7kHf2CsQLQM
67D0t0lU3Iy5i/uXS3VnQsWBVO6Pr11tO7e1LLEgwh6lgJzafcGcHNndvVNaZyq/aktImPkNc6R3
cj4GBSXJW8QbVYFy4xCt7/LVa32+EHfkFt55nqPEphw18YOKQDZrgydwv5rJuGYHESY7BM8rdsOB
Uf7Y2sbRd+a2uelBiCJz1aTR1O9YkYvUCbkxRtr+fs4V6jpJ2f03R3F9SvrhVBJyLkGUSWOBKcCf
9PGLtLOIJ15zaC6oQspYcA7/Bw/Vn04/gHEtSzP2Ofa7HNx+PK1FMdEhGbrYQ0F4EqDLILCeoA6j
YHYnUH++q48ul+3wr0/ffzr68756outjzHBdToo/vi9H8sLJ6qk5XBDLg1F2h7KfimmnAsH+VaPa
Pvu+YC9u8YOmf2OZoG/z89UlGppTMTc4H4KB8g+ncLLa6J5Yfn1A6oV4dAk7+ynUu24WMH5ZYcHm
T4THHEt05f0BkL1cgP+0zP+2Ze5bf92x42Er/rV+6+oird5+7NtdXvq9b+f9wjEL41voe4FtX4yk
v/ftQpcGuEVvybRc5CwYTf9f344YW+a1dGCwljk2L+Or/y4zcH7hr8KFtp3Iw1DoOf+kbY5Z7adF
htyLIiVCYkVAlOkEWon1B3siqv22BGiXHaZB84etKBfBZukTqnJbdjjnB9mg/AzNQPjHmJhrPIy4
BAlbX5jTrG1FdPOOOWmZb2uvTlqgBrWldOIz4EwUg/DLy5RCDcKFe2xqWMO1B+J8cEeW9KytLAVj
JdQLmtOkMuQ+PMKZ8sPCoC4iSvYV2HXz2pgLN5zMen1SrGAyWcJ23z76FBFHr3VdwQZejTWSpr1N
CFS3pbDUL3EwFq1zaAP3dku5z7CdN1aM93iq9BBbL2jUMrWmc6fdNZqJDLe2mYLuLrGrvD7hAKjD
kx8FOFKweD4VYODpRWiWulWRub5uXCjQUM3YBvJRNz8+vCO2neDgAZj4pCcXb4GN/rOujfHgSOF8
uhitKoeDbu+YtAv8Etl2oh1BqwuNPvM1cZ1QGETmMP+pFCkA+vesS7kCl2SrVMPenVi3rCan469d
9sJSpzvMiS5Z4LVhc734ipRm+pOAoLH0OtViBJe3MASf+K3dnPcMc6d55WzL7x5d6sVRmQ5k5bS8
qkRAvZBTYYUyhims0ukmi1N5dOqIODldtvOw1NfzQwBfTiU9D9Y1/8/HFwpXlIKR+Euqq1F/w5eK
ka+0718QjwKMV5egpym3qZfMHrT5Ax0ufoV6BpXHWsJzsAp7HB5rD1BgqlNfqcDEZOj6ZnYNbx0Y
AWdKtFZkHjZ5KeAx+L3r7AgdY76OPusbRlS9X8qKVnGhzsPSe7gpcN8AwsYZhEIgewgkTkDASfB7
G6u0nyoKlNfLWRDiMAs9n2C97ygB+Em4kfiTBwGfTWi+LvwMDf9W/Ds9CFaD3WneY+QM8JQvR0Sa
+1DuiyDgAU3GK4vPsKl9Y8kwahWoZngP3Ii0DnPAeCVUq104KNElGImQJ2sYJRTuEOqor6tM421z
VLZkg7JESYjR5t2a0EL3EIBcOBqZpOielcPnTpeRWrXUQHGHsTEWD1WyYmJrJH2JKipB/KHJ1FKv
EzpZdMp0UY/OmJ6hN9Ijs3p+2KD59LS7oi3xohyiJWz/yyG5a0ATX5bwpYaetV8VaCOdeb1IY59j
tXJ00oKykSZOCbcCeYKIEQVMlJ1Ni/b545w1wNXGO1SEukGmG4sfT/yPOAkNFPZTXW9faiBke86R
aVb7ip6ahASvISDMH33rySXX99nQrcVVwyEZkUqblLjecFh8hKIsdgimWXgKc3QKyD4wU/eY9hpe
3l4aWChdWWCGzkCBpcv1ubTnLke/DysHfVpceQLKstKBFkvr8xUO6cxPqBtCm1aFEdJ1HINeOPdZ
KzE4GR10R4biS7QxiyY4+F5n7j6OonDxOHgLBK5Tra29zgSYZrf0wIa3ETdFvKI1ygfiGDOdS7tW
4jxjkLkhuTrapjOeageB9jmP2J7DKid3oLQKfo7rl1Dgcwq/bKjtJ1PHIA3glrmCnMvODQudrGuR
t685tq4D1MhkHw/CfrrMVnxmnDE5xDQ5Hnuc5y71NFuks/ALT7m2nhmRtiUWNg3R2FwIm0vqgIOQ
U5WAtsGjYMrVsUajq519UvEtFZqL36c2W7MVz6wptCos8Nlf+Fq7ntADk+hPerAVdL4Wg+9T5s0K
jnFX0hWG/sJ6sXpGA3XFKlWI2LRLD6RzWmOzKRnRkFRUNjolNNK1YmDhSDm5ma6J7STu35MceH0q
PFZ3xFsAX6A1kJJkcOU2wOhHS5OOLmvetV1ehPuHTwk5mj/HwMdXriM+mEJrJLuptz2prHZ4kC0D
2h1IZfY3zoFELAhHr8dIe2mbVttFoFzGv29pWY8pbsOZj4eRF9M6O2ZhT1gpelbodA3yt3vX5+4q
CgDryGm4vA515+WOK2XoPqtqmKz11Hqd2F121roWnNYVEUXPVupU1bNKkjn/DEySfaJw9S5laaSD
K8BkRwUH9WxsywdLjDadhOqd8GwsPE2jHwatqR/OseZhX3JG1KIzK2CzcAfDzGuwOwhRWZzjZzEf
2H6cEnRiMlJCaLooihYf19NVSeuOuKUgpitFIGtUPCwZ2B0zReCGa8tIni+JKtXAoe3kVtqJnI/M
FZjHo8oWbDH0PpUNFslpO/+9rspnwgm6ExLsEQr7HKqJOsTpnih9j3WkH0S9X4G1m5PmimdMeA86
x4y5d6Wz61oUQC0xM7dMhrCuQiVYyzARn9KgpUM7V/Gv7WBvDYxQ6IIjb90NGtuXcQ+sxtIqDVxB
w3zsxdjAE4+6Mr4n4huAXDR8JjZ81zRwaw30hvcNjtSsDM6xDfnr80z3x+A5QZJ7fISXWLKrZtzh
ro+ciY6zvWmYKG5s34aBHDC6IbepdbM1kfblwSIPllght4E+6ObOLq9sGa2CdNmRr6xOmLPyfA1v
B1A+wkUx72Z/LoJDxLLs1kk/QiCyAxFdDY673IXTEJx6olcegnSCnDUZDVokZX1yLVnfGKZf3aVL
Hp5g2bJ6LU68vgjrbRJCjOCcATsvywPwh5OEHMSR11n1hje9FW6dfZqD8pObBW1xXbS9+9DmotqC
m1fh2kUyz1Hekd96pgZfRIj0q1e4QBcW2bb1gnQTou3azUYG+Uq2cjNPQ8nkr5nE2nWhbKG+z27C
ThA0xfXy37MhrHbLiHd4LlKTpDn1KYqyZpenQbcPYvUrXn1So7LgS9JO81l4M/3jAkaQk0OVtQev
e+hNLqsPwGzrTeX0WzbaT9hu45Wl+v4mTMXyUC6zhz9uLHcYC919HMngGnmhuwUT/NRGowEi3acy
2vZlW98MYJI3eU6ugKdEs02oG04joScnhprGwYvq/phHo3tdO9A7uWgVCr4WLZWPgHJq23BrRGg8
MnasFSskvwf9BoM6PBkwWO94CJDg7MpqlzA3OxadMz8ktbN24DkfbDQc+1A/IRxMepsJlOkBBqmA
YTobrz0UqE3WdNHNknkPY1raG+yo5jlHinpNLNrwCWewcT2XTdEyZgh4ncL3/GWQRURdgo79RDu+
3WfpUL9klO+60VnCRc1KOuB2RwsjUI5xa/qtuebJG2zy0N2Ngad7LXl5VGYQvBl5SR9Jd/KsoKDv
2eGPNQKWDQ5oZYJxAO5sgltce8wI12z+wB69ggdRIoYjPNf3RiTu1h6wyVqNWejdyjrOoHvf4s4E
cYk7Ynpxa3tLdd1RCaZmReSSmROn4/pPRHZYt+z8XblNa9xyCJADtP6Tsy9J9tr09jzzpRWWugau
F1irxhlB8rORcNQGn+mZZ6nywtomgGFnavEWdd85jS3gWlZWusUhWHqZvLP5JzuRMUdhmNps8HzB
0k4EgRoEejjxfvCFwcbUpf4hzEf1bOQ9rNzZJ0UMpaYlNh3AqS4TUCb9rr5Je+6L1BnUc4Ol5bj4
THoixne7BVcXckY9X8iCdOfj+vikkilkiTtl7RqnFLujtNlIS/K5Ae8kOhzrFsVl/9kQ0UjiZHjj
wwdf8/CKH8vRRo6rer9bjZxdYO61NBg/934zmgQvIJM9Ga212OOBXSvaIQ4bW8Vs1KBySji4Ya4Y
IoDkjaw5hhBbEb7GLQ7oQ5xlqsEhpmaTCZBnMdXYByQTLZCNCxdCbAImVqFF98zReQ1FyVPXHkkD
wTgcOrhFVOyVVy3t0naX17hnN+bFmy47nJ5bb6QGxTlJtVWpnkLEly7PppT28XwydXjqJZeLfm6x
LludyRPpmek/6w5xdNbhj0D0NTblT2ibUUB2aIY0I1QsonVe1sjTPy/uMsLUAdfd7khJoxqpGQCi
SFY5D9+//gCW1mH8sf/GJ0A+5/I/sDX4FD/1p5TwrXqxh+TgTegDGAX29FxHoOX2LVxjkVBsxs0+
dVKRXA1NvFToz/r4Nqloa4cmoRsus1j5zy8LKhmUQJTt2KF/Fo+ATI1R5rrJ4SPTFgA6cLW0pia9
pIogL6fyGcuF4siQyd+BeS5dsZ+uCW/v638owTGz/djQqEh8HCvSJg/eTGgbY+R2bnjitGGZ8YWI
2SMR3iHy9ykPYuNo6UlQ5RYuUluGD/YdhBv0qSszHxJxGPQJummRFX67jPNVpSNl/vGXiNzDoo1K
r49J88/XS0ZJikEyLA5VLPE0MK3FzInIRKe6oC34H/bOZEtuI2vSr9Kn9+CBA45p0RsEEFPOEzOT
G5wkk8Q8wzE9/f8hKXaV2F2lqr20kOqUlGQwAgFct2v2WbvD1leF9ty3b6TMlvt2QKtoE87yaT13
9yXBrL94Rb+l77ieMB1tASk8XabgMfznt1CzWm1VzA0EFshr+B8uhI+qsh6Jp8esvR1/P3oBMazQ
njJyvqgmbBIHQQKX1te+2c5gvLP//oWZ/78XZrOKAOOG3vz/KKIOi/uu7Nrk2NgxEyo0grpQkDuI
qM1MRWZfPTRJ4coTJYPcMWasnvkZlMmIEWP0qF7YLA66jpPclx9zsRg4xmoph6hYrozv6ea1KKKt
b7rbtB6cBnyzNXj8jKZsvNQViOvh/eehNC0nHB4f8JBqaeZ7EOhYIQiNzLfbHPdG9RHX1tpjt/Yt
BwDOX3xOxu+yOJ+TQzYI0pdEQvR+N4clQqOjlV38wUws7oEQ/bEguGo76nx0gH14NXAjjdpDZWx7
apjYvKwlVevD7Nm8W7FJ4+bOWjWCw0Ts3B1vFn+fnQIuyIc8ZBqbyjx1GSqNmljTH+sYBYxWQQrC
QsqiNyDdZg2zDOCnsEIX1hUuB4L3j8/+byX6r5Xo7bb+b7yjH0p08JbXw+869PaDf+jQHooy4vP2
nYHyAvWJZcMfOrTYoMfbkkH/Bwbxl38UYzfeUazVbHd0jIhI1L/8o9Ynj3sD1m7d4NnDnfa/0aGl
8+dlB0A1R5oOaCI2SRaX8++t3Bggm576KuNyxdYRr4e0j5chCmpD98ulv9JwfVH+yL7aH12KMXxE
8vUV9cwWOyMVx35stEvyqoqWKq2khbatdw71lld1XB2TzlRnkDZOADnEvqhVpT20Vd9sorF2MaQu
U58s7YeRMwdLVW9gfV7ThCeatvbLbeFs92Rz+fXE3kCSrQAhROYhawGR8rpnP7HiIygPenDL7kyK
hmRDG91Na3szg5fY7rG+LBtxbHuiSsCA8p1T2GchowBN0gtYc78rhNpAgRTZlbAwdh3F0FdRF8fh
NJCZHXXM2qQ/gFZoIaOV2KNCrQeosAxAsXEg5Vs9e8uYhX2zZY4KGRZzd0PBiAy5Ww9vnTGghTpQ
7BuLZjuzZI8vStH7vFOSM4HrHZdepfcOngc6c8WKiAqyYaoXBNamGY/xkN10i6fTQJyvrFRTIjAG
nAmpN2aYEA9A3wW7AOx99kcohGdOY1eJYPZjLr339HIKh8g5eKU6NpIobVQY1N55dbeTHCUDI9K5
D2diZyXLZ2sYybwM2x+iyYdgUJQmFosCemFpNvtm9bXsvcCc5/LcAMC4gL2z7GiDC+vV2Wsp4SwL
VBjFJxynUh6+fgtt34u887DUlCfkBjVfa6R9XkwEBo6UVtgjsPqmmue9IeGEEKJcTgZTzKNDROzU
C3cMHGdq9/0srD0cWM4Nsy6DCveGb7ms4BUgiBYtKfRE9qWZIcZR4HdCVCh3hkWjgOq7yTc51LAs
BGfScmwpYOfmWftY9/Znd16pG5ocPx5tudcqjrUYVJOD05Rvq5V9ydqB0oY66lC+pyrUvUw7t4b3
XaLaBkBlQIZkbCb62bcnLgm3i++8Oqv3FJMtm+xV0J4BIsqlz0PCMvPFYJ2wY4ovi1zFDmDRxazl
X9dFzuGMwSfM6OU7WhWi6UpBBPYergWI123gxI08JquEtUL35Q71sg1y0b1o/VAGuTNHAa6PcdfX
S3sQLp9gDVxvbxPW3Edm9tQZdnyFa7Pcm+7X2Ov18xxD8bIaW3uEHVX2HCITGThFmt6X9Ertqp70
WZYny6FJve4RZDdkUsfL71ec8kHfr1cEEou9m+UTHq/E3q8cfAKLYG9YzYIlqaHpt2zEV/gAsK94
2sEjsnIjSAYz88ns2SfBMXaXxu54ZGNzGqzRuOBoogINUf5JWSbvImzEwEDe2NmxNwUWrSm+btUM
OlamPy2R1P1BE1TKjABEhqRxdnS6sSlZ8+oh18zlNuI0dRbIIRat4HbC/kLLk9Bu3InMX2nvVEHW
3VwoGOGlqkuQdyb/oXZZ4ZM61Ll9jfjzNR3tBIQ4p8GxBcOseKwHzsr72bDJODqU1IIP0X/MUQKZ
iyqI88Zx9zN7eNDd9MRMbJ/d1UET7qx7G5Mt0CqzDhNvbv11KuxAYrb0jdb7pobiPmWlxXbgtqBn
iORZKg40lX8v5brsi269QBu7TKet2cipDhhMNn2iqvZOrHU7XDBNsGyuBUp8XV/I9K2tY9qlXVTk
2piPFHvGNIAQbplcNexY+S9UzdYAqaqWSyq2u6vFcPaqNN68dvO8pKTGRgDkD5GRxLvSAba5aL7O
V+0wy/b7SGE2SLklura6zDzohRDnyC3yfVbQPp8vLDqWIQdN4JXuET/ZTV0YX2y7v6QMJzv11vzZ
nXqH+dEeoFmZ9knpafXoeeNzAdshwPT93YZKtBujdNhNcfFIVc6FI4fuunGNc1p3xPvrumCvY0Ph
726LBONfZCaA1Nr2R9cpPUip24JdoeqDpIkliAB1h+00FJdsoroDPUh0VVDYcyyyyqdn54u3YOtb
5HKsi0pcrHam9qOxtPvBLdB4XH7Hal0fEYvT254CskzwEJq1aCZg6PF9piNt3ynL8vXSeti2YRhg
2/RiaftT3IHeHkeThgqEbSxWPF7AadivRT6/TJECFbM477UyWK/FRbJXxjAd5oreHtZGiCvl6N0M
BX7pGBRMK+X2wqerpsX1M+A33pXRPbzAGhJHup9bgGzc0IqTSLRn5TV0Omnzu5k2BvdCtVV4rRQn
p2kH2z2yj9x/03OCAn6IIROFk8teT3WQ2F2SuYd0Na09ACdzbxQNIDfZUOrmZM/TmFqnVXMfl6G/
6PF6++itP0ytcc6AraJNalp92dhib9WOGwpZ6me3YZ1WS57kK3fVfYfkEkzuAnv+K/7AaniS6RD1
pK5crfWq48xOTza0plFmMH3GkVM6fBXxCGeUtXH1le4NZkJvYomXsOngS4bVENrcsTXqdCTf2ZCh
fjIV50eKHZal6wGOW33N3Tv327WZoKdVFEPfw3RD/nmt4Uqt1bkzx97xQPpsNhzi5SB6k8InK7p2
3d/RLFLB6bD81XiNeINC8K/H65sk/XMq8ucP/DFWu/onC/1FZzomoIEZA9PIP+wdII9pXkKa+QXV
+TVWi08YLgw0CgHkhrQi59xf9g7301YEwonOxEXnbOmm38A5/xak87u7w6GVkZCLtaW/iI/8HnOh
xzYek8qyTjizmigwsjW/T4omOtNDMu7oIiO0bGbrnglq3dNdHZ1dYsKvPJjnJxjVzau0s/5Zx4P9
HOPt+ovUz+/2Kl4dDCn2xaAJ4cL+rjN4BNQjMXnylI2yfrMSSYcHJUGXlTUjO7QAVA5eozNNNDWU
iX/6FG9/CkL/q1LlbQ33ov8//xt57DfxzCWtRqJqOxU5rv1hv/ln5wuUFpwnKm1PURy9lHSjs2ZT
qXeVe+SYA7uxnEsg75XN22Q7F7P00ieB/eLLvFbru6N6NhUNfd7nuAA8lNuqOAxFp/IQX6h95zBF
LbsZJfxEue9wKRqz2TMrS5IxaouPldynMbmXN4mxEEdwsDCT5kR8hVNB0kGplfIDF5tq65uDzUyd
2cZrzG6XAiIq6VAVyEnhwg5xKKl70ukViwpZsbMeTKqtYtzQyQ7jHLuzVOrPGkxaIjjOo6IzsGAp
0/IMduymuu4k+pyWbIJuV5vjcUHt2OXUcNA/Nihyqc40tn4cMXw0lHnuSmNeXqpss8trvScurSlj
6OuW4RmaKyCPVCcZ7+simUefDwC528yX/URF4GH2gD1o0ph6X7eN9n7botzhmk9FkAHheS1qCnlr
VnYQLNlGhpOiV2Q/kq2jB4Kv0v0cuTEYgraly3Blkfko4HeG1eBM6uS5XhETMa+G+zlVjHnCnHqw
drbQ92yFI9evogGXC21+rFdDzpjmRTV3OoNJnBqTnyOO+2y6JR9rpskjc6Ch+YVEGZ8s68XJFjdM
LLu6zasOhGRMm7gPnp9HSzfw1I71Wez1LOv23QDnYGEnflgNl0REYoz7XE+p2RnHgG+qdyLJWd6v
JHMIndQqO6+ZmwWuNThvhFea41rqa+gVzUDje1czUaLwwszNKKbAZ8iUths5vYJgzcRFpLnz2XMF
OYlsE+mnhIdQ4VjJdznp442oxWz5aeWU3xGSiJLg+jY5DqVV6XsCl5BPyNkyfdvp7Gwr6HogY0F4
ROWpwledRQCPHkQHvKLxW6eqgdnhOIopBYwq4bv0ybxXGboX9TRddjD0enrHbVAK8hJJCRagIXms
X/Wt11GemhZFc/QqJKabvu+i86pW81ToZja+bPEu73KxjPptxXerdhHFAx3filYbvlWRyoqg84Y2
2dmAMdJwUF2lhXXkLhS8CgrAe90ZRKhGbU0fFrNeliO0DAzcWlRtK/eqK+OgUwSYvuCvIaGdbwdm
pFarYk065Tpo6TjhUTBUl3QFpE3QMhu/9TXq5iZpcqnP1KZja8nv4c9vN0PW3wDA0uomW5Vzbai6
BXBoePxu3fZnWxJYOV20iokVZx9t0qPsn4fUzih8SUdePQef9UiD83pM66lhU2dhjh/pBfI9a2ST
l0x8kcOePa/mK31WX/WMSfKKom5Lv/Yi7DSEqpr6Dc8Exz/W9pAetls5KgDvk2SlGQ7ZBz5GG0bS
fcZKdamppfUun0yA8oc5MgCOBjwJxPJmUaatN2cqD3X+AStzEzHA7DIhg1dbp/GliqkI6AH4WNWb
WoaSS6dbe1Ckq33d9oJXzAqo1vaTYiWy9cU0h5buoRssVsSj7Do1yMSJbGYLGSOz1zVfrJQx/aaj
Pb7cYd+rrYDG9/E0g5mGlToOSXlZkjHMuCWuE9curUUnbCHueC1b2nbQ8a1IBVXfOV9Yt00Ab9Iu
93ZFvFYiqMmx6z6rU7dDjXGmV2on6+vEXrwygBFTw0jUKUFn/xnmU19/7cXwBF7IPo0sk60N0zLd
KZDNRaDlMhoPLs4K6Qsqz9m11yg/0sqivQC4cpWYY8T6VKOtK2GefzRwMdiMgsr6ZhGfQxM2RbKv
pzykUpgOGUCN86UkpHdB7VdyqZy1oyaz5WQ3t25jhe7ciQtTK4aTxwaW8p8+gujBc2blj+wtgfSA
ZvskChyD8GPfU5hTGwYwlIFW4UM1mQt3v9HOuoD7OBC02JJ7GpKJBpVm//y3LvufDY7Wv8/033Tf
sbr8yRksP37kj9FRCPsTor3HwsdzWLVsRQe/FFlDotZSiQLOwuMq/OdEv/0JJ4jHzzm6g+hqMPH9
UmSZKvlaQtlgmmEroHv/zejIuPnn+QiZdTP2M5zpBs9pJtw/b4HyXq35pLz0Nsu5sXg7VEykgi7O
7RsvaqS8k3bb9Ye60CvEnchjPPY5i9m7PBrrab5GDoOe4+TEq8lv5WB0qcTcaH4WykWu72wsXVg7
q/zI91Wfboei1d9LvQEN49NSmbq7TiQuVaJK1Lg1ak5W7nioPQmyKGmzcwn89odJTgsuLeu9r9rm
wJ+pcjo7uWzhmsYsPAanuLcYTA7xWq+B6RX6DcY1nmOcxJTyeYhTdbkWDaCu1ZTak6NrX13Ij8Sh
cHgAnnKu7WRMTyksDzxvMj05pAq/TNvtlXEOAbSr7OS+c9w8Cfp6Xm5HtUZe0BhT2YVmw5+YKW4d
uJNTABaQC0wuWoBJ8ZjGO/g49tcUCMhTj7aTXVvQUgMczs5N2unEdZZ0RisqbJwoAxk/sp7e7I1+
r+MzfHCsgVwkn8TyEi30UmqUBytiOVH8gNQeeT4aHDkgSOLjKbWj5GKdZmwSDFvWwZazfoorcww9
WCbwk3AyiL2DR4GhMDWb56Xj6RvHLVEq1xnLs9ZXmMA1y20UJ/zVvXHzyVEc4iWXRLam3HycOenX
ION21AV24SyvDI+tfcufxNB3BkPBHHjAa4NUVyaPNVZwpZYlP5wOkTCJ0/zYp1Ltp9gEc79xoJjs
nLt2ZTolN5vHgbEMFAbbCOxLjZiil6240yxvCquxJJMmHSShrrPs96nxWP3xpblm17AixS91mXCU
XxiT9m2lNZcy1vES6ZXSneZsEM52G0Aw+MxRB7B0IGJwaGpuZd7SXb9WqZC+bmIqq/yEHgrGvrIn
WxdRTYLzFzO6C7ZSSFMGJUd/8w6CNJ/VKkbngYBbiodXm73mc9GNTotS1G8AU4DZfgdPl6jfPG+g
KCPuaexD4SUu2MTJe9k6S8NSzskd6mSXUrscaY3rsUvOdBFrbno5VkNyYUfV9AZk3aZhmURzuJCo
W05zvBDWQmyrOrRbW0+OlFEYNb4wWQh/gCkvdtMaa8NR70pnX8VpepvOICVoAR6hatW0xvHNjlws
UST40yGAHEpqtInY9V6ulEi2gaEBea8TPs2gGcvt9FJp3Qqrv/LiW7vCCLnr8Ao5V/NaTtdFb+mH
DvsYyw4zpptRSA02mwPoodCc9FpDQBthdMI3xiyi29gpCnd6McBzH4Bxt/FZ6j3R3CFb7zg2fNNW
r+I7RQcPNFYrW6zroTZ7ZuU2AZIfq6V+maNal76Le+pxpSYY6S1quurA/4nRGSLQMBy5Ey0PsvXm
+mRYSGQ7RlSDSgw9MabTh4narJvux0T42FKk+szU6teHMTfG5jjliYBKFi1z4DYaz+u+16/WKDPu
JLtwKtOll5VhFnM3sxSJr3xps8M6m+4509wlD1xqT+bLWUyc41hcrwG/Ex1xbtSHhYgjks58VjU8
6jULjFWadxpdeuPeVEkR2F5mXADb8kLTpZMh1NLN+iyTWTzScZhivi8MPudcxtnXrnWyN+B12pPZ
FeMrJ/ux49AoJd81OY8A01YTt7CtDSfWTZjh8T/1oU13YnfBfyCxOWmbKRQ9o1nwJroYN84S5x9A
oQUmTIM+vxScmtiBJDsDvT7miNXF5OMZY49a26Eyg9mf4sHHRI//va4a5foupZOPYonNz5jzn3Fm
2IP/04HtVbpxtN3JuQPPLoJ4wFs3GEl7Asbv6DjVsWkWmhXFu3pmA19FvbwuSgMGR9nBaLmaurq+
wiZlZwe3rc2XdphfcJxjnASWjS1ApFHBpnvUB/KpYzarK6C6kGQW0d+T5ssoeOf5Fd+JmZAqCros
lnU5lqYzUCuxo2Y8js6YHCf3Wrq52P89T/0n8xROna2R6l8LcQ+1+heJqz9+9Ffiyv1k8Us5ZPZ0
QaqJAemXImd+YqKxSAXIDVK2/Zs/BDnT+sR6m8UzUShbGkh2/3eqMoFeS1e3HKA0VHARA/xvpipY
sH+eqiTCn27pzGf00ZlEGn+bqhQw0Iqug/o4jw6HQy/JSftXVUoSGbLX3q4MqTgMZe6dl5p4s4y0
Sq8ne66DkRJdN2CVjSU+Ss3nj7oeIJTVw9jb0RdYSUTGsTY1WDJX69h0m1fJ4z26SDXSs5BeuVdO
M4/QYABnzJHUpP3okgkFrqWotRyxg/oAtbZFG7ZeymmjW5aJdQJf7DlYx6z60Zd0ApFHWuQ+13p5
k3Cgu82TSO60eh61UG81GomiBXmBj6CCeG0mRoL62LN0oMjmytA6Sj8Hg3yKKk3zPK2uefJmLJvh
XLTjq87XzAvISg/f+V0EmpSsUMoiVfVszpsWDqJD5ffPOA0ihA2wHk0AUjR0yWNKKaMT4rEtf6R8
4Eci/tBmKov8hljT6H21rZb6ZFy+z82K2XMHQ7p/lrT4PleTnt9T3sraCxLOzaSi6pEWmPpm6Ltx
uZjbObYCiVuSKSxxXNzwZSEinmMtDMQ1ady7Oed1tdSzYeQVUVRuMwMbGSo3nDuaIZovInbd26jA
tERbQKeLIMIUwQhXTPXecUsIuqtzmpuyuclF691afZImlxkt1see929PgY53WdgplepJsrlV6Wef
P0gCqVXVD1jF3TsNz/w161JINotrHUvBBreMOtIZKKgnHMHUQxREXRAm65u8a3EGrbJcQtvJBDd1
llyYN5UMUo4F/RFQ+MCfWZh7s0rbrzCu29eOo+Zzoy88/L2Vvfp2uuzfhVbSHjskQFXdafHuZkYY
9hzSezDorLibCQjGoTd3Gvzc0fxiRHOPS4ibOH5kpMc3F985KAjhXTaN6cR7teg88eesSo+R0w7r
CZaMsRzSSGmXBt7aaTehoZG/wPiK1RnG6HBKrNxCzJsadY/IZuWXiTljxneptPNFZ9tPlVjkVfLT
dsrkigfV/WlItT/cqfH8YVXV/jCufrhYlw9HK+HzTVfdfK7Jh+c1//C/0gW6mWFdx3X3cfdhkoWY
oQ3n4cM9S8EaTlqj6fHQWvzV+dVmtnWiWHtYpq5nKI6unLIcL9LNnJvg0o02u27x4dzNftp4jZ+m
3rjUnSpwNrOvZaIlpit+YH2zAkebKVjf7MGDqRendo2nz+lgpIHmJfUVUnGLJWS4zzaLMc4IA10i
M4SL3JlMn207ilm7bdbkajMp1x2rJVRNs2wQo7Exp5uhmf7neK8NIKDerYrXcFz0FPfzqAwVLMM8
X2ggc0610q1g8ar7enUvh6yPUPVFjz+mns9TmqmQWsoilAOjMarXgZlKe8emEbYsWXdttB5ml33u
kjK4LKDkr8lKPZDRi7EcTJvWaX0W3cY0VhzbaLSob8BC3AvTNPyxo7MILRpgh8T8MBZgRFwcgnv8
sLs+s6oLvWr679niXOurEb22XT6x0muLh8oe3ZuMDpzdApvYl0U/3goVmft2cwBOKbYDaa/Xaesu
h0Lqwy5J+mK/iJwAjMZPiRzOdtp1dYPvfX2tI8fakb+4WZvuapjyCIUuoYiJlOehjTglZ7ZGiUsX
TTd2X7iMO/VXpJz2wBHDDVOqcfaYvbIdi9Z+VwuDxrsal0Exjto5I6J6sRQEPZQTf9nUtCAWnA5z
h3SD4anaL4a6e56ydjrqZTw8Uak9cGFM2iHu5h+qs4vDQoQiHLpJPI6ULH4xc4smAPwC8oQsWcL3
cg39pGyEKgxC0rqoSJHuoaqwjGliUlMNGISzG2EWnDXNuVNN4rGV5dGUlaBvBkuWXBX26lwvfUsR
ND7aNAvdNh3uOaBHn70WDo5plRF2G5VcE/Btv1Z1XnMAp87gpSEcgJ420l6SGu6+JOR1qNeR7C+d
As9eF2tkkYkc13R+XVcM9OyzJwL50HTuTP7FFf4x7YbN6mcH46O+Ex6pnLhHnuwM7Pq+modcnK05
iy+9vHQ9P64w1xZDqpxdbpg1GyfGw0BOLF4s+CO70RDmtRkBtmDknTlJcZg7OJyKsOU4+VnrYlTp
JkZFoMzo89Do/TNXHG0qqaJ2Rze7zWZR383roFNsS12CO/BOq4LLQILhppJtN4tEYjvpNryG1DhN
ONl3s5fld1V2mClJkBGbGyJ8Ix3G5HPl8MTeZUtLCzij8VNNP/V94uXuO6Xccdh4rXvZRsYXzVM/
0rSKX9g+zj66pL7rpfVUSUsjqtLDFjZz8EgCg/66tNFT3MnDbGZfIlt9c43WOqy1HAi4wgzn3Puy
jIsXDAUODcfp3tqyyFE09RP0cbZdwmi+x5EzkkvVYHQQEziOMDXqnYGdKFztSNwCmutCjqf5XSXs
6ypGZYfhrsJyMIBpGWgh+CqSbmrCXpTr9Wb8w+vXv6sseVzqgFGK+YL1P+xlcyRwQbwygJ1itAg/
3Fxzq92GmdbdDRIhdeYpFyZVlL4Zef6oGXZNtLLVv8BMxbyaus73TnT30Fh/RPh43C4lc6I5r1Tr
6UFrgdiZc905e0u0Xja6kr5jtq9oSc0e7veZZvuIe2fThIBYOcTFo3nM5qU8mWND/TqugswWT+m0
5JcF17xPZbzYi673DkY2sEHTs0M3Fs25HuYHudKrJtak8guoXlDQ1ndyWnI3mKp+4JwPoKVfea+j
0lzwv1VjCHtqIKnWl/tZwcfpNPdbBGSdkFj0qreWeYNeReDBte5aMXBdWd9KoxSIV6oPmyRtLppq
/MCGfHfKCci5INGOyBEoXhJh9n46ug007l42MkyB/eC1tJMDE4tzD6cmDlC3sz1HyfnGqJzotovq
c8eHXhcdiUr9Oll6ucPpzCUq3BiVY8bTI6hVNpvsCUScfR/NiTpgd7CoSDGq+l4lEMmyHtrKSBTL
BvgneaRfam1vQ6RePw8kSLdhsxXVDVuBeCcn74Ktxw+0EMwVJWQ1Tb+Jpv5mLehGSwZEB6w8GcVl
XeHh7ujnx6lXt40YbgatumJaw7Vlrwvfe0Jiy6Ig5Yw4Cxdy8Tj5ioQVHaf8yJ8daV2y5nQv7bKl
3B3Zx1hY/QARL9dbAxLX33Tq/8yBwUmM1fy/Pvjdfq+qfinGtyr9s8H55w/+OvbJTzDztpJpF9q0
y//6x7lvM2mQ5aWe48NssfkMfjkxDOR0EKcYOExB2ZCFLZmHz5BgGACry4EPcK4r4Etu3on/wolh
2NvB7p9zKa6zFY04QjckrhD7dytGweplLRmcjxCn8yVA1EbbsIrJvGYarr0t5k2raFmmdNhMg916
vtF33QnKHgvstYVdvUtoAfUw4A6FFSRYTzUfDoxiM/qt4SFxM9nQ6MuF25hMidHy1AIpjMra9wS2
FhmsdoHzVTOh0IXY5Qh/GglgmZDUGa2uwqg/E1BHXt3Y+BhU9NDR1vUpMjSCsxKkRth5OkB9RMv2
AaADmH295YkTiHmj73+A+DlHbvKhbQLoRx3PQRlhCVVJdUydNf1OqUf8bVph+8/8zIu11JkKvI39
n3zUAAiHfSc3XK8vmEJpCqi3zgCiTcXFuPUIpHUyXI0T3QJiaxmI9IjCgXrrHkDix+/nxNm4s3hT
dvPWUqCBgOCcVgL48poIVP3WZ+B2vM1Cc4gjgsfXz5Udq7ACwcv9kjYEw+Odl1tDwrR65e2wtSYM
W3+CvjUpZFhWbpKPeoVxa1qA+YJIu7Uv5FPi7A38LsMOx9pV5YhYDyl6mhK/y9HwdhVZYJwdw6Wq
5UtPH/CD6PvKPeCBofrBgL4Av0nRCFF1yvw8F7mxh2bqHsiyZ1RHrFF0RVorDRZTz3dlDSLfssb+
3rGBdYUM8hCmNtYUkmgVylLcO+Pt1toU9JNsDyjet1Iplr+IwuYWDlOvYiNZkaqfb0aGZJrZ7VDr
3WFnfdCvEjhY5kbEItoWAajLqjtLH+RVLo1nKJ12QCgvDxYbqla18bUWBWnL1qzyOAHf0mtBoWee
ZfeRgsylNBhd0UbrYstLPQ2L7VJy2EyUXgfRB+HL22BfGeWHe7UBwMj0fBORp+0RKmGEJQO4MC5y
VpgbQqxfgYlBITBD4VoTXbiGxHds3dVcbTvswRcUmCZ+uYHJAIa+rBBomDEBliWYrnxrg5hNG84s
VoDNhAKNWIAYeWG3Fp+aDYBmFQ0lrBsUjaM+CVoNUFqHHkiQfoOnjS3XzQdRbd7gag3bfl8BmAyy
D/YatiKWuCx575cNzTbGqQTTZnPQBtrmRsWc7nHOTJsXRawSuFs2faDekHk28NuiwWR9MMAFTg8W
eip4OItAtfgsJNdCqFtZemF3unNH3D5Knme5gk1TIivMfeVt4FdEgoXff0yvPXcxcHg1aBQFQNVx
1+FL7UIAtZr1MntmlZ2mjYTvF/UKRHeG1iCrQ0eOdnwY01RO9P18OEHiD1tIbtJJ/5rnQ7dWCEJ5
5dCbZvXGbmlsbw3GHm9QwGUWx6/UP8eEihLB/iPX6pLLkzCBHs7LKtAGRDpvzt5pceIA0yubF5hx
Qx4fl8GVr6qupuGbk3sit6F0MniNfqGG+oxBA4AwTh7WifzDjvJTBvNOYzOjw1Z9rNCqWC60bDt3
xsDczxdLzD9ta39Hkf7CK2maJIT+3ZP6kSf1977//v2ft95//NQvw6T4BAiLtCwGR4df7A9p1tM/
mcIiALQ9wc2fT+9f2qz9ibSfzgPT0NF1kXT/8YiWn7zNXOnxxLdc0/vvHtFkG39/RBvQwIUngTKx
PWeK+PPG21k6EH+TVZ20ES2qOYxoNdkYRto00WlUooj4WyJvuhy20HjZt0sgtiC5w/nn2JYy9SMr
6ssQgZkK3pbwOUeJPLS3QHoc2721mzp2LbE9v5Tcxlru5Zb55m1xdmMLtiuPsk+SnTKkR/NdVQ3x
dxMiC3atOCA11FItSkyeCLiCvUNNO6dBUvSrN/d7C/2IOi6Xx1rG8ktCHAGP1ZcnyoahRaT2XvX4
CvVh1HdjlsY3YgvvV0uKnR3/ChSTXnJ75YtTvyRCtQcDM9WZatVNVgFQ9pVlIHSA+YMUULIpuqrx
/D3lwBgu52zV79XUGUFVOHejEt6VnhF6ccs4/gKAkKw6583j6lA2m6eciqJM7w7QeKrjlIKA3YAG
dVM7pw773t7WaOddOZ/dVFvzaJUHVj3ntxrCg+/AXPLFMrkhpsvaVzkQhQ57aji1Ut9x85KXXjb3
J9Wv2jHSVkTNPNHORV81YW607DdZdwU994wrgD2MNK2rseefJvUowLaGBnbeyzgqrQPu8nJvtKbF
r9qvd81o9FdOqnH4U8ajvUEjFu41YT9hxoycvL9bc05OE7SPvQ1TPtAa0BNyg1AoDhoQm77oZdof
RMP5WI1EtuAdRZ9HN633WRbZ7yyW8+UKlTO7inkCs/Pd+BfzDArDLTH9p4j/R87R3R4ULVOAzuBG
GwQh2A2oAUDD++p21fQjRn7dr1tOBlGN3DDfG5way9STNciap4TnxBMr5OVNwxjJjm619CvKu8YL
V9ss8fgv4I14MCyaGJEb27ob0KHpnqMND2JuoBCYhE/JBztE+x/2zmRJbiPbtr/y7M1R5uiBwZsA
0UdGZMtsOIElk0r0PeBw4OvvAlW6V2JJpVfzqxFNZGY0ANyPn7P32qbVHryxzu9V3ZIviaDglqxd
IKBtSt+B0EZmaSm9YfcwaqSy7Dq8YzIAhAG1ZFkBJjRcdtkPpsmi1lyxFXRi/GCetCv+ZB49CqfF
h4nCWERUYWHg7jGnRRpgPGMXoDI6NGUs5R26tANm6TxIxqq9dI7xXhetG920YHOSc6MXL07auQ/g
0fZoJnXt2KejFRn7Ah8QI3bpT5X/sViglLZxNC+3C5OBu340vPLDr4Du3ljVGFTeMH6xG2Wu+ZcJ
HQxcLE9W1GdbvxtBRBSVf5pq10BcGfXAJRrm8kCWtDIDXDrLGOsb+ehfjGKycrWxqSAHyLeET4LL
7m2v15CdZIa4ZaHkey8l8WyRkzHk2NZxJIhnwjMSCuwN1xbgivsimGi1kO7sWb+vlD9G3zPStWGf
LH7AChckTNnJv6GdwJ1r5wDEynEKfEjzeajkSgwVg599cwm+1g5eJdE42nUxaUHtjWO+kT8Y7euZ
3bpMcbmysokPyJGtc6cIxIH4OgYhg6qFsIAK1/rOWGDI9xxoGJC7M4rRjdRSnxxkBiKEUNs5L7nA
Zkb8obBXm6hygPP1Bb5pMUH3Yu1Dpjbk6AACpJAMtcsY908gU7+qb6ErG7UTzmObmMMZMI8tSIwC
8hW7yoWallTOrYKeu7NXopkQhQTSYvMdhw6sqSeiSIxzR85PF+R1B7BkKf1pT1COc6l8qz3mqc9z
r+xoY+eFNYTGSHYpmMJkX7nS29dJl99VRnGzxIi6gk636xuV2Mk5wiGEum+wEiZonrsOvlP8fWNF
WviAbHsNXt1To2Trs4rhQ4+ddNtBcNF2ZOyIR7fgVOUYFLUhlH8Nv31VXVEP1g+edJ0rZ0H5htbQ
oFVm+ucZ9kJQtJ2+AUYX74eOhl6wLCOuvrJf5o92br+xR3XXNWxjNwE5CFNUnV5giFY8xose7cg3
8L7gsu3vLabZbA5VcSwItLitBw+orzaLkwTo+7HAs7ybI0LJXSc+snRGB9gv4jV39XQDYdx7k3qr
aiDxRnPI7Fad3cVdLpZteAHonXzTTHNG382k7drWqDZjtaMLYwVqEJyIBjNBIJZJ09pmdNvuUDVw
usz9fU+s5JfFrYfjTDYZUIEKqys5SEiNdE4NS490ZCrq5BZaHum2nTK8M8irhjO0iRQW72ww8fp4
3C07MHRmhjHewDvkC5i4liTfWplPPc4H2DXQ3eDSTFbC0rhYryakKfZC22/eiUwaLrq76L8w6ah3
Nhnu21yP9IPTt+aLpng9UiTjTQM0bUeCQbPtqqG45mJqn0eewwsN+O4OUJh/A3e6IuqNdCp6plAK
zURe89qGFmQUzqFY5NfWs9Kb2UqSl4hByjWKdFCVWe9QCZCIiNkP42pdmuLaKwQuYcqTf2dnrtrT
9OjePbeiLeDkeGKX4b7D0lZiOPacY0mDFNFUspz1LK+/TcjWg0aVAldcLY4kyL1E6Ndo/dEvJwEK
kDsRxVtm1BjShA7+uYrE1iINj3zyVKBJ7QG3s/tDjNbMZmPRvib8AeUs2VUgz1A+MdezIKP5GlPO
XiqHfgW+8pBm/5yuVmUy2UsCTx0IG44e89vE5EG146EmD3RDJrr9bii6bgo0IKJ3kbESdKh6cbxJ
plzuowm6CHo0gQtpnDz1ztyk9/8rwfj/kWDwra+E47/uxD0k9fdf/s+xL94r6A2/dveO3//f//3n
D/7WidP/QWo4ZFsqc+p5/3dp4q7+D48cFpyZv2VY/U8fjp/gVLCCPSzMHxwN/tmHs/h1cNJ+mKv4
3/9BD+5XccUfenBIak1hYTkGOAC74CewSQuNvCt9vz5oCEypk5P60c/B+cM488FDGfbrVEp5KbQG
wtXYvBaxrR3FhL6/Hgu6Lqwdm4bxDNm5ZYU3VjwzhoiZjhVtRqeCqKtl1MxjB+cKVLrm7qBmTIBL
3WtD6mFgKP0uAy//7pvlhSTpCx0bcIsYswZIL9iP8NQUEm0UMPTPUYzpFa8rng+3AUhQ1W0gNG+B
soRbhSjtc+2LO0dHF+F30/sqhSJlGielRT44SQGffZHRf0Nst4UkdnVNZq5AO+COVp9+Xl0mXdKO
txOaXeMOPiO153JnZfMZZ2cTQn6B8Ze+0yWkv98uH/ZA9ITUP2rXeW3nflcXmMq7MjFfotY6pJ0H
4UgAT6n7aAkqzbvqg/nK2vruwm7aiXh6EF1+Wb+BgS7XxsqLz6xZ6ZqABXZmwZjHLMECjKutVE7y
KTanB69S4KCwjB9p5n/Q4fP367wMruGZKhxp5orI1aaeL0YI9PjpyVhphion6iSZH6bGek3M/IRx
4b1rM3IybbZVk+LDsXom0flpstLPepjvrIJrNZvDrvUbhPzWmmWLS0vhQMCXSXFi1HxRRsKcDp/n
ENDmS7Zp7g8hiRk1aCX6LbG2fpdJ+T5yPgnEmtk30PEI19dqLP6B1i53Uy/uBmPaj+uK7CHO0KQ4
N26thRhmPk1yALe2nl7yXJ0pouyDV6MwzlI+YW3Nz0s0RIx5nQI/salt8p4XkineoYTg1pvOzk71
vDx3FiesxFZPJQN5NVfIi5JugJKWvlfwb7aFoT68ejlLI05p0HTpNW/d11SJb15r3vpTCr1xAjBh
DIfFhojZKvmE0uMAeBgWQ2ceYtyvyI09oAKDpPM0LmennpPtNHE98TyaRAxxJ7AVDQisSzNoevFc
xfqHb04AB1VXwS4vTrorn9pufLJU8VkiyA0F0y3AUOrJjPQkyNOh2SFa9ZkhavgZCH8Kf3zveuVc
0cG/1m2V7aAFXRvbcnfD+nN8TlC8bC6T6bymbjcfQBJDKdUJSDa05msW0T93s2TedFok703gw5tC
xVEIBIPJPQ6tA7JbeWprWx770vGOSmraLfiBYotNt7xFPTzvCJ2SJyToKDi0wvwY9P7rLDvnRvdg
NnHX1ClIjY4hYbbxiSpGebVM75GLNARkGhs+JWdbPedV9FwqggQ2i9X7aQDvOCR55mpV+VcOxMgG
VAGMgXbWYqabZpi7bWuphCQFlG9Y/SHEnrx6IKvaba9ouO6q2sJ2rVnPtabHIexHeytH+52grO6j
qsgpq9BbbwuHmadLxHWz+M6uTMsRZXUd3emDPTAR5/ZfMuOj1msSptoS9TT9AkcZ+s50EbXyLtY4
H27DNmLOoLCcEqPgjntlcNPNufvqas51NNrpGMnuU5u6s+Xkp99tOn9i3fzJmGB5wM/p+DCSYTpD
K2X9+98hy1PG5+Qr5fXBwkcQoMEZVlX0NbVb9Le68zdGUXaeP85teDWfDc20LfpP3o+5zu9ejdiM
sXJmUkLjVUVX6fnJKEzgkSYL+r//XD/bYflcqyWV0xPjKPwdP0kDJ9dlBk+Y8MEY8nccXjnasflM
yQvcBO9UfeRP4le56V8G4f0Ru0Nw4/qaa72FP5iQVven7zI2Kz/xehox82AnWNLlE+E6RcjJ/jBp
dhGunxfs9pmaMvmbj/svNK8fr+0jyFzxZyTb/dRugys1Lbgqq0NfduYmIwuewwap4ywXZ2S4+UH4
6mPqFfbJScpTJnueWw7jQZfMHwkC+rhazmMMfAwj2MEHAx8ietka3nSeSDMGtMNwBu8WeqPswiEa
qq98UGX8LOwEcYWyriMStFDVtb+37bp5i9GAhpbH8vDvL+yf3EImrUsD+JIubONnJ41RpD6JURYg
IqPfWbW4E/4C/7pr/+YbXX3jP9+rvBC5hi4MJW6ln75Rf9LxrnAYOMQ+jH1GJXezDrJUMHykWe5n
G8b9lyHWy/tCznfuIMp7IA8pduD4s5Wsy2upQuA0Z1RDnWMN/6xPa0zznavZyX3isdzbZBlhDUmc
fasMhNU2urwyNpo1jSw9j6LrH6pcPauObX80UusEX6kEBzFA+67STwp8KBl5wVVUXr1XWvYZ1cuz
R07MMjBJUI15ANJ3gC+chnGJsgsW/xlYSMF5fLmjqWAGmOL0HVlwXzsbvI2rU2P9+wv2JysMGmG0
orBHXAPz0x9XmMXV6tYC/n1YkL+u5YRiZbNX8Zw2mYd//1pU2P9yzdAkW1wt1Dv2yuz6/WrWGXMK
C3WuoLbKB6tPT2X9dwvmjyfpj3Uvscz4/9E968wgf549k7GWD4UQJB37stn1qSK3Plo+1pUeWc1M
EyE65YZ18DXjOkV+siUt/KSp6KXPsm+eIyu8l+iyvCIzDzJjE098VqdmLi8MdD8XZzI5p2LhKUwH
BwhAkGCka3pTpM4WptYXjwFq4KDMOlozpCYik6aAuBeOgj6SZ6MzksD0W2M/KmbSwkg/7YpbsE3z
i1Q58h78Ijg2KVB1RlS23qCXRvmGfv+hroxkCwnsVy3GX66K1p88sVwLiHqCddiiYfHHi1IZzUCP
tKwOOq3jQCZlGqbDSAWP+uOiY80NsOFmiHK8a4mfPIz6DhWwXt7iT3n2cAZtGcPiZoqWCdOBXjMC
F69T1pgbTzAzy6VzjUYX8E9kXxMm/xvStYgcQBq8wWj+LIzpY+lFkLrpIxBDqqqWD9xpap8n4nmm
EAuaKGn2ZjFBSJgeYttZvevcn1bDwtc7ki6fZmWbMipQHtnLs9908ldkyF9+SX/ykLBnrP+hj+D0
9tN3RIcFGtsk6eEDn6XEgcA48XYsJvhRE//NFdF19Bs/PyfID6FSrkGojHt+eiZby5wZ847VoTP6
aqs7gNW8KDtF7FQ+XeCQPGyEhDMHJGmwTGUZFWBcgLqlABzryMEF7hOqBaMJ09tSBil5nEE1e9/6
XL/R0IEWPvipxKfaV1Vtbsym/yiz5UEViCrcdTPmNovN/D2a1ip1MkKmHpd2rDaZqo2QcnUrMVzv
Bi7pj+Ml1jUTITX/0F9T/BDQhlkzyV0TjUNQLENyVIQt/DgERRUiymkgbKQap6d04CDpoewIl5aj
nr1MT90QA0q2fAYpEnuxfge3n0QpqjUdSxWgSSZR/EEr+T+k5XJDNqPc6cjhtutj1Cv7WrvTk4OX
hsSyXON5IrCzaKmWRJRdiMD1Nm7Dv+6YC7eZzSM2RO2Nb6sPcoc3E5JkvGjpJTU5syDXZ8sorNcs
kQ8TXcbQrO2DJLZck8AMSiT2Hej5YBiKE4fiPQL0KkhjyY3J0+FMwwUD9Nekn6pTrttX2RM6aHQz
rgBIQwvhjFPb1WePyr4YrFcE5H+3Hzt/8nhT69i2T7QTd5T4aZ8E8pS1wNnLQ+/OH/DKHuAHXKkv
+PJsHuu1/vpx1K4HX98NPpXej2e+SoYdk5QpaDN+jIH1Jh8qev8g/DzZmS65eTEpA4ZXoXUf50Oh
o2yTaY7MMIZa0FZF/EHAi39pOqZqS8y+OCzkCFas5eHiogTSWGOyYX6WJuWW6MwmdEQ6hioe1okQ
lXXMwZD9MEGuGsLMWF1q49NAfkgA4e+hg10Ie6y4yHF8sGxywurCUVtc8eamnZYzgY14R0pGC7oG
sbOeP5weYWOHQNzldADD0LlKNhEOmeOTSZjvWs0P7m/76/9O0P9ugo7JiXvtrztsv5qc/hXmuVqc
+MF/dtiAedLAAtJL8W7blrPWef8cpP+AeXIyMtGmWC79eVbt33psEDstpopwb5iU/5i+/9ZiM/5h
eavUzTFByv4Ysf8HbbYfAKXfL9UEVOsQ9gQqNzR3+KpWbu3vj0yiZ/WIWu1sWbq8x+RO/KnV2cey
WPKt24z9RjDBezALB6xCDcNGR2B89HSPUXNeT08zHiX8lBgMCdbwuCuFtJkZZ1VItEQWuk6VbOEz
P8TUihY9CLyWK9PGIvNizO8mYjvgoMVEJuQ8FzoBVezP69pZVoCgrRyDYmsVxuNQtRw2GoPuNMva
1Zpk/4TjGz+JO1gbGtLFd6FhqfbMLxxHPs1maBlAj/ezP2OoqB173062VQVmNpYPKRyQU9147Xl2
E/Yf1Zb5XpoLmqCiUjfz5LjHMlY4QsHqnCxEX7uhH1HK5vXiMGEX4spoylDw9+doIxU+oMBVTAqC
WVTzYRGd2IIPwlJgt/aN6LwDVtWHRjCJMlmlLmWun6tIlexGcGwYNIG1SBikt60X7QbRlCE3TL31
Kp0U1jing4ibJc7NLuRileeFjN+da2sutvrMCaMa/9Jouc1OGTFCP1Uh30BZh4snL5bH1kblPs3J
MxYt4wttS+eoLFe+VXptBAm4l42AwhJdm242xJZJTdoxB9ASXZxlFZnLY9WZeT5u06n2tA/yvhiz
BHCMtAX1V59hQanqfgmFXROloVlDSyyknYG+Nivv6sfEWwCHa1EAdcBO2GBQSh5Y79XeLSuMBxi2
3VtVQgLSOOOgmE61MhkCb+lNSesptW+YwgpEytgOtlq+0EWAoYmYOGMyfdVmHPAae6lCObHHlbvS
1up/wtfyX1ls/KIeMlvzK6cNIcPgQG1bCW7d8oPm5vd1usLdOkwZ2XQPeajcV23tuTHD3YVY5h1s
JjEue2tputUfgb3J+TKJsRePmpyhGGw1PytKH3onGkpjx8DHw0BDXm1tC3WZUpDT7Q7sXjWGeiH0
F2JZ1P2kWkqbOatIuwCLSzRlrsV47nXyGUNt7GnLMYfWnpPcTnNsxS5eBwI31SXXBSPCym/x5MQt
ZuTWiB6qItEasmjtljEdmRLPkV3l5VXLZkMPS+zITMknh0xsEkiikKksHSKI2hUSUj051BWA05Rt
LQ7hPM7QcBKwlabWqZc8LXyY2K1jfm0Ty9gUcRnftgSR3jpt6mHzaNj4EhKj97wBXNWit5HNtKjH
qgJezow53+m76hljOEYkt9VX885M1lSADrg7GigqjolH3orXuBoVVD+4AAAGZW8I1hmgu5MLwyWH
CLqeVoaZZJzEgGLbD/gC3OoOCku8d8G9JLq0b/1Mxk9RwbbbYKCysXvEy9uPVf5/N8S/2xDZ2CjO
/npDfPpFvfe/nzWZv/7Ebzuh+Q9brFGIuu+4kE9w5/7PTohwzDQMV0C++6EI/++dkHhFwjz5KxIK
aOrRa/vvaZNh/4PoAvpixDJi3FuHV//BVqizv/7x2MJZxSYZwncNGkDUmsbagPvdXohZQpNtzbB1
ao3uRWqWG6AM+fCUUVwXAO7bRNPxrHDof3An7wI6HxqWzNrHpgZSTTflNILwCFpvHazXo3acI9OJ
9rLOkjuULtr76LoAUJxatAfLi+jMIwqK+7vKtWeT+X6ao0bRMLe4x0XvPOPKqEDUX3rycIg9Z/Gr
zT2QZeSuXoOmNAsFdnwFSNSXQ2kFUZRnFqEjscDh0xDg1X4pPAKbOOyR8aWfwMc6Bl3+yB+2biKs
fpcUltGcBovZLmaYKkd7j0Jnnll5OE7pJ7eejWdrjnu0Ogt9ZtgmVqTQQRvubB+RKNsCkRVNkewJ
VYo2runuuWw3CdkD71kVed9jJ0P6Q16f6tttl9RCMiUiL0U8cnrIGhyloOz3OaeysyfMZWUK+6g0
Mh0704SHv99JQG1yu9R0HzdenR3KmO6fqtKBzOnKHA6ZpjzwuJ79NkvUt+SRJIe0Tx9jCGZcrDG7
tLhXDpkxPWd1Cgl8mLJAL30o4FMMEq4t4+QlVSkqlBl4DGHel9rqzsk0ji99XFYAf/s7s1TgVirp
Y42OnY9BRRO549MbST1MFsCJ5co8xip/VhIg+Qzt9uR51rcY4OzWjPLxcfHGHgGXVu6RjZEuVtUB
5ptp37tI0T2j2iN3fJBL+ozu/5Mc0+G89DWNgTy+oiRyw3Ic3uqyP5Wyrg75APUMeskGXIcR9Ah6
zw3VBbFZy10Sl3WQG/lzQ67UZsTys81L+YuTVs6ldJbobvJrBywNpDJ/XPsP8LpzrDV7S1o4JRdU
YbgDNlJKFcbkfOLiAXsVjUV38YbJ2Lq03o9unaa7Si12QBIyIscV6ZOOhtyXgE++eUmrTgo/+rZp
bY3Kb7YAosa/gKOrb21teMS4pR5hnxR7ah2UBmmTHqrcIRI0FU4AEg5hTWWPu4Fy9Mi6kOy6zvB3
cWljWUo0fy+d6ZfaJrMIFzOidNaOgCN4WoX4wb/V6CxDaVfllkQQ6CGi7FEemWVA8UR80KKBARey
2CKsJ6jSUE+6XYmgK/JnEiqPMLQJNO05m9uD9mLPWBHMXGWnpGXqqzEc/DRHu/s6Li41Ca2LHHkY
4okWpjhG6PwGEvZ4dpyBJx4cbrsxwX4zt3RohUtiZG041p4AcJdJjE0zQ6WDkYvxAfv85D4WVs5u
KYyyYmbDsK9hqrLj+OhtI1SmeFgJTEdGgahkEPoS79OsNmhDxB14D3Pg1bixCESh6/ExFi0p7pGU
d4xfdAga3BaxL0HKeErN39uGRXUbu9Z8Goe0YowxzZO/H7i1VKjNjlBhy7tdCZbT8KmTbpli146A
HqhxTD7Zv8neJEG+ZTMXbTNdaQP1bz1iLvKMEiuBUCpLcU4qv2SUDbMnaTVjLwyqjjbnJDxnzp5E
RlYJRdOlFhhGbYyhNJCXNSe5NbeRvxBiH0dkHnrLq4Ls+uymjboWmfbOI/ViLKkIqiKvAdxj49Za
65oJI990hZGdKy39HvVet0mNJn0uuwwGG5TQ9ELvQuKzGRdzQwuQ3kwZfWkLaFUB8Us42q2iPun+
wATNlDcSgMIDCgXtMbd6990o7ZRDj09gd+l3GfPvhMd4UoaxjUg43OH4FRcHwBP0/AHL7zAMsHSS
mtFeCvFTEzM6Wp5axhzOPQmR5i5qCWDU2iLZu2Cai4TGQzr3h0kHahNE9BvYSxaSpyKnuocU91aN
NG8sWfofNNbuXXQ3E7YiQKCmN7w6c0anTFBvG6Y8AqTxNvmI6RpBXzPQuLeQbmmDdsb9kew8lL8E
wS8ENdQKPCAJ8LvI0lkPvPmaTl5+u2hCXubUh6w1jy59K2UEqqdKla4xbgfLgI/vWwpNkOGFqMHG
oNG7/azF9J7N4eKPrFr0q2cG8PhgBdFkRyA3duBM8LtifXoYPZDnuQcPorYQ0fLZfObXaq/NrX/s
hIywVSt0045ffsxNLbcC2mQ46pqGriPH6FGiawgYlPVPfpqRMeDRWeOw6G/6oT3iVCKTR2s+Vet+
KVO33i6MR3aibyC6z/4C25QjVlIpsNnMsU9a3n7HBH3BaziedVUALZ1Wy7HhVrc068UNdol6W4k5
203pII4L86eDZrt+0DaAXiVYkNCLUXQDDJoRO0ObNsqc9a51vi4L1tmKYSKKueGrUef52W4i3Cwz
h9zIBIbYUIXfcA/0e8haSTjl+Sc8Q3+nmuVr3PBb8wVTNSoYO7pENZlRMGZZ+skQ/UZWxQTbH/la
lBtRmGDkv06WJ9nccZBB+AGmaH9iN/7FGtJiV9gUDFJZL2U3AojN+/a58PhVS2cB4x7V8NmNFt3P
HkGKxSIK3m1K7siBzu59o26OwjOWG5kjBJnc/OtYRmLDYko0A/DsF48sn9AazMc0dapQxhT8mUJt
Mjpp8c2o6KqWDLCPIwEeu0y6c1jBdtrRaSxv6FmTOjEvVijN+VufRDO9YccNJp/3MBGduBX41557
YSx3uQkvjd3UZzyVuKOq+MIa3r4c8uyNxz4fcPRX3lPr2vysKTjPjNHRIao6pKMX349gwO/sIcre
yBR4tB1nCusivlpG3R/M0YsBlidZw4Q14osG7GF9AVExhcrGWIrnZWstkWMg4nNjrrQk8HRpOZul
joR+EtcG5AVVwVfgOgdGo9e3Ul+gd2FqOrjK9r5OeS/eRqE+siYabhdhatlWykQesmYwb+3SkRBQ
MlWxsjY0TEjZQEwh6XXQ8OSOEOVD6/n2AwPmXoSsmholhtEYoU1cxGffmR6izT6LuabMrdfgvs7Z
N41u88hUjPYOOJyXMRzBPG9AOj0iiBlDzt43HmiI156EmW9V3J6KiUA8Jr1Q/NvY/A5q3YbBkBof
epxpZE1AQswD4pjUsZlQ6AZpnmAQVPasPkThFZumHvvHZepgNrN4XvBsFXtCHO8WpzpH+IPdjWQ7
UAe6mxm3syPd71HsliFzV/fWH+z0hfAT66KPqb3pyqnY2hz1Gbs0C07+FqBIPZj1Q2daXYo3WPRX
lRsejdiotol0bkaCCTuPoAu04fNt5RHOEOtdtovcaditquhtw/timuZo+wzFbrlnRJK+sJrlL2xx
42sxKfGIZSI6iMxNj8KeqHij1jm1lcSGkDJwBQ+PMuw5NkjgOEttRkq+JESeEnWDDU7AEG04PJ+Q
fcswKZWeB8qqmo0jsRtyTu7uByBpL8Jbxu8204aD19fY4bJsuLXipPtSm3aX8/zV2bAxscflpY37
i+qKEVE3lHXG8aGfnmIae6BabGv0N4vfmAyWimaW2zTjeTjTXiyxJUQFHYvIW5zXmMxi7F+eYmf1
RsvnQewIhyBni4aRlVsOYuQ8eZPuhGeVUM3HYqlmZMVkqF/ojqVvOC6qHYaUcmXoqQLcSyU2UJFj
L7CsXPOCvpzKFxGp6B4dMP2okuUVKd8jbG0SE6p2/FaVVY3bz0UTNCzxuasoSYtKrq2jUpZPNPCZ
MgrX2E9emd9kNWmtc4n8nsz6Imy0pYC/0zX2bqLtcA8Jqes29kIXLKOBT/C8Pt6U1TIGlpFVh9FV
8Z3RmNH84LlZV9+qmATwjR8r0To5yETHoFgo4WMQ/otAyjCa/jvlZgqlgRyxdrIeidIEvcgyNtMU
6nqsj0npk5cOj/lcKEsL6YPp22Jpqm5j9gnrKLoMRenkmIchcewXEqzR7ixTTJI0DtNG/+Y7XrQR
qLTjm1TKtAXAI7oMPUQ8wRccJWIIGjWsPkNX38hBaw4jNsQH1RJ0W0Ja3i824Es5zGTLTF1z7Lgn
N+NgpjdNZqdhZIzuZwk57kNUKy2lS2GV7DEEPfW5H6VvyDuBQ8JXBjHhrFKCZQFTAVTxF1pT8cEZ
S0pwHdxP2OLEeMZvKLapw+q8xe6b73oE8O+Cwvo84TIICs7HtduIfc2vPS1GO9w3Tdq8JsoqH6ZJ
t09Lk06hAa5xYyc6ZkI9Kc1tnDPVw/1JddCujOMcMGEHvPBqWS3OEd7jl54qcgu2xg/BBGfbmL2O
4rydt8rohu1YuEdAH3JTc3B/oFno77pcGO82KLxDmXdNEOWsTAWt3sDFj7xPY1Nuutpe6YClw+Xt
k+lb4WtyXxjWrakS/zuA1FvJO6EbKIywMYz50OoFwTnjGN+gA/MUfStrJQk57a7xlb1t4dGg11rW
qJ4sRVoXlQSBF2zjEUE9X2liN8EaeHzQUqJpNLIlw2pySOoB39+HmtBmCNCmuasjCwWj72q3g7nM
D82UHEY4VRdFRiLkpsrsqMC1YlvMSfJL0zjWJYrSlIW2jUm1hJKe9yz8Y5OBtUmKcOlIm+/ouLPp
TPM95g//KlUM1xjOxSF3UnsLoogFs6/xagr9zvOgJfd9r+pwbOJ30mKyTVWTxkJh13rXHDogoXR4
5PQisoIMR+/bD3OFOfVkzJVpUr5pTf/WmvTvEjwYlq10QcC6/C4UG6uHDPY4lwC9dQ6eq25/GJne
Yjyd8QQH+MEB+S/Fu+2byVZytQKjUq+NxyEi9jbz0kIvL177jPECziJRb8ehApKuTHMLM4B0lNSP
TsgvMb30KgrKWDghNbNOhm+lsmLbgRgfYxioNzU2He6W3t3rIndDo0POX8Rxfkf/QYjNaKnR28pG
yGs/UG8TTW9s2rX9o7y+OfptW2yBbC8HwG/il6niiJYNmTyU1jBuJq017rOBfnPedB9DooaTW8LY
Fl5OnnMNUjOZG1qdTssGrKFPc0uJHS2JCQZvv3FeoxSbK6ao1pKVx2psZB7GiKleJBkncLaniwkq
7plS6inV2jZ0u8E9Jw5culYtFI51QobBsjJWRq3bVHL86ust+uHZDJLMeK40lrxMApRsHBLvJ9v0
XiBRlgFWCuhmwpModyL7aalzm2F2bpyrOblJteptaNye2LHksXMg+bKS7qaZ6qiKGzj0tfGGP6Q4
mrKyvveE725EjEys0cpnReTGZ9OUjAviynOGgK4HxbdqRlA9TvngzQMznjrO9M3QeNFXKUZwN0pK
FJj+PD2QAr7AS/IiUD40IKad3SNMofiHlWIVyt7no+k/EC6BJLIxbSxHmYzcEVZMMmg8CeXWEXl3
goESTEsaK4460YZL1biXnNn5rXSwTAQ6tmd4+zlJaWR7F0Q+ewyEt6NImivqee/IH/irvPI+jdh4
sLKaxYPs6ROZF/lpttlciTD4iPIGN2au5aSoOiM4GpeYRbtQpyV1yf4W+nPHlgRTfGgAGqy9wKaC
Z+ITM+bqDpQfmwz2iAnAqgOxCAU3WBIc1cnpANP14Mr2K8lMJ3RjWEDSBqxPrF0iH/DWUmDpz1r3
1Ohy2JGX6W7d3ClOjU37r/VFH1aU+iGVqRFGVnvTxfLez/rvGB2546PZZgpe3bdWU21ozLjHysqN
wNWGZM/ZhQbiUmq3DOteGNf05yHSSGjqHERfhVntE9HE27Qu9YMig3TT2WN/rBBB0LkYarwjhEIj
VLofNUEbLprSMKnn/2Lv3JqbxpI4/lWofZdL98vDTtU6zoXcSICBgReXSDy2bNmSdbEtf/r9HR05
WEpgYA41pdpawQs4aUutc7r7dP/7358XUwjHzKKyzqjvgOAvrC9jZ2O82/rOArwfpGsABJPtxMm9
zTtsnzl0XYcpA/q6vMzWJKPgQabFVrNv4szXyLNEEewY+mJxEbirG7uIod/dWzaI2WgbQGgGkA6u
GX22uGSiAnxT+4QZ5FUa5kaSfBIIPUaiQaHxQBmSHlCjWmhhAoHxG0+PtYs5Di8bWoA+L/zFPKMk
xREJ2Ot8NmIYArw68Fxby6r6QpzF1poyCY75eP6bZGuNYTedlQ9a5P4J71yVDoOZll+uSUPf73eU
CJ3I265O0kjf0urplHemObP3twJvlw633jI5Jwu6pCm3oIVnL2DAgovEg+ct2o1SCCdp2oQe5Iwx
TSDa9bF2a4B2glgDZ3ARjTfvq6nzOxGC8249nsJQu66KC/YBLIJZDkVT4H/Y+ow5YlqI+W6qwyyU
z6w3vpGPw+UOhDizyn1IGky6WGMO6drV1iSouabnKx+ui83sihii2J0xBiyhDSFyy0t7hf0ZulQx
5+fTMUAjkkTwBG/JhRHTLKF0WHG4IbzbJikjqtwk+5Cl9vqK2qfPGKvECxgEAHXKeZXOwXpjFz7B
GxxYtxAR6e+hjzbckb8u9x9LYHJDtvGYpBEJavrGVsyetMqUmWysnjW9l9sCeMoqut6naZqNcFiw
ymbllIgJrgdgkwVcDFkhIiGszCcmaHufoYzw2drlvLhIfdjKmYG1Jmj1bZ+xIVq8AXJq7d45ZVqQ
fNIXKfD1Svd5E1rwIa5Z92bTOaNNpmNKeeTUqrfVAmDcicVGO90z4j4ioOfgvTNx0YSgy3S0sdI/
YbhYnVIiuK80wvo9RBKX6cItRk5aMmArGq/vd9ON+XEu6tMjKFVh1Mgc4y5fJ9Baw8Xpv83pdSDi
pVXxLt5rm48arSKXFtzr5XBJQ9dNVmnFx0Wq6bf6cludmyl4MQ6vuXWfA3N+G9BWCkkVNB5XmjYz
vzAaeHFZ5P4GbgsBXdqZJbs0WWFWh0vHX5nEjDNYCh0qwCfelp6JUUkDYT60MlBZt2T4BeF5kFkx
oGizcuBl2Tq86eUcfuFsOh/tFvndfprTkkZXmAn7erJ7r++96eWcttsTqpnVnzFMv5/GRk6gtnfp
WCPTkYHAg+10OJ1H64+l6yRnWw2vO01snBlLasRhJzrVp/n8PNUgHRySGr3Kxjvv9WarF6eMLV1c
pwYcRkT2hn6dAET7nYkwBUMvdky6ht7SPnEzZn1aUaHdp4t1egsA0r9Yzozpab7Zp+d0hdgnVrpg
lWgZ8CgfvO4fZG81nNg2fa8T311nyXp7VhZE/6QzPbI02uwtfH6bEz+Ywr1MLeNkmubLm7IIHrSN
QTOysRxfuDOnGGlQbtwA/HROrDlwyWhtvU5mhn9Hd83u9bZyNoDTPICK7jge2QyVYdEEjDp0i+wy
ZyjODSM4Fte+G3xZ+TvjdDMGhD73q3BaLeF7tiHdH/tz0orGeEmuLKs+aJE1PvMg7z9NTXomNRb6
+WzDZNMNcIDXizwhZ5MsVpVJom0/mlk7YwRumoKsA+xO0/fZpwhA7AlHhf0FRPRgRz0jL+98LyEP
bARxPFo55iZ+u3NgXKlmOJu5I1gE6S1fXGseyASH8g05VhARVTI7M+BmHAbJ/tZZ7Pl/fXyfW7vq
zZbZz0Nzs/gQ5OYf1hRjTY/uaQTMb0SmJAxWNAoFUwoeW9hZRrkW66MVwOAz01gAjreXkOrM3+59
Bp8ktgN/DpBXRgnt31iziAbd+fpjmq/nd7ALQURgXhBYFecbpgt91naUQUxL+8PSYXbS90TIO+B8
5ykDT4bw+IXLYL6+35bre6hW42qoJz6u3RAHwVmsvYEHo4L5CFbdNTzZ1/RAPNqaV97UZO8Z9p/W
kD2AO5sWmWIL0dp0ubumoL6jiWr9/+EfP8RZRmejSc3422Xrj1WyhJSjVbiWv9MUrmuclsO4Y1d3
TZBSohXxAOEyjIFOktf/itP6iuBiSZhP8z0scF8HCJcuhn9gX3QaHJlnBhr3J+rWHUy67usOBPxW
4AjMODS2Aj95VLQel1sDDrz19rZcPk7zmHX35UgbdxJ6fjx9DWW1EGLdL+i0nWQ7K16mO77An5Nu
9cEaBWG0uY0CclqP3/+qGqt9BH6n/M8cFSalWBbd4LbTbaupjNyIndg2buYOxZQ5LFuaacGYK9L8
8Id8zue7qf8wg9ez0CkemjkTehIw6tHqUrf09XT5mEjgzrS0Z+DFzxnLrJ/Tt1JOIp/RqsvrMoMP
377SXWYFx3kwH2fv/bleXbm2lozfV+vibG5GzmWObb2b04xCbYT+8BUMAzQXUtnIOGeYG5dORgao
WAEuOl6uZ4t36wBuzIwOwtXGS0bcBLEFGROTqm9pXmZGGv1e7eLyKh6v4TDdb6p4e0aDfmwtrzzw
UiMH23nrG/BIfdYYrcbUK5qmh0DDshPGGdrWGwxHur+aF8SP77bUdu3VqbWZQrsFRTdpyt2YGlIG
a0n9Rv5nwC7Ng4zCIjyt+6bvy0lWvZ3kJcmTw64Sn9azBd9ToSkYNPmzP/R9QU139V/BZxzrWcd2
fVP1zXxPRhxyz+XjBJ5DD3ZEjgaWyzhGcWFUYgafNx9rng+xIvs10JvPJVnjkZK+pYbvP6HU5/d/
5ntPIA21aD/HltIM0DLGP6sE16bJnPYYZtFIJWARj5UAnnVQ9xwe4Er//OM/JOWqEMsQgEdnrBQ3
+yNP35FwtAQCUFSW4wEKplGai1d8/PRBMNAN3wIdbD9phy/853UQPuJVRxEjvaOH4ti5gql3QVb9
iBY6Mr5qAaIBx/QMTtyu1AIuuaMFeMg4l1r4EHHhtPqlBby/3Jyyh+fJRP2MNTAHggXCBBzXfnrf
HYCJg06d1lR59e7pCVcUl4Blw0+BsQPMLJ+xYwsDgPIcGyDrB7UmLold7NFGoE7QxVP+rC1ECaAn
2FHAX+qrsxIM4lOWiEPnrtwoUut9UgJ9e7w5NWugDwh+hdVrtIB5ObYGfoDH8F2abJulIs1Pj7RA
N4e0UArWwOdUAYscGFm53nnVx0qgm5lhO2LAde+CAtNgbqHiGmD2j2cKGPDhFT9fA+wBaCnNRj29
8wi0uKm6ReJDIMwuI8yDl9eAEQxczq9wespu0N5tBJaCaE5VMgcWc9khm/ChgJBa6AYHeAbPs8B4
NEronWeguVzZJhIhMebegaXixaXgsV9q8lazd08P8Eh01iutAduj7c6lW5R+Z3l1raEuJrriOps1
0LudAGrHV44QyTQRB+suzX0vaSEQHF+GT/zw9SjVrzAZDjDlQJETEY7B5SzwohI8h5UAQ41lEE+K
q3cbgqZ91UMzNpGBoeQarc5p2fM4L7pMKbaap5c7r0exkQG3rapLMBk0GDiOaHJtrrY58EVXLS1J
bDlpLXsXI2HGTVUt2PaAXKHJHx7vODbEGbhi3oZLQaK+ercFBM+Sqk8gRKTbGkaVoIkLOhGyb+Ez
yKvY5NTrq3eLALog0SSu5BnrEBB7qIsTx/Ei4Kgskiri+EDvB1cPz4qkfBQfnz2ApSM1dIiAO2kD
UIWw3gcWXTj92wRQgKnaAEblcDqALeeQFumYAnJHgtefbpfmnNRDLQQ+aQ6lTWAzKdazmW5A50Z9
dbQQiF5V4iaRrq6v3p0WcWWmcmTk4/Vgngi8JpfcMYgBBylwVOTYmshJqr1PsQEGXTk0oqhCe7Hv
Ok22tGMRfAYOQ/fl1ROAxWLo344AxK+qBdsZwP5DqvDoXR97BzcYAHQ0IIjsbV2BF6RsHe2BzaRI
8iNNXaFjF+gLH8AzB4eWmFnWr6MSuS1luyiOCWwG1kA7NvDcgafTmv9UVZJuuEeWAO4aW97U30+h
4hVIjlFYC5rjcMcSQIntgraAhLN3htBkZJ5qZEhoxOA7L+CUKE8BncfHEHoWoAlI5OTnvXOKDeGE
UmhgGaQD6JHzOXfWV9cpBgOL0ho+86u76JkhILuraghtF3cQCFxRcxbqaoEiPKgnTubym/pkCQy4
QFTjQ7IiZE4NhrrLRfDMD5BIt0lVQxPSOz/AW5Ehyt+3hJwSLMeFTJP9Xl8dUwBdGKckukOYl37Y
JD3bBMJSqa4Ci3FmDjmjQw69swrwBw4IBBN3IVdJ//YCXXLKWqC6SsATgMt7esrjyNDjwEzZDWSk
XCpB/3aEDUhQdS1QLyBDgkV4eUeQQeQTaCEAJtVX/yIki/hdVQvmgBjQtAW25PCUrbXgDKixwtR5
wCP0LkSguCToatVCBBJlFu/6yTqyxVpaAG8AjNWH3F9qqX9agNxKNVq20ALclWRR5EOKfOGxFgLO
1RLh3IARe1digzZWfUdY7AhG4YgJOvJqa4HE9QAIEugLu3+HBgARqqvA1ikhgjhowsQ6a3y8Cqgv
+RbTA0gxSfUQSfQsUhAgOkWLAB6R8UlmAMvr01O2tECkALRdUMfLz3vnHQRrraqPtNgLOikCDqMv
egdfrBWqK6DSpBZ6ZxeFFuQC/fuxM8doGydjExrKp+x4B3QzIB7hdNUsux6dnZoBwKrekfm/ASmy
xiYQFR/vBSoM8HibAockV4l0x33Sgk0xVNEiiBMUqSROB4177GihRmZ6QC9Mt3+7gH5n1RhJAHCY
C+F4/jd2Qe0XRfq+QWn1bxUQyaraAvKpALRRArnT+urYAiyiS7qZ49VXi9kv72i5TPNW3AtYRPoR
OECKSd311bEIAYlFnCdl1ye/0TctPG8i/FmsNtllnh0qW6vJKXUtgk7A7NDagsE4aOlHtfADxvOp
G+pkFsWPdR9UNMlf6oT61g8c+n+ef970/tTzJaH1bf2gaIuS3y27gMS/f2s1dtTNKUcfHppV6u9p
fr15wOdf3fquw1Md/vMimmRh9jCr6g+q5jZvwyW9VP+Jwy/hMjzuTGEPEpd9vZN//6t1n0e74C8E
54uOXFGeU5abRftk1RZcdxCoC16Eq7xN3cwITwyyquSTMGYoY7aKWnctgc7KspM4ycLH5HCXYvFJ
GL265NVq8lBED2XREl6DclWFjyZxuA2zybFkCXJUltz0Wr1K/nxF02u5/NJWu0QRqn7LGVqPHlvv
swHoqUo+nyTZtH3LDepLVfIFGo+iY403QCpVwa8fw1lrATKsQCCUlOUyDHWVRPlBUt05KRtllEWv
Hpkd2n5/ElakLDnZdsTWOB1VsVfPbZOEvigLRkD5sKhaSpZ4ElXR10kJxXhXzRLQrSr7JoxWLetB
He5XuJebMKueDYuWkAL1W87z8GFW5pOiaK3ppmivLD96mEXTsN1pKwvi6qLxBbCctFa2KQus6rLz
POIvXIjHa7DphvoV0hNIeTqiRWVYWXSyKjqL25RFV1XJt5MvWdiJnpp+YXXRm7Dtt0jCiEKpuuDt
q4twmeZMxmltTOSLEuSvkH85yfJJy1KZsrL3K4TfTHbRQ8uNIVxAqX6F8E9JtjhIqs8HsgqlLDrJ
itmrkzBjFkLbmzUFnl/zBc+nezXNSari38yitsZliVJZ7CImImmfakxZ61EWnU2mXTKDunyiKvhu
At9WFW/CzjHBlNUJVfFvZ8nj5NXr/Jlvk2l/VfHvkvIbC7HJqP+aL3i+EJtUtar492h/kueTluVq
0sDqsr8xEKgmYXmRL+Up8/y9E/bvRTg7tikAV0W+VvV2P0yyJZ7tIEhYq6brRllyxMmms7wtyQej
KvpjiN9ZTYv21qTVXWRwlYVP8uLVh5duXuZGleVH+UOyyqNW5NZkHJVlf5vW67vL76VM0xN/yvP8
04Ea56VfayfXxE88xJMw++2/AAAA//8=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99606</xdr:colOff>
      <xdr:row>0</xdr:row>
      <xdr:rowOff>398928</xdr:rowOff>
    </xdr:from>
    <xdr:to>
      <xdr:col>20</xdr:col>
      <xdr:colOff>373528</xdr:colOff>
      <xdr:row>19</xdr:row>
      <xdr:rowOff>82175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97E0264-3C6F-3A1C-31B6-D6CC9461B8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48488" y="398928"/>
              <a:ext cx="6399805" cy="4255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102594</xdr:colOff>
      <xdr:row>19</xdr:row>
      <xdr:rowOff>88151</xdr:rowOff>
    </xdr:from>
    <xdr:to>
      <xdr:col>20</xdr:col>
      <xdr:colOff>376516</xdr:colOff>
      <xdr:row>37</xdr:row>
      <xdr:rowOff>174810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D476C7FB-EA20-4BCA-989B-A994F3DCAB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51476" y="4660151"/>
              <a:ext cx="6399805" cy="42552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109385</xdr:colOff>
      <xdr:row>37</xdr:row>
      <xdr:rowOff>192061</xdr:rowOff>
    </xdr:from>
    <xdr:to>
      <xdr:col>20</xdr:col>
      <xdr:colOff>383307</xdr:colOff>
      <xdr:row>55</xdr:row>
      <xdr:rowOff>140174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080DABB1-E438-4036-B9D8-9A5061AF01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51476" y="8908879"/>
              <a:ext cx="6393013" cy="42430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BB3944-5697-4DE5-9155-DCADBEAAB488}" name="Table2" displayName="Table2" ref="A1:J52" totalsRowShown="0" headerRowDxfId="3" dataDxfId="4" headerRowBorderDxfId="13" tableBorderDxfId="14" totalsRowBorderDxfId="12">
  <autoFilter ref="A1:J52" xr:uid="{00000000-0009-0000-0000-000024000000}"/>
  <tableColumns count="10">
    <tableColumn id="1" xr3:uid="{DB549E59-7501-4F3B-A00B-68A83671D1B8}" name="State" dataDxfId="11"/>
    <tableColumn id="2" xr3:uid="{E4041896-C190-4523-8E92-83CEE0E430B8}" name="Charter Units" dataDxfId="10">
      <calculatedColumnFormula>IFERROR(IF(ISBLANK(INDEX('Dens-A-CvC'!$A$5:$P$55,MATCH($A2,'Dens-A-CvC'!$B$5:$B$55,0),MATCH("charter_est_units",'Dens-A-CvC'!$A$4:$P$4,0))),"",INDEX('Dens-A-CvC'!$A$5:$P$55,MATCH($A2,'Dens-A-CvC'!$B$5:$B$55,0),MATCH("charter_est_units",'Dens-A-CvC'!$A$4:$P$4,0))),"")</calculatedColumnFormula>
    </tableColumn>
    <tableColumn id="3" xr3:uid="{FC39004E-6340-42A0-8B1E-D2ACB8E26AA5}" name="Comcast Units" dataDxfId="9">
      <calculatedColumnFormula>IFERROR(IF(ISBLANK(INDEX('Dens-A-CvC'!$A$5:$P$55,MATCH($A2,'Dens-A-CvC'!$B$5:$B$55,0),MATCH("comcast_est_units",'Dens-A-CvC'!$A$4:$P$4,0))),"",INDEX('Dens-A-CvC'!$A$5:$P$55,MATCH($A2,'Dens-A-CvC'!$B$5:$B$55,0),MATCH("comcast_est_units",'Dens-A-CvC'!$A$4:$P$4,0))),"")</calculatedColumnFormula>
    </tableColumn>
    <tableColumn id="4" xr3:uid="{B081DA0B-ECF3-4CD7-BD71-17EDAF31CCD2}" name="Total Residential Units" dataDxfId="8">
      <calculatedColumnFormula>IFERROR(IF(ISBLANK(INDEX('Dens-A-CvC'!$A$5:$P$55,MATCH($A2,'Dens-A-CvC'!$B$5:$B$55,0),MATCH("total_residential_units",'Dens-A-CvC'!$A$4:$P$4,0))),"",INDEX('Dens-A-CvC'!$A$5:$P$55,MATCH($A2,'Dens-A-CvC'!$B$5:$B$55,0),MATCH("total_residential_units",'Dens-A-CvC'!$A$4:$P$4,0))),"")</calculatedColumnFormula>
    </tableColumn>
    <tableColumn id="5" xr3:uid="{E0EEDBD4-8B8B-4218-BADD-631542811944}" name="WFH Workers" dataDxfId="7">
      <calculatedColumnFormula>IFERROR(IF(ISBLANK(INDEX('Dens-B-WFH'!$A$5:$L$55,MATCH($A2,'Dens-B-WFH'!$B$5:$B$55,0),MATCH("acs_worked_from_home",'Dens-B-WFH'!$A$4:$L$4,0))),"",INDEX('Dens-B-WFH'!$A$5:$L$55,MATCH($A2,'Dens-B-WFH'!$B$5:$B$55,0),MATCH("acs_worked_from_home",'Dens-B-WFH'!$A$4:$L$4,0))),"")</calculatedColumnFormula>
    </tableColumn>
    <tableColumn id="6" xr3:uid="{0E5F4CFD-EE71-4D8D-8825-CB3A39706A74}" name="Large Firm Employment Workers" dataDxfId="6">
      <calculatedColumnFormula>IFERROR(IF(ISBLANK(INDEX('Dens-C-Large'!$A$5:$M$55,MATCH($A2,'Dens-C-Large'!$B$5:$B$55,0),MATCH("susb_employment_ge500",'Dens-C-Large'!$A$4:$M$4,0))),"",INDEX('Dens-C-Large'!$A$5:$M$55,MATCH($A2,'Dens-C-Large'!$B$5:$B$55,0),MATCH("susb_employment_ge500",'Dens-C-Large'!$A$4:$M$4,0))),"")</calculatedColumnFormula>
    </tableColumn>
    <tableColumn id="7" xr3:uid="{A3B84EC1-26BE-4243-9D0A-10A715B3404D}" name="All Firm Employment Workers" dataDxfId="2">
      <calculatedColumnFormula>IFERROR(IF(ISBLANK(INDEX('Dens-C-Large'!$A$5:$M$55,MATCH($A2,'Dens-C-Large'!$B$5:$B$55,0),MATCH("susb_employment_total",'Dens-C-Large'!$A$4:$M$4,0))),"",INDEX('Dens-C-Large'!$A$5:$M$55,MATCH($A2,'Dens-C-Large'!$B$5:$B$55,0),MATCH("susb_employment_total",'Dens-C-Large'!$A$4:$M$4,0))),"")</calculatedColumnFormula>
    </tableColumn>
    <tableColumn id="10" xr3:uid="{BCE078ED-F458-47D2-B1E5-8EF0AA7DFC6A}" name="Percentage Charter" dataDxfId="0">
      <calculatedColumnFormula>IF(Table2[[#This Row],[Charter Units]]&lt;&gt;"", Table2[[#This Row],[Charter Units]]/Table2[[#This Row],[Total Residential Units]], "")</calculatedColumnFormula>
    </tableColumn>
    <tableColumn id="8" xr3:uid="{38A890B9-043E-45AB-83DE-113FC5E8B5FF}" name="Percentage WFH" dataDxfId="1">
      <calculatedColumnFormula>IFERROR(IF(ISBLANK(INDEX('Dens-B-WFH'!$A$5:$L$55,MATCH($A2,'Dens-B-WFH'!$B$5:$B$55,0),MATCH("acs_wfh_rate_pct",'Dens-B-WFH'!$A$4:$L$4,0))),"",INDEX('Dens-B-WFH'!$A$5:$L$55,MATCH($A2,'Dens-B-WFH'!$B$5:$B$55,0),MATCH("acs_wfh_rate_pct",'Dens-B-WFH'!$A$4:$L$4,0))/100),"")</calculatedColumnFormula>
    </tableColumn>
    <tableColumn id="9" xr3:uid="{944B0F62-04D3-4121-B5B1-D7BCFAEF820A}" name="Percentage Large" dataDxfId="5">
      <calculatedColumnFormula>IFERROR(IF(ISBLANK(INDEX('Dens-C-Large'!$A$5:$M$55,MATCH($A2,'Dens-C-Large'!$B$5:$B$55,0),MATCH("susb_share_ge500_pct",'Dens-C-Large'!$A$4:$M$4,0))),"",INDEX('Dens-C-Large'!$A$5:$M$55,MATCH($A2,'Dens-C-Large'!$B$5:$B$55,0),MATCH("susb_share_ge500_pct",'Dens-C-Large'!$A$4:$M$4,0))/100),"")</calculatedColumnFormula>
    </tableColumn>
  </tableColumns>
  <tableStyleInfo name="TableStyleLight9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42" customWidth="1"/>
    <col min="2" max="2" width="16" customWidth="1"/>
    <col min="3" max="4" width="62" customWidth="1"/>
  </cols>
  <sheetData>
    <row r="1" spans="1:4" ht="22" customHeight="1" x14ac:dyDescent="0.5">
      <c r="A1" s="36" t="s">
        <v>139</v>
      </c>
      <c r="B1" s="34"/>
      <c r="C1" s="34"/>
      <c r="D1" s="34"/>
    </row>
    <row r="2" spans="1:4" ht="32" customHeight="1" x14ac:dyDescent="0.35">
      <c r="A2" s="37" t="s">
        <v>140</v>
      </c>
      <c r="B2" s="34"/>
      <c r="C2" s="34"/>
      <c r="D2" s="34"/>
    </row>
    <row r="3" spans="1:4" ht="20" customHeight="1" x14ac:dyDescent="0.35">
      <c r="A3" s="1" t="s">
        <v>141</v>
      </c>
      <c r="B3" s="1" t="s">
        <v>142</v>
      </c>
      <c r="C3" s="1" t="s">
        <v>143</v>
      </c>
      <c r="D3" s="1" t="s">
        <v>144</v>
      </c>
    </row>
    <row r="4" spans="1:4" ht="36" customHeight="1" x14ac:dyDescent="0.35">
      <c r="A4" s="2" t="s">
        <v>145</v>
      </c>
      <c r="B4" s="2" t="s">
        <v>146</v>
      </c>
      <c r="C4" s="2" t="s">
        <v>147</v>
      </c>
      <c r="D4" s="2" t="s">
        <v>148</v>
      </c>
    </row>
    <row r="5" spans="1:4" ht="36" customHeight="1" x14ac:dyDescent="0.35">
      <c r="A5" s="2" t="s">
        <v>149</v>
      </c>
      <c r="B5" s="2" t="s">
        <v>146</v>
      </c>
      <c r="C5" s="2" t="s">
        <v>150</v>
      </c>
      <c r="D5" s="2" t="s">
        <v>151</v>
      </c>
    </row>
    <row r="6" spans="1:4" ht="36" customHeight="1" x14ac:dyDescent="0.35">
      <c r="A6" s="2" t="s">
        <v>152</v>
      </c>
      <c r="B6" s="2" t="s">
        <v>146</v>
      </c>
      <c r="C6" s="2" t="s">
        <v>153</v>
      </c>
      <c r="D6" s="2" t="s">
        <v>154</v>
      </c>
    </row>
    <row r="7" spans="1:4" ht="36" customHeight="1" x14ac:dyDescent="0.35">
      <c r="A7" s="2" t="s">
        <v>155</v>
      </c>
      <c r="B7" s="2" t="s">
        <v>146</v>
      </c>
      <c r="C7" s="2" t="s">
        <v>156</v>
      </c>
      <c r="D7" s="2" t="s">
        <v>157</v>
      </c>
    </row>
    <row r="8" spans="1:4" ht="36" customHeight="1" x14ac:dyDescent="0.35">
      <c r="A8" s="2" t="s">
        <v>158</v>
      </c>
      <c r="B8" s="2" t="s">
        <v>146</v>
      </c>
      <c r="C8" s="2" t="s">
        <v>159</v>
      </c>
      <c r="D8" s="2" t="s">
        <v>160</v>
      </c>
    </row>
    <row r="9" spans="1:4" ht="36" customHeight="1" x14ac:dyDescent="0.35">
      <c r="A9" s="2" t="s">
        <v>161</v>
      </c>
      <c r="B9" s="2" t="s">
        <v>146</v>
      </c>
      <c r="C9" s="2" t="s">
        <v>162</v>
      </c>
      <c r="D9" s="2" t="s">
        <v>163</v>
      </c>
    </row>
    <row r="10" spans="1:4" ht="36" customHeight="1" x14ac:dyDescent="0.35">
      <c r="A10" s="32" t="s">
        <v>164</v>
      </c>
      <c r="B10" s="32" t="s">
        <v>146</v>
      </c>
      <c r="C10" s="32" t="s">
        <v>165</v>
      </c>
      <c r="D10" s="32" t="s">
        <v>166</v>
      </c>
    </row>
    <row r="11" spans="1:4" x14ac:dyDescent="0.35">
      <c r="A11" t="s">
        <v>167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110" customWidth="1"/>
  </cols>
  <sheetData>
    <row r="1" spans="1:2" x14ac:dyDescent="0.35">
      <c r="A1" s="3" t="s">
        <v>168</v>
      </c>
      <c r="B1" s="3" t="s">
        <v>169</v>
      </c>
    </row>
    <row r="2" spans="1:2" ht="18" customHeight="1" x14ac:dyDescent="0.35">
      <c r="A2" t="s">
        <v>170</v>
      </c>
      <c r="B2" s="4" t="s">
        <v>171</v>
      </c>
    </row>
    <row r="3" spans="1:2" ht="18" customHeight="1" x14ac:dyDescent="0.35">
      <c r="A3" t="s">
        <v>172</v>
      </c>
      <c r="B3" s="4" t="s">
        <v>173</v>
      </c>
    </row>
    <row r="4" spans="1:2" ht="18" customHeight="1" x14ac:dyDescent="0.35">
      <c r="A4" t="s">
        <v>174</v>
      </c>
      <c r="B4" s="4" t="s">
        <v>175</v>
      </c>
    </row>
    <row r="5" spans="1:2" ht="18" customHeight="1" x14ac:dyDescent="0.35">
      <c r="A5" t="s">
        <v>176</v>
      </c>
      <c r="B5" s="4" t="s">
        <v>23</v>
      </c>
    </row>
    <row r="6" spans="1:2" ht="18" customHeight="1" x14ac:dyDescent="0.35">
      <c r="A6" t="s">
        <v>177</v>
      </c>
      <c r="B6" s="4" t="s">
        <v>178</v>
      </c>
    </row>
    <row r="7" spans="1:2" ht="18" customHeight="1" x14ac:dyDescent="0.35">
      <c r="A7" t="s">
        <v>179</v>
      </c>
      <c r="B7" s="4" t="s">
        <v>180</v>
      </c>
    </row>
    <row r="8" spans="1:2" ht="18" customHeight="1" x14ac:dyDescent="0.35">
      <c r="A8" t="s">
        <v>181</v>
      </c>
      <c r="B8" s="4" t="s">
        <v>182</v>
      </c>
    </row>
    <row r="9" spans="1:2" ht="18" customHeight="1" x14ac:dyDescent="0.35">
      <c r="A9" t="s">
        <v>183</v>
      </c>
      <c r="B9" s="4" t="s">
        <v>184</v>
      </c>
    </row>
    <row r="10" spans="1:2" ht="18" customHeight="1" x14ac:dyDescent="0.35">
      <c r="A10" t="s">
        <v>185</v>
      </c>
      <c r="B10" s="4" t="s">
        <v>186</v>
      </c>
    </row>
    <row r="11" spans="1:2" ht="18" customHeight="1" x14ac:dyDescent="0.35">
      <c r="A11" t="s">
        <v>187</v>
      </c>
      <c r="B11" s="4" t="s">
        <v>188</v>
      </c>
    </row>
    <row r="12" spans="1:2" ht="18" customHeight="1" x14ac:dyDescent="0.35">
      <c r="A12" t="s">
        <v>189</v>
      </c>
      <c r="B12" s="4" t="s">
        <v>190</v>
      </c>
    </row>
    <row r="13" spans="1:2" ht="18" customHeight="1" x14ac:dyDescent="0.35">
      <c r="A13" t="s">
        <v>191</v>
      </c>
      <c r="B13" s="4" t="s">
        <v>192</v>
      </c>
    </row>
    <row r="14" spans="1:2" ht="18" customHeight="1" x14ac:dyDescent="0.35">
      <c r="A14" t="s">
        <v>193</v>
      </c>
      <c r="B14" s="4" t="s">
        <v>194</v>
      </c>
    </row>
    <row r="15" spans="1:2" ht="18" customHeight="1" x14ac:dyDescent="0.35">
      <c r="A15" t="s">
        <v>195</v>
      </c>
      <c r="B15" s="4" t="s">
        <v>196</v>
      </c>
    </row>
    <row r="16" spans="1:2" ht="18" customHeight="1" x14ac:dyDescent="0.35">
      <c r="A16" t="s">
        <v>197</v>
      </c>
      <c r="B16" s="4" t="s">
        <v>198</v>
      </c>
    </row>
    <row r="17" spans="1:2" ht="18" customHeight="1" x14ac:dyDescent="0.35">
      <c r="A17" t="s">
        <v>199</v>
      </c>
      <c r="B17" s="4" t="s">
        <v>200</v>
      </c>
    </row>
    <row r="18" spans="1:2" ht="18" customHeight="1" x14ac:dyDescent="0.35">
      <c r="A18" t="s">
        <v>201</v>
      </c>
      <c r="B18" s="4" t="s">
        <v>202</v>
      </c>
    </row>
    <row r="19" spans="1:2" ht="45" customHeight="1" x14ac:dyDescent="0.35">
      <c r="A19" t="s">
        <v>203</v>
      </c>
      <c r="B19" s="4" t="s">
        <v>204</v>
      </c>
    </row>
    <row r="20" spans="1:2" ht="45" customHeight="1" x14ac:dyDescent="0.35">
      <c r="A20" t="s">
        <v>205</v>
      </c>
      <c r="B20" s="4" t="s">
        <v>206</v>
      </c>
    </row>
    <row r="21" spans="1:2" ht="45" customHeight="1" x14ac:dyDescent="0.35">
      <c r="A21" t="s">
        <v>207</v>
      </c>
      <c r="B21" s="4" t="s">
        <v>208</v>
      </c>
    </row>
    <row r="22" spans="1:2" ht="45" customHeight="1" x14ac:dyDescent="0.35">
      <c r="A22" t="s">
        <v>209</v>
      </c>
      <c r="B22" s="4" t="s">
        <v>210</v>
      </c>
    </row>
    <row r="23" spans="1:2" ht="45" customHeight="1" x14ac:dyDescent="0.35">
      <c r="A23" t="s">
        <v>211</v>
      </c>
      <c r="B23" s="4" t="s">
        <v>212</v>
      </c>
    </row>
    <row r="24" spans="1:2" ht="45" customHeight="1" x14ac:dyDescent="0.35">
      <c r="A24" t="s">
        <v>213</v>
      </c>
      <c r="B24" s="4" t="s">
        <v>214</v>
      </c>
    </row>
    <row r="25" spans="1:2" ht="45" customHeight="1" x14ac:dyDescent="0.35">
      <c r="A25" t="s">
        <v>215</v>
      </c>
      <c r="B25" s="4" t="s">
        <v>216</v>
      </c>
    </row>
    <row r="26" spans="1:2" ht="45" customHeight="1" x14ac:dyDescent="0.35">
      <c r="A26" t="s">
        <v>217</v>
      </c>
      <c r="B26" s="4" t="s">
        <v>218</v>
      </c>
    </row>
  </sheetData>
  <autoFilter ref="A1:B2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18" customWidth="1"/>
    <col min="3" max="3" width="28" customWidth="1"/>
    <col min="4" max="4" width="22" customWidth="1"/>
    <col min="5" max="6" width="16" customWidth="1"/>
    <col min="7" max="8" width="24" customWidth="1"/>
    <col min="9" max="9" width="55" customWidth="1"/>
  </cols>
  <sheetData>
    <row r="1" spans="1:9" x14ac:dyDescent="0.35">
      <c r="A1" s="5" t="s">
        <v>219</v>
      </c>
      <c r="B1" s="5" t="s">
        <v>220</v>
      </c>
      <c r="C1" s="5" t="s">
        <v>221</v>
      </c>
      <c r="D1" s="5" t="s">
        <v>222</v>
      </c>
      <c r="E1" s="5" t="s">
        <v>223</v>
      </c>
      <c r="F1" s="5" t="s">
        <v>224</v>
      </c>
      <c r="G1" s="5" t="s">
        <v>225</v>
      </c>
      <c r="H1" s="5" t="s">
        <v>226</v>
      </c>
      <c r="I1" s="5" t="s">
        <v>227</v>
      </c>
    </row>
    <row r="2" spans="1:9" x14ac:dyDescent="0.35">
      <c r="A2" t="s">
        <v>228</v>
      </c>
      <c r="B2" s="6">
        <v>62250556</v>
      </c>
      <c r="C2" s="6">
        <v>73497851</v>
      </c>
      <c r="D2" s="6">
        <v>135748407</v>
      </c>
      <c r="E2" s="7">
        <v>45.9</v>
      </c>
      <c r="F2" s="7">
        <v>54.1</v>
      </c>
      <c r="G2" s="8">
        <v>45.85730129415073</v>
      </c>
      <c r="H2" s="8">
        <v>54.14269870584927</v>
      </c>
      <c r="I2" t="s">
        <v>194</v>
      </c>
    </row>
    <row r="4" spans="1:9" x14ac:dyDescent="0.35">
      <c r="A4" s="5" t="s">
        <v>229</v>
      </c>
      <c r="B4" s="5" t="s">
        <v>230</v>
      </c>
      <c r="C4" s="5" t="s">
        <v>231</v>
      </c>
      <c r="D4" s="5" t="s">
        <v>232</v>
      </c>
      <c r="E4" s="5" t="s">
        <v>233</v>
      </c>
    </row>
    <row r="5" spans="1:9" x14ac:dyDescent="0.35">
      <c r="A5" t="s">
        <v>234</v>
      </c>
      <c r="B5" s="6">
        <v>6295615</v>
      </c>
      <c r="C5" s="7">
        <v>4.5999999999999996</v>
      </c>
      <c r="D5" s="8">
        <v>4.6377081979311923</v>
      </c>
      <c r="E5" t="s">
        <v>235</v>
      </c>
    </row>
    <row r="6" spans="1:9" x14ac:dyDescent="0.35">
      <c r="A6" t="s">
        <v>236</v>
      </c>
      <c r="B6" s="6">
        <v>6810300</v>
      </c>
      <c r="C6" s="7">
        <v>5</v>
      </c>
      <c r="D6" s="8">
        <v>5.0168544519273803</v>
      </c>
      <c r="E6" t="s">
        <v>235</v>
      </c>
    </row>
    <row r="7" spans="1:9" x14ac:dyDescent="0.35">
      <c r="A7" t="s">
        <v>237</v>
      </c>
      <c r="B7" s="6">
        <v>8844269</v>
      </c>
      <c r="C7" s="7">
        <v>6.5</v>
      </c>
      <c r="D7" s="8">
        <v>6.5151917399664221</v>
      </c>
      <c r="E7" t="s">
        <v>235</v>
      </c>
    </row>
    <row r="8" spans="1:9" x14ac:dyDescent="0.35">
      <c r="A8" t="s">
        <v>238</v>
      </c>
      <c r="B8" s="6">
        <v>21976701</v>
      </c>
      <c r="C8" s="7">
        <v>16.2</v>
      </c>
      <c r="D8" s="8">
        <v>16.189288320709359</v>
      </c>
      <c r="E8" t="s">
        <v>235</v>
      </c>
    </row>
    <row r="9" spans="1:9" x14ac:dyDescent="0.35">
      <c r="A9" t="s">
        <v>239</v>
      </c>
      <c r="B9" s="6">
        <v>18323671</v>
      </c>
      <c r="C9" s="7">
        <v>13.5</v>
      </c>
      <c r="D9" s="8">
        <v>13.49825858361638</v>
      </c>
      <c r="E9" t="s">
        <v>235</v>
      </c>
    </row>
    <row r="10" spans="1:9" x14ac:dyDescent="0.35">
      <c r="A10" t="s">
        <v>240</v>
      </c>
      <c r="B10" s="6">
        <v>73497851</v>
      </c>
      <c r="C10" s="7">
        <v>54.1</v>
      </c>
      <c r="D10" s="8">
        <v>54.14269870584927</v>
      </c>
      <c r="E10" t="s">
        <v>241</v>
      </c>
    </row>
    <row r="12" spans="1:9" ht="60" customHeight="1" x14ac:dyDescent="0.35">
      <c r="A12" t="s">
        <v>242</v>
      </c>
      <c r="B12" s="38" t="s">
        <v>206</v>
      </c>
      <c r="C12" s="34"/>
      <c r="D12" s="34"/>
      <c r="E12" s="34"/>
      <c r="F12" s="34"/>
      <c r="G12" s="34"/>
      <c r="H12" s="34"/>
      <c r="I12" s="34"/>
    </row>
  </sheetData>
  <mergeCells count="1">
    <mergeCell ref="B12:I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2"/>
  <sheetViews>
    <sheetView zoomScale="85" zoomScaleNormal="85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2" customWidth="1"/>
    <col min="3" max="4" width="16" customWidth="1"/>
    <col min="5" max="5" width="22" customWidth="1"/>
    <col min="6" max="7" width="14" customWidth="1"/>
    <col min="8" max="9" width="24" customWidth="1"/>
    <col min="10" max="10" width="55" customWidth="1"/>
  </cols>
  <sheetData>
    <row r="1" spans="1:10" ht="29" customHeight="1" x14ac:dyDescent="0.35">
      <c r="A1" s="3" t="s">
        <v>243</v>
      </c>
      <c r="B1" s="3" t="s">
        <v>244</v>
      </c>
      <c r="C1" s="3" t="s">
        <v>220</v>
      </c>
      <c r="D1" s="3" t="s">
        <v>221</v>
      </c>
      <c r="E1" s="3" t="s">
        <v>245</v>
      </c>
      <c r="F1" s="3" t="s">
        <v>223</v>
      </c>
      <c r="G1" s="3" t="s">
        <v>224</v>
      </c>
      <c r="H1" s="3" t="s">
        <v>225</v>
      </c>
      <c r="I1" s="3" t="s">
        <v>226</v>
      </c>
      <c r="J1" s="3" t="s">
        <v>227</v>
      </c>
    </row>
    <row r="2" spans="1:10" x14ac:dyDescent="0.35">
      <c r="A2">
        <v>1</v>
      </c>
      <c r="B2" t="s">
        <v>56</v>
      </c>
      <c r="C2" s="6">
        <v>264567</v>
      </c>
      <c r="D2" s="6">
        <v>134304</v>
      </c>
      <c r="E2" s="6">
        <v>398871</v>
      </c>
      <c r="F2" s="7">
        <v>66.3</v>
      </c>
      <c r="G2" s="7">
        <v>33.700000000000003</v>
      </c>
      <c r="H2">
        <v>66.328963499477268</v>
      </c>
      <c r="I2">
        <v>33.671036500522717</v>
      </c>
      <c r="J2" t="s">
        <v>194</v>
      </c>
    </row>
    <row r="3" spans="1:10" x14ac:dyDescent="0.35">
      <c r="A3">
        <v>2</v>
      </c>
      <c r="B3" t="s">
        <v>65</v>
      </c>
      <c r="C3" s="6">
        <v>135636</v>
      </c>
      <c r="D3" s="6">
        <v>72388</v>
      </c>
      <c r="E3" s="6">
        <v>208024</v>
      </c>
      <c r="F3" s="7">
        <v>65.2</v>
      </c>
      <c r="G3" s="7">
        <v>34.799999999999997</v>
      </c>
      <c r="H3">
        <v>65.20209206630004</v>
      </c>
      <c r="I3">
        <v>34.79790793369996</v>
      </c>
      <c r="J3" t="s">
        <v>194</v>
      </c>
    </row>
    <row r="4" spans="1:10" x14ac:dyDescent="0.35">
      <c r="A4">
        <v>3</v>
      </c>
      <c r="B4" t="s">
        <v>87</v>
      </c>
      <c r="C4" s="6">
        <v>157959</v>
      </c>
      <c r="D4" s="6">
        <v>96512</v>
      </c>
      <c r="E4" s="6">
        <v>254471</v>
      </c>
      <c r="F4" s="7">
        <v>62.1</v>
      </c>
      <c r="G4" s="7">
        <v>37.9</v>
      </c>
      <c r="H4">
        <v>62.073477920863283</v>
      </c>
      <c r="I4">
        <v>37.926522079136717</v>
      </c>
      <c r="J4" t="s">
        <v>194</v>
      </c>
    </row>
    <row r="5" spans="1:10" x14ac:dyDescent="0.35">
      <c r="A5">
        <v>4</v>
      </c>
      <c r="B5" t="s">
        <v>80</v>
      </c>
      <c r="C5" s="6">
        <v>216705</v>
      </c>
      <c r="D5" s="6">
        <v>157158</v>
      </c>
      <c r="E5" s="6">
        <v>373863</v>
      </c>
      <c r="F5" s="7">
        <v>58</v>
      </c>
      <c r="G5" s="7">
        <v>42</v>
      </c>
      <c r="H5">
        <v>57.963746078108827</v>
      </c>
      <c r="I5">
        <v>42.036253921891173</v>
      </c>
      <c r="J5" t="s">
        <v>194</v>
      </c>
    </row>
    <row r="6" spans="1:10" x14ac:dyDescent="0.35">
      <c r="A6">
        <v>5</v>
      </c>
      <c r="B6" t="s">
        <v>76</v>
      </c>
      <c r="C6" s="6">
        <v>197212</v>
      </c>
      <c r="D6" s="6">
        <v>145133</v>
      </c>
      <c r="E6" s="6">
        <v>342345</v>
      </c>
      <c r="F6" s="7">
        <v>57.6</v>
      </c>
      <c r="G6" s="7">
        <v>42.4</v>
      </c>
      <c r="H6">
        <v>57.606215951744588</v>
      </c>
      <c r="I6">
        <v>42.393784048255412</v>
      </c>
      <c r="J6" t="s">
        <v>194</v>
      </c>
    </row>
    <row r="7" spans="1:10" x14ac:dyDescent="0.35">
      <c r="A7">
        <v>6</v>
      </c>
      <c r="B7" t="s">
        <v>67</v>
      </c>
      <c r="C7" s="6">
        <v>386078</v>
      </c>
      <c r="D7" s="6">
        <v>303511</v>
      </c>
      <c r="E7" s="6">
        <v>689589</v>
      </c>
      <c r="F7" s="7">
        <v>56</v>
      </c>
      <c r="G7" s="7">
        <v>44</v>
      </c>
      <c r="H7">
        <v>55.98668192213043</v>
      </c>
      <c r="I7">
        <v>44.01331807786957</v>
      </c>
      <c r="J7" t="s">
        <v>194</v>
      </c>
    </row>
    <row r="8" spans="1:10" x14ac:dyDescent="0.35">
      <c r="A8">
        <v>7</v>
      </c>
      <c r="B8" t="s">
        <v>53</v>
      </c>
      <c r="C8" s="6">
        <v>290518</v>
      </c>
      <c r="D8" s="6">
        <v>242633</v>
      </c>
      <c r="E8" s="6">
        <v>533151</v>
      </c>
      <c r="F8" s="7">
        <v>54.5</v>
      </c>
      <c r="G8" s="7">
        <v>45.5</v>
      </c>
      <c r="H8">
        <v>54.490754026532819</v>
      </c>
      <c r="I8">
        <v>45.509245973467181</v>
      </c>
      <c r="J8" t="s">
        <v>194</v>
      </c>
    </row>
    <row r="9" spans="1:10" x14ac:dyDescent="0.35">
      <c r="A9">
        <v>8</v>
      </c>
      <c r="B9" t="s">
        <v>71</v>
      </c>
      <c r="C9" s="6">
        <v>139534</v>
      </c>
      <c r="D9" s="6">
        <v>117928</v>
      </c>
      <c r="E9" s="6">
        <v>257462</v>
      </c>
      <c r="F9" s="7">
        <v>54.2</v>
      </c>
      <c r="G9" s="7">
        <v>45.8</v>
      </c>
      <c r="H9">
        <v>54.195959015310997</v>
      </c>
      <c r="I9">
        <v>45.804040984689003</v>
      </c>
      <c r="J9" t="s">
        <v>194</v>
      </c>
    </row>
    <row r="10" spans="1:10" x14ac:dyDescent="0.35">
      <c r="A10">
        <v>9</v>
      </c>
      <c r="B10" t="s">
        <v>69</v>
      </c>
      <c r="C10" s="6">
        <v>889431</v>
      </c>
      <c r="D10" s="6">
        <v>754605</v>
      </c>
      <c r="E10" s="6">
        <v>1644036</v>
      </c>
      <c r="F10" s="7">
        <v>54.1</v>
      </c>
      <c r="G10" s="7">
        <v>45.9</v>
      </c>
      <c r="H10">
        <v>54.100457654211951</v>
      </c>
      <c r="I10">
        <v>45.899542345788049</v>
      </c>
      <c r="J10" t="s">
        <v>194</v>
      </c>
    </row>
    <row r="11" spans="1:10" x14ac:dyDescent="0.35">
      <c r="A11">
        <v>10</v>
      </c>
      <c r="B11" t="s">
        <v>105</v>
      </c>
      <c r="C11" s="6">
        <v>889528</v>
      </c>
      <c r="D11" s="6">
        <v>777278</v>
      </c>
      <c r="E11" s="6">
        <v>1666806</v>
      </c>
      <c r="F11" s="7">
        <v>53.4</v>
      </c>
      <c r="G11" s="7">
        <v>46.6</v>
      </c>
      <c r="H11">
        <v>53.367218500533347</v>
      </c>
      <c r="I11">
        <v>46.632781499466653</v>
      </c>
      <c r="J11" t="s">
        <v>194</v>
      </c>
    </row>
    <row r="12" spans="1:10" x14ac:dyDescent="0.35">
      <c r="A12">
        <v>11</v>
      </c>
      <c r="B12" t="s">
        <v>101</v>
      </c>
      <c r="C12" s="6">
        <v>340706</v>
      </c>
      <c r="D12" s="6">
        <v>298412</v>
      </c>
      <c r="E12" s="6">
        <v>639118</v>
      </c>
      <c r="F12" s="7">
        <v>53.3</v>
      </c>
      <c r="G12" s="7">
        <v>46.7</v>
      </c>
      <c r="H12">
        <v>53.308778660591628</v>
      </c>
      <c r="I12">
        <v>46.691221339408372</v>
      </c>
      <c r="J12" t="s">
        <v>194</v>
      </c>
    </row>
    <row r="13" spans="1:10" x14ac:dyDescent="0.35">
      <c r="A13">
        <v>12</v>
      </c>
      <c r="B13" t="s">
        <v>82</v>
      </c>
      <c r="C13" s="6">
        <v>224480</v>
      </c>
      <c r="D13" s="6">
        <v>214541</v>
      </c>
      <c r="E13" s="6">
        <v>439021</v>
      </c>
      <c r="F13" s="7">
        <v>51.1</v>
      </c>
      <c r="G13" s="7">
        <v>48.9</v>
      </c>
      <c r="H13">
        <v>51.131950407839263</v>
      </c>
      <c r="I13">
        <v>48.868049592160737</v>
      </c>
      <c r="J13" t="s">
        <v>194</v>
      </c>
    </row>
    <row r="14" spans="1:10" x14ac:dyDescent="0.35">
      <c r="A14">
        <v>13</v>
      </c>
      <c r="B14" t="s">
        <v>78</v>
      </c>
      <c r="C14" s="6">
        <v>706906</v>
      </c>
      <c r="D14" s="6">
        <v>683562</v>
      </c>
      <c r="E14" s="6">
        <v>1390468</v>
      </c>
      <c r="F14" s="7">
        <v>50.8</v>
      </c>
      <c r="G14" s="7">
        <v>49.2</v>
      </c>
      <c r="H14">
        <v>50.839429602119573</v>
      </c>
      <c r="I14">
        <v>49.160570397880427</v>
      </c>
      <c r="J14" t="s">
        <v>194</v>
      </c>
    </row>
    <row r="15" spans="1:10" x14ac:dyDescent="0.35">
      <c r="A15">
        <v>14</v>
      </c>
      <c r="B15" t="s">
        <v>97</v>
      </c>
      <c r="C15" s="6">
        <v>214539</v>
      </c>
      <c r="D15" s="6">
        <v>209764</v>
      </c>
      <c r="E15" s="6">
        <v>424303</v>
      </c>
      <c r="F15" s="7">
        <v>50.6</v>
      </c>
      <c r="G15" s="7">
        <v>49.4</v>
      </c>
      <c r="H15">
        <v>50.562687513404327</v>
      </c>
      <c r="I15">
        <v>49.437312486595673</v>
      </c>
      <c r="J15" t="s">
        <v>194</v>
      </c>
    </row>
    <row r="16" spans="1:10" x14ac:dyDescent="0.35">
      <c r="A16">
        <v>15</v>
      </c>
      <c r="B16" t="s">
        <v>95</v>
      </c>
      <c r="C16" s="6">
        <v>309420</v>
      </c>
      <c r="D16" s="6">
        <v>305829</v>
      </c>
      <c r="E16" s="6">
        <v>615249</v>
      </c>
      <c r="F16" s="7">
        <v>50.3</v>
      </c>
      <c r="G16" s="7">
        <v>49.7</v>
      </c>
      <c r="H16">
        <v>50.291833062711198</v>
      </c>
      <c r="I16">
        <v>49.708166937288802</v>
      </c>
      <c r="J16" t="s">
        <v>194</v>
      </c>
    </row>
    <row r="17" spans="1:10" x14ac:dyDescent="0.35">
      <c r="A17">
        <v>16</v>
      </c>
      <c r="B17" t="s">
        <v>51</v>
      </c>
      <c r="C17" s="6">
        <v>251556</v>
      </c>
      <c r="D17" s="6">
        <v>255834</v>
      </c>
      <c r="E17" s="6">
        <v>507390</v>
      </c>
      <c r="F17" s="7">
        <v>49.6</v>
      </c>
      <c r="G17" s="7">
        <v>50.4</v>
      </c>
      <c r="H17">
        <v>49.578430792881207</v>
      </c>
      <c r="I17">
        <v>50.421569207118793</v>
      </c>
      <c r="J17" t="s">
        <v>194</v>
      </c>
    </row>
    <row r="18" spans="1:10" x14ac:dyDescent="0.35">
      <c r="A18">
        <v>17</v>
      </c>
      <c r="B18" t="s">
        <v>246</v>
      </c>
      <c r="C18" s="6">
        <v>259181</v>
      </c>
      <c r="D18" s="6">
        <v>268174</v>
      </c>
      <c r="E18" s="6">
        <v>527355</v>
      </c>
      <c r="F18" s="7">
        <v>49.1</v>
      </c>
      <c r="G18" s="7">
        <v>50.9</v>
      </c>
      <c r="H18">
        <v>49.147348560267751</v>
      </c>
      <c r="I18">
        <v>50.852651439732249</v>
      </c>
      <c r="J18" t="s">
        <v>194</v>
      </c>
    </row>
    <row r="19" spans="1:10" x14ac:dyDescent="0.35">
      <c r="A19">
        <v>18</v>
      </c>
      <c r="B19" t="s">
        <v>63</v>
      </c>
      <c r="C19" s="6">
        <v>599134</v>
      </c>
      <c r="D19" s="6">
        <v>626098</v>
      </c>
      <c r="E19" s="6">
        <v>1225232</v>
      </c>
      <c r="F19" s="7">
        <v>48.9</v>
      </c>
      <c r="G19" s="7">
        <v>51.1</v>
      </c>
      <c r="H19">
        <v>48.899636966713253</v>
      </c>
      <c r="I19">
        <v>51.100363033286747</v>
      </c>
      <c r="J19" t="s">
        <v>194</v>
      </c>
    </row>
    <row r="20" spans="1:10" x14ac:dyDescent="0.35">
      <c r="A20">
        <v>19</v>
      </c>
      <c r="B20" t="s">
        <v>125</v>
      </c>
      <c r="C20" s="6">
        <v>1861009</v>
      </c>
      <c r="D20" s="6">
        <v>1952693</v>
      </c>
      <c r="E20" s="6">
        <v>3813702</v>
      </c>
      <c r="F20" s="7">
        <v>48.8</v>
      </c>
      <c r="G20" s="7">
        <v>51.2</v>
      </c>
      <c r="H20">
        <v>48.797965860992811</v>
      </c>
      <c r="I20">
        <v>51.202034139007189</v>
      </c>
      <c r="J20" t="s">
        <v>194</v>
      </c>
    </row>
    <row r="21" spans="1:10" x14ac:dyDescent="0.35">
      <c r="A21">
        <v>20</v>
      </c>
      <c r="B21" t="s">
        <v>127</v>
      </c>
      <c r="C21" s="6">
        <v>1451617</v>
      </c>
      <c r="D21" s="6">
        <v>1526660</v>
      </c>
      <c r="E21" s="6">
        <v>2978277</v>
      </c>
      <c r="F21" s="7">
        <v>48.7</v>
      </c>
      <c r="G21" s="7">
        <v>51.3</v>
      </c>
      <c r="H21">
        <v>48.740160837961007</v>
      </c>
      <c r="I21">
        <v>51.259839162038993</v>
      </c>
      <c r="J21" t="s">
        <v>194</v>
      </c>
    </row>
    <row r="22" spans="1:10" x14ac:dyDescent="0.35">
      <c r="A22">
        <v>21</v>
      </c>
      <c r="B22" t="s">
        <v>123</v>
      </c>
      <c r="C22" s="6">
        <v>1206660</v>
      </c>
      <c r="D22" s="6">
        <v>1274536</v>
      </c>
      <c r="E22" s="6">
        <v>2481196</v>
      </c>
      <c r="F22" s="7">
        <v>48.6</v>
      </c>
      <c r="G22" s="7">
        <v>51.4</v>
      </c>
      <c r="H22">
        <v>48.632191894554083</v>
      </c>
      <c r="I22">
        <v>51.367808105445917</v>
      </c>
      <c r="J22" t="s">
        <v>194</v>
      </c>
    </row>
    <row r="23" spans="1:10" x14ac:dyDescent="0.35">
      <c r="A23">
        <v>22</v>
      </c>
      <c r="B23" t="s">
        <v>107</v>
      </c>
      <c r="C23" s="6">
        <v>726097</v>
      </c>
      <c r="D23" s="6">
        <v>782537</v>
      </c>
      <c r="E23" s="6">
        <v>1508634</v>
      </c>
      <c r="F23" s="7">
        <v>48.1</v>
      </c>
      <c r="G23" s="7">
        <v>51.9</v>
      </c>
      <c r="H23">
        <v>48.129433646596858</v>
      </c>
      <c r="I23">
        <v>51.870566353403142</v>
      </c>
      <c r="J23" t="s">
        <v>194</v>
      </c>
    </row>
    <row r="24" spans="1:10" x14ac:dyDescent="0.35">
      <c r="A24">
        <v>23</v>
      </c>
      <c r="B24" t="s">
        <v>35</v>
      </c>
      <c r="C24" s="6">
        <v>1247875</v>
      </c>
      <c r="D24" s="6">
        <v>1352428</v>
      </c>
      <c r="E24" s="6">
        <v>2600303</v>
      </c>
      <c r="F24" s="7">
        <v>48</v>
      </c>
      <c r="G24" s="7">
        <v>52</v>
      </c>
      <c r="H24">
        <v>47.9895996735765</v>
      </c>
      <c r="I24">
        <v>52.0104003264235</v>
      </c>
      <c r="J24" t="s">
        <v>194</v>
      </c>
    </row>
    <row r="25" spans="1:10" x14ac:dyDescent="0.35">
      <c r="A25">
        <v>24</v>
      </c>
      <c r="B25" t="s">
        <v>131</v>
      </c>
      <c r="C25" s="6">
        <v>1167051</v>
      </c>
      <c r="D25" s="6">
        <v>1269450</v>
      </c>
      <c r="E25" s="6">
        <v>2436501</v>
      </c>
      <c r="F25" s="7">
        <v>47.9</v>
      </c>
      <c r="G25" s="7">
        <v>52.1</v>
      </c>
      <c r="H25">
        <v>47.898646460641707</v>
      </c>
      <c r="I25">
        <v>52.101353539358293</v>
      </c>
      <c r="J25" t="s">
        <v>194</v>
      </c>
    </row>
    <row r="26" spans="1:10" x14ac:dyDescent="0.35">
      <c r="A26">
        <v>25</v>
      </c>
      <c r="B26" t="s">
        <v>115</v>
      </c>
      <c r="C26" s="6">
        <v>1879244</v>
      </c>
      <c r="D26" s="6">
        <v>2059832</v>
      </c>
      <c r="E26" s="6">
        <v>3939076</v>
      </c>
      <c r="F26" s="7">
        <v>47.7</v>
      </c>
      <c r="G26" s="7">
        <v>52.3</v>
      </c>
      <c r="H26">
        <v>47.707736535167129</v>
      </c>
      <c r="I26">
        <v>52.292263464832871</v>
      </c>
      <c r="J26" t="s">
        <v>194</v>
      </c>
    </row>
    <row r="27" spans="1:10" x14ac:dyDescent="0.35">
      <c r="A27">
        <v>26</v>
      </c>
      <c r="B27" t="s">
        <v>59</v>
      </c>
      <c r="C27" s="6">
        <v>422756</v>
      </c>
      <c r="D27" s="6">
        <v>467294</v>
      </c>
      <c r="E27" s="6">
        <v>890050</v>
      </c>
      <c r="F27" s="7">
        <v>47.5</v>
      </c>
      <c r="G27" s="7">
        <v>52.5</v>
      </c>
      <c r="H27">
        <v>47.498005730015173</v>
      </c>
      <c r="I27">
        <v>52.501994269984827</v>
      </c>
      <c r="J27" t="s">
        <v>194</v>
      </c>
    </row>
    <row r="28" spans="1:10" x14ac:dyDescent="0.35">
      <c r="A28">
        <v>27</v>
      </c>
      <c r="B28" t="s">
        <v>89</v>
      </c>
      <c r="C28" s="6">
        <v>256281</v>
      </c>
      <c r="D28" s="6">
        <v>284187</v>
      </c>
      <c r="E28" s="6">
        <v>540468</v>
      </c>
      <c r="F28" s="7">
        <v>47.4</v>
      </c>
      <c r="G28" s="7">
        <v>52.6</v>
      </c>
      <c r="H28">
        <v>47.418348542374389</v>
      </c>
      <c r="I28">
        <v>52.581651457625611</v>
      </c>
      <c r="J28" t="s">
        <v>194</v>
      </c>
    </row>
    <row r="29" spans="1:10" x14ac:dyDescent="0.35">
      <c r="A29">
        <v>28</v>
      </c>
      <c r="B29" t="s">
        <v>37</v>
      </c>
      <c r="C29" s="6">
        <v>7595688</v>
      </c>
      <c r="D29" s="6">
        <v>8436752</v>
      </c>
      <c r="E29" s="6">
        <v>16032440</v>
      </c>
      <c r="F29" s="7">
        <v>47.4</v>
      </c>
      <c r="G29" s="7">
        <v>52.6</v>
      </c>
      <c r="H29">
        <v>47.376993146395677</v>
      </c>
      <c r="I29">
        <v>52.623006853604323</v>
      </c>
      <c r="J29" t="s">
        <v>194</v>
      </c>
    </row>
    <row r="30" spans="1:10" x14ac:dyDescent="0.35">
      <c r="A30">
        <v>29</v>
      </c>
      <c r="B30" t="s">
        <v>99</v>
      </c>
      <c r="C30" s="6">
        <v>444113</v>
      </c>
      <c r="D30" s="6">
        <v>500467</v>
      </c>
      <c r="E30" s="6">
        <v>944580</v>
      </c>
      <c r="F30" s="7">
        <v>47</v>
      </c>
      <c r="G30" s="7">
        <v>53</v>
      </c>
      <c r="H30">
        <v>47.016981092125597</v>
      </c>
      <c r="I30">
        <v>52.983018907874403</v>
      </c>
      <c r="J30" t="s">
        <v>194</v>
      </c>
    </row>
    <row r="31" spans="1:10" x14ac:dyDescent="0.35">
      <c r="A31">
        <v>30</v>
      </c>
      <c r="B31" t="s">
        <v>18</v>
      </c>
      <c r="C31" s="6">
        <v>3932389</v>
      </c>
      <c r="D31" s="6">
        <v>4497387</v>
      </c>
      <c r="E31" s="6">
        <v>8429776</v>
      </c>
      <c r="F31" s="7">
        <v>46.6</v>
      </c>
      <c r="G31" s="7">
        <v>53.4</v>
      </c>
      <c r="H31">
        <v>46.648795887340313</v>
      </c>
      <c r="I31">
        <v>53.351204112659687</v>
      </c>
      <c r="J31" t="s">
        <v>194</v>
      </c>
    </row>
    <row r="32" spans="1:10" x14ac:dyDescent="0.35">
      <c r="A32">
        <v>31</v>
      </c>
      <c r="B32" t="s">
        <v>91</v>
      </c>
      <c r="C32" s="6">
        <v>501512</v>
      </c>
      <c r="D32" s="6">
        <v>587532</v>
      </c>
      <c r="E32" s="6">
        <v>1089044</v>
      </c>
      <c r="F32" s="7">
        <v>46.1</v>
      </c>
      <c r="G32" s="7">
        <v>53.9</v>
      </c>
      <c r="H32">
        <v>46.050664619611332</v>
      </c>
      <c r="I32">
        <v>53.949335380388668</v>
      </c>
      <c r="J32" t="s">
        <v>194</v>
      </c>
    </row>
    <row r="33" spans="1:10" x14ac:dyDescent="0.35">
      <c r="A33">
        <v>32</v>
      </c>
      <c r="B33" t="s">
        <v>74</v>
      </c>
      <c r="C33" s="6">
        <v>637557</v>
      </c>
      <c r="D33" s="6">
        <v>748742</v>
      </c>
      <c r="E33" s="6">
        <v>1386299</v>
      </c>
      <c r="F33" s="7">
        <v>46</v>
      </c>
      <c r="G33" s="7">
        <v>54</v>
      </c>
      <c r="H33">
        <v>45.989862215871177</v>
      </c>
      <c r="I33">
        <v>54.010137784128823</v>
      </c>
      <c r="J33" t="s">
        <v>194</v>
      </c>
    </row>
    <row r="34" spans="1:10" x14ac:dyDescent="0.35">
      <c r="A34">
        <v>33</v>
      </c>
      <c r="B34" t="s">
        <v>49</v>
      </c>
      <c r="C34" s="6">
        <v>816850</v>
      </c>
      <c r="D34" s="6">
        <v>960807</v>
      </c>
      <c r="E34" s="6">
        <v>1777657</v>
      </c>
      <c r="F34" s="7">
        <v>46</v>
      </c>
      <c r="G34" s="7">
        <v>54</v>
      </c>
      <c r="H34">
        <v>45.950934291598443</v>
      </c>
      <c r="I34">
        <v>54.049065708401557</v>
      </c>
      <c r="J34" t="s">
        <v>194</v>
      </c>
    </row>
    <row r="35" spans="1:10" x14ac:dyDescent="0.35">
      <c r="A35">
        <v>34</v>
      </c>
      <c r="B35" t="s">
        <v>117</v>
      </c>
      <c r="C35" s="6">
        <v>1602868</v>
      </c>
      <c r="D35" s="6">
        <v>1892088</v>
      </c>
      <c r="E35" s="6">
        <v>3494956</v>
      </c>
      <c r="F35" s="7">
        <v>45.9</v>
      </c>
      <c r="G35" s="7">
        <v>54.1</v>
      </c>
      <c r="H35">
        <v>45.862322730243243</v>
      </c>
      <c r="I35">
        <v>54.137677269756757</v>
      </c>
      <c r="J35" t="s">
        <v>194</v>
      </c>
    </row>
    <row r="36" spans="1:10" x14ac:dyDescent="0.35">
      <c r="A36">
        <v>35</v>
      </c>
      <c r="B36" t="s">
        <v>103</v>
      </c>
      <c r="C36" s="6">
        <v>1252842</v>
      </c>
      <c r="D36" s="6">
        <v>1479680</v>
      </c>
      <c r="E36" s="6">
        <v>2732522</v>
      </c>
      <c r="F36" s="7">
        <v>45.8</v>
      </c>
      <c r="G36" s="7">
        <v>54.2</v>
      </c>
      <c r="H36">
        <v>45.84929233872591</v>
      </c>
      <c r="I36">
        <v>54.15070766127409</v>
      </c>
      <c r="J36" t="s">
        <v>194</v>
      </c>
    </row>
    <row r="37" spans="1:10" x14ac:dyDescent="0.35">
      <c r="A37">
        <v>36</v>
      </c>
      <c r="B37" t="s">
        <v>111</v>
      </c>
      <c r="C37" s="6">
        <v>690069</v>
      </c>
      <c r="D37" s="6">
        <v>831571</v>
      </c>
      <c r="E37" s="6">
        <v>1521640</v>
      </c>
      <c r="F37" s="7">
        <v>45.4</v>
      </c>
      <c r="G37" s="7">
        <v>54.6</v>
      </c>
      <c r="H37">
        <v>45.350345679661423</v>
      </c>
      <c r="I37">
        <v>54.649654320338577</v>
      </c>
      <c r="J37" t="s">
        <v>194</v>
      </c>
    </row>
    <row r="38" spans="1:10" x14ac:dyDescent="0.35">
      <c r="A38">
        <v>37</v>
      </c>
      <c r="B38" t="s">
        <v>135</v>
      </c>
      <c r="C38" s="6">
        <v>2526466</v>
      </c>
      <c r="D38" s="6">
        <v>3058364</v>
      </c>
      <c r="E38" s="6">
        <v>5584830</v>
      </c>
      <c r="F38" s="7">
        <v>45.2</v>
      </c>
      <c r="G38" s="7">
        <v>54.8</v>
      </c>
      <c r="H38">
        <v>45.23801082575477</v>
      </c>
      <c r="I38">
        <v>54.76198917424523</v>
      </c>
      <c r="J38" t="s">
        <v>194</v>
      </c>
    </row>
    <row r="39" spans="1:10" x14ac:dyDescent="0.35">
      <c r="A39">
        <v>38</v>
      </c>
      <c r="B39" t="s">
        <v>61</v>
      </c>
      <c r="C39" s="6">
        <v>578767</v>
      </c>
      <c r="D39" s="6">
        <v>707811</v>
      </c>
      <c r="E39" s="6">
        <v>1286578</v>
      </c>
      <c r="F39" s="7">
        <v>45</v>
      </c>
      <c r="G39" s="7">
        <v>55</v>
      </c>
      <c r="H39">
        <v>44.984991193693659</v>
      </c>
      <c r="I39">
        <v>55.015008806306341</v>
      </c>
      <c r="J39" t="s">
        <v>194</v>
      </c>
    </row>
    <row r="40" spans="1:10" x14ac:dyDescent="0.35">
      <c r="A40">
        <v>39</v>
      </c>
      <c r="B40" t="s">
        <v>129</v>
      </c>
      <c r="C40" s="6">
        <v>1516837</v>
      </c>
      <c r="D40" s="6">
        <v>1880082</v>
      </c>
      <c r="E40" s="6">
        <v>3396919</v>
      </c>
      <c r="F40" s="7">
        <v>44.7</v>
      </c>
      <c r="G40" s="7">
        <v>55.3</v>
      </c>
      <c r="H40">
        <v>44.653316726127407</v>
      </c>
      <c r="I40">
        <v>55.346683273872593</v>
      </c>
      <c r="J40" t="s">
        <v>194</v>
      </c>
    </row>
    <row r="41" spans="1:10" x14ac:dyDescent="0.35">
      <c r="A41">
        <v>40</v>
      </c>
      <c r="B41" t="s">
        <v>41</v>
      </c>
      <c r="C41" s="6">
        <v>1139031</v>
      </c>
      <c r="D41" s="6">
        <v>1425352</v>
      </c>
      <c r="E41" s="6">
        <v>2564383</v>
      </c>
      <c r="F41" s="7">
        <v>44.4</v>
      </c>
      <c r="G41" s="7">
        <v>55.6</v>
      </c>
      <c r="H41">
        <v>44.417351074312997</v>
      </c>
      <c r="I41">
        <v>55.582648925687003</v>
      </c>
      <c r="J41" t="s">
        <v>194</v>
      </c>
    </row>
    <row r="42" spans="1:10" x14ac:dyDescent="0.35">
      <c r="A42">
        <v>41</v>
      </c>
      <c r="B42" t="s">
        <v>32</v>
      </c>
      <c r="C42" s="6">
        <v>5108008</v>
      </c>
      <c r="D42" s="6">
        <v>6399634</v>
      </c>
      <c r="E42" s="6">
        <v>11507642</v>
      </c>
      <c r="F42" s="7">
        <v>44.4</v>
      </c>
      <c r="G42" s="7">
        <v>55.6</v>
      </c>
      <c r="H42">
        <v>44.387964102463393</v>
      </c>
      <c r="I42">
        <v>55.612035897536607</v>
      </c>
      <c r="J42" t="s">
        <v>194</v>
      </c>
    </row>
    <row r="43" spans="1:10" x14ac:dyDescent="0.35">
      <c r="A43">
        <v>42</v>
      </c>
      <c r="B43" t="s">
        <v>28</v>
      </c>
      <c r="C43" s="6">
        <v>1815569</v>
      </c>
      <c r="D43" s="6">
        <v>2291192</v>
      </c>
      <c r="E43" s="6">
        <v>4106761</v>
      </c>
      <c r="F43" s="7">
        <v>44.2</v>
      </c>
      <c r="G43" s="7">
        <v>55.8</v>
      </c>
      <c r="H43">
        <v>44.209268569561267</v>
      </c>
      <c r="I43">
        <v>55.790731430438733</v>
      </c>
      <c r="J43" t="s">
        <v>194</v>
      </c>
    </row>
    <row r="44" spans="1:10" x14ac:dyDescent="0.35">
      <c r="A44">
        <v>43</v>
      </c>
      <c r="B44" t="s">
        <v>24</v>
      </c>
      <c r="C44" s="6">
        <v>2175029</v>
      </c>
      <c r="D44" s="6">
        <v>2788779</v>
      </c>
      <c r="E44" s="6">
        <v>4963808</v>
      </c>
      <c r="F44" s="7">
        <v>43.8</v>
      </c>
      <c r="G44" s="7">
        <v>56.2</v>
      </c>
      <c r="H44">
        <v>43.817750404528127</v>
      </c>
      <c r="I44">
        <v>56.182249595471873</v>
      </c>
      <c r="J44" t="s">
        <v>194</v>
      </c>
    </row>
    <row r="45" spans="1:10" x14ac:dyDescent="0.35">
      <c r="A45">
        <v>44</v>
      </c>
      <c r="B45" t="s">
        <v>133</v>
      </c>
      <c r="C45" s="6">
        <v>2420971</v>
      </c>
      <c r="D45" s="6">
        <v>3112912</v>
      </c>
      <c r="E45" s="6">
        <v>5533883</v>
      </c>
      <c r="F45" s="7">
        <v>43.7</v>
      </c>
      <c r="G45" s="7">
        <v>56.3</v>
      </c>
      <c r="H45">
        <v>43.748142127327228</v>
      </c>
      <c r="I45">
        <v>56.251857872672772</v>
      </c>
      <c r="J45" t="s">
        <v>194</v>
      </c>
    </row>
    <row r="46" spans="1:10" x14ac:dyDescent="0.35">
      <c r="A46">
        <v>45</v>
      </c>
      <c r="B46" t="s">
        <v>113</v>
      </c>
      <c r="C46" s="6">
        <v>1241838</v>
      </c>
      <c r="D46" s="6">
        <v>1634070</v>
      </c>
      <c r="E46" s="6">
        <v>2875908</v>
      </c>
      <c r="F46" s="7">
        <v>43.2</v>
      </c>
      <c r="G46" s="7">
        <v>56.8</v>
      </c>
      <c r="H46">
        <v>43.180727617156037</v>
      </c>
      <c r="I46">
        <v>56.819272382843963</v>
      </c>
      <c r="J46" t="s">
        <v>194</v>
      </c>
    </row>
    <row r="47" spans="1:10" x14ac:dyDescent="0.35">
      <c r="A47">
        <v>46</v>
      </c>
      <c r="B47" t="s">
        <v>47</v>
      </c>
      <c r="C47" s="6">
        <v>863326</v>
      </c>
      <c r="D47" s="6">
        <v>1149989</v>
      </c>
      <c r="E47" s="6">
        <v>2013315</v>
      </c>
      <c r="F47" s="7">
        <v>42.9</v>
      </c>
      <c r="G47" s="7">
        <v>57.1</v>
      </c>
      <c r="H47">
        <v>42.880820934627707</v>
      </c>
      <c r="I47">
        <v>57.119179065372293</v>
      </c>
      <c r="J47" t="s">
        <v>194</v>
      </c>
    </row>
    <row r="48" spans="1:10" x14ac:dyDescent="0.35">
      <c r="A48">
        <v>47</v>
      </c>
      <c r="B48" t="s">
        <v>44</v>
      </c>
      <c r="C48" s="6">
        <v>710613</v>
      </c>
      <c r="D48" s="6">
        <v>957081</v>
      </c>
      <c r="E48" s="6">
        <v>1667694</v>
      </c>
      <c r="F48" s="7">
        <v>42.6</v>
      </c>
      <c r="G48" s="7">
        <v>57.4</v>
      </c>
      <c r="H48">
        <v>42.610514878628813</v>
      </c>
      <c r="I48">
        <v>57.389485121371187</v>
      </c>
      <c r="J48" t="s">
        <v>194</v>
      </c>
    </row>
    <row r="49" spans="1:10" x14ac:dyDescent="0.35">
      <c r="A49">
        <v>48</v>
      </c>
      <c r="B49" t="s">
        <v>85</v>
      </c>
      <c r="C49" s="6">
        <v>1186389</v>
      </c>
      <c r="D49" s="6">
        <v>1601312</v>
      </c>
      <c r="E49" s="6">
        <v>2787701</v>
      </c>
      <c r="F49" s="7">
        <v>42.6</v>
      </c>
      <c r="G49" s="7">
        <v>57.4</v>
      </c>
      <c r="H49">
        <v>42.557971604558738</v>
      </c>
      <c r="I49">
        <v>57.442028395441262</v>
      </c>
      <c r="J49" t="s">
        <v>194</v>
      </c>
    </row>
    <row r="50" spans="1:10" x14ac:dyDescent="0.35">
      <c r="A50">
        <v>49</v>
      </c>
      <c r="B50" t="s">
        <v>121</v>
      </c>
      <c r="C50" s="6">
        <v>1806632</v>
      </c>
      <c r="D50" s="6">
        <v>2442730</v>
      </c>
      <c r="E50" s="6">
        <v>4249362</v>
      </c>
      <c r="F50" s="7">
        <v>42.5</v>
      </c>
      <c r="G50" s="7">
        <v>57.5</v>
      </c>
      <c r="H50">
        <v>42.515370542683819</v>
      </c>
      <c r="I50">
        <v>57.484629457316181</v>
      </c>
      <c r="J50" t="s">
        <v>194</v>
      </c>
    </row>
    <row r="51" spans="1:10" x14ac:dyDescent="0.35">
      <c r="A51">
        <v>50</v>
      </c>
      <c r="B51" t="s">
        <v>109</v>
      </c>
      <c r="C51" s="6">
        <v>1182437</v>
      </c>
      <c r="D51" s="6">
        <v>1664444</v>
      </c>
      <c r="E51" s="6">
        <v>2846881</v>
      </c>
      <c r="F51" s="7">
        <v>41.5</v>
      </c>
      <c r="G51" s="7">
        <v>58.5</v>
      </c>
      <c r="H51">
        <v>41.534472287390997</v>
      </c>
      <c r="I51">
        <v>58.465527712609003</v>
      </c>
      <c r="J51" t="s">
        <v>194</v>
      </c>
    </row>
    <row r="52" spans="1:10" x14ac:dyDescent="0.35">
      <c r="A52">
        <v>51</v>
      </c>
      <c r="B52" t="s">
        <v>119</v>
      </c>
      <c r="C52" s="6">
        <v>3813075</v>
      </c>
      <c r="D52" s="6">
        <v>5815792</v>
      </c>
      <c r="E52" s="6">
        <v>9628867</v>
      </c>
      <c r="F52" s="7">
        <v>39.6</v>
      </c>
      <c r="G52" s="7">
        <v>60.4</v>
      </c>
      <c r="H52">
        <v>39.600453511300969</v>
      </c>
      <c r="I52">
        <v>60.399546488699031</v>
      </c>
      <c r="J52" t="s">
        <v>194</v>
      </c>
    </row>
  </sheetData>
  <autoFilter ref="A1:J52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42" customWidth="1"/>
    <col min="3" max="3" width="14" customWidth="1"/>
    <col min="4" max="4" width="24" customWidth="1"/>
    <col min="5" max="7" width="16" customWidth="1"/>
    <col min="8" max="8" width="14" customWidth="1"/>
    <col min="9" max="9" width="55" customWidth="1"/>
  </cols>
  <sheetData>
    <row r="1" spans="1:9" ht="29" customHeight="1" x14ac:dyDescent="0.35">
      <c r="A1" s="3" t="s">
        <v>247</v>
      </c>
      <c r="B1" s="3" t="s">
        <v>248</v>
      </c>
      <c r="C1" s="3" t="s">
        <v>223</v>
      </c>
      <c r="D1" s="3" t="s">
        <v>225</v>
      </c>
      <c r="E1" s="3" t="s">
        <v>222</v>
      </c>
      <c r="F1" s="3" t="s">
        <v>220</v>
      </c>
      <c r="G1" s="3" t="s">
        <v>221</v>
      </c>
      <c r="H1" s="3" t="s">
        <v>224</v>
      </c>
      <c r="I1" s="3" t="s">
        <v>227</v>
      </c>
    </row>
    <row r="2" spans="1:9" x14ac:dyDescent="0.35">
      <c r="A2" t="s">
        <v>249</v>
      </c>
      <c r="B2" t="s">
        <v>250</v>
      </c>
      <c r="C2" s="7">
        <v>74.599999999999994</v>
      </c>
      <c r="D2">
        <v>74.585723673694119</v>
      </c>
      <c r="E2" s="6">
        <v>56303</v>
      </c>
      <c r="F2" s="6">
        <v>41994</v>
      </c>
      <c r="G2" s="6">
        <v>14309</v>
      </c>
      <c r="H2" s="7">
        <v>25.4</v>
      </c>
      <c r="I2" t="s">
        <v>200</v>
      </c>
    </row>
    <row r="3" spans="1:9" x14ac:dyDescent="0.35">
      <c r="A3" t="s">
        <v>249</v>
      </c>
      <c r="B3" t="s">
        <v>251</v>
      </c>
      <c r="C3" s="7">
        <v>70.099999999999994</v>
      </c>
      <c r="D3">
        <v>70.076065940775408</v>
      </c>
      <c r="E3" s="6">
        <v>78616</v>
      </c>
      <c r="F3" s="6">
        <v>55091</v>
      </c>
      <c r="G3" s="6">
        <v>23525</v>
      </c>
      <c r="H3" s="7">
        <v>29.9</v>
      </c>
      <c r="I3" t="s">
        <v>200</v>
      </c>
    </row>
    <row r="4" spans="1:9" x14ac:dyDescent="0.35">
      <c r="A4" t="s">
        <v>249</v>
      </c>
      <c r="B4" t="s">
        <v>252</v>
      </c>
      <c r="C4" s="7">
        <v>69.400000000000006</v>
      </c>
      <c r="D4">
        <v>69.360692032045279</v>
      </c>
      <c r="E4" s="6">
        <v>43813</v>
      </c>
      <c r="F4" s="6">
        <v>30389</v>
      </c>
      <c r="G4" s="6">
        <v>13424</v>
      </c>
      <c r="H4" s="7">
        <v>30.6</v>
      </c>
      <c r="I4" t="s">
        <v>200</v>
      </c>
    </row>
    <row r="5" spans="1:9" x14ac:dyDescent="0.35">
      <c r="A5" t="s">
        <v>249</v>
      </c>
      <c r="B5" t="s">
        <v>253</v>
      </c>
      <c r="C5" s="7">
        <v>69.2</v>
      </c>
      <c r="D5">
        <v>69.233408928145138</v>
      </c>
      <c r="E5" s="6">
        <v>67024</v>
      </c>
      <c r="F5" s="6">
        <v>46403</v>
      </c>
      <c r="G5" s="6">
        <v>20621</v>
      </c>
      <c r="H5" s="7">
        <v>30.8</v>
      </c>
      <c r="I5" t="s">
        <v>200</v>
      </c>
    </row>
    <row r="6" spans="1:9" x14ac:dyDescent="0.35">
      <c r="A6" t="s">
        <v>249</v>
      </c>
      <c r="B6" t="s">
        <v>254</v>
      </c>
      <c r="C6" s="7">
        <v>68.099999999999994</v>
      </c>
      <c r="D6">
        <v>68.144956441567729</v>
      </c>
      <c r="E6" s="6">
        <v>53147</v>
      </c>
      <c r="F6" s="6">
        <v>36217</v>
      </c>
      <c r="G6" s="6">
        <v>16930</v>
      </c>
      <c r="H6" s="7">
        <v>31.9</v>
      </c>
      <c r="I6" t="s">
        <v>200</v>
      </c>
    </row>
    <row r="7" spans="1:9" x14ac:dyDescent="0.35">
      <c r="A7" t="s">
        <v>249</v>
      </c>
      <c r="B7" t="s">
        <v>255</v>
      </c>
      <c r="C7" s="7">
        <v>68</v>
      </c>
      <c r="D7">
        <v>67.957741997072489</v>
      </c>
      <c r="E7" s="6">
        <v>78565</v>
      </c>
      <c r="F7" s="6">
        <v>53391</v>
      </c>
      <c r="G7" s="6">
        <v>25174</v>
      </c>
      <c r="H7" s="7">
        <v>32</v>
      </c>
      <c r="I7" t="s">
        <v>200</v>
      </c>
    </row>
    <row r="8" spans="1:9" x14ac:dyDescent="0.35">
      <c r="A8" t="s">
        <v>249</v>
      </c>
      <c r="B8" t="s">
        <v>256</v>
      </c>
      <c r="C8" s="7">
        <v>67.900000000000006</v>
      </c>
      <c r="D8">
        <v>67.850121429397475</v>
      </c>
      <c r="E8" s="6">
        <v>25941</v>
      </c>
      <c r="F8" s="6">
        <v>17601</v>
      </c>
      <c r="G8" s="6">
        <v>8340</v>
      </c>
      <c r="H8" s="7">
        <v>32.1</v>
      </c>
      <c r="I8" t="s">
        <v>200</v>
      </c>
    </row>
    <row r="9" spans="1:9" x14ac:dyDescent="0.35">
      <c r="A9" t="s">
        <v>249</v>
      </c>
      <c r="B9" t="s">
        <v>257</v>
      </c>
      <c r="C9" s="7">
        <v>67.8</v>
      </c>
      <c r="D9">
        <v>67.799038031907898</v>
      </c>
      <c r="E9" s="6">
        <v>76094</v>
      </c>
      <c r="F9" s="6">
        <v>51591</v>
      </c>
      <c r="G9" s="6">
        <v>24503</v>
      </c>
      <c r="H9" s="7">
        <v>32.200000000000003</v>
      </c>
      <c r="I9" t="s">
        <v>200</v>
      </c>
    </row>
    <row r="10" spans="1:9" x14ac:dyDescent="0.35">
      <c r="A10" t="s">
        <v>249</v>
      </c>
      <c r="B10" t="s">
        <v>258</v>
      </c>
      <c r="C10" s="7">
        <v>66.7</v>
      </c>
      <c r="D10">
        <v>66.720262021735891</v>
      </c>
      <c r="E10" s="6">
        <v>67170</v>
      </c>
      <c r="F10" s="6">
        <v>44816</v>
      </c>
      <c r="G10" s="6">
        <v>22354</v>
      </c>
      <c r="H10" s="7">
        <v>33.299999999999997</v>
      </c>
      <c r="I10" t="s">
        <v>200</v>
      </c>
    </row>
    <row r="11" spans="1:9" x14ac:dyDescent="0.35">
      <c r="A11" t="s">
        <v>249</v>
      </c>
      <c r="B11" t="s">
        <v>259</v>
      </c>
      <c r="C11" s="7">
        <v>66.5</v>
      </c>
      <c r="D11">
        <v>66.468839336763864</v>
      </c>
      <c r="E11" s="6">
        <v>87450</v>
      </c>
      <c r="F11" s="6">
        <v>58127</v>
      </c>
      <c r="G11" s="6">
        <v>29323</v>
      </c>
      <c r="H11" s="7">
        <v>33.5</v>
      </c>
      <c r="I11" t="s">
        <v>200</v>
      </c>
    </row>
    <row r="12" spans="1:9" x14ac:dyDescent="0.35">
      <c r="A12" t="s">
        <v>260</v>
      </c>
      <c r="B12" t="s">
        <v>261</v>
      </c>
      <c r="C12" s="7">
        <v>35.700000000000003</v>
      </c>
      <c r="D12">
        <v>35.678273332771269</v>
      </c>
      <c r="E12" s="6">
        <v>118610</v>
      </c>
      <c r="F12" s="6">
        <v>42318</v>
      </c>
      <c r="G12" s="6">
        <v>76292</v>
      </c>
      <c r="H12" s="7">
        <v>64.3</v>
      </c>
      <c r="I12" t="s">
        <v>200</v>
      </c>
    </row>
    <row r="13" spans="1:9" x14ac:dyDescent="0.35">
      <c r="A13" t="s">
        <v>260</v>
      </c>
      <c r="B13" t="s">
        <v>262</v>
      </c>
      <c r="C13" s="7">
        <v>35.9</v>
      </c>
      <c r="D13">
        <v>35.891445003594526</v>
      </c>
      <c r="E13" s="6">
        <v>294892</v>
      </c>
      <c r="F13" s="6">
        <v>105841</v>
      </c>
      <c r="G13" s="6">
        <v>189051</v>
      </c>
      <c r="H13" s="7">
        <v>64.099999999999994</v>
      </c>
      <c r="I13" t="s">
        <v>200</v>
      </c>
    </row>
    <row r="14" spans="1:9" x14ac:dyDescent="0.35">
      <c r="A14" t="s">
        <v>260</v>
      </c>
      <c r="B14" t="s">
        <v>263</v>
      </c>
      <c r="C14" s="7">
        <v>37</v>
      </c>
      <c r="D14">
        <v>36.98342127112516</v>
      </c>
      <c r="E14" s="6">
        <v>74674</v>
      </c>
      <c r="F14" s="6">
        <v>27617</v>
      </c>
      <c r="G14" s="6">
        <v>47057</v>
      </c>
      <c r="H14" s="7">
        <v>63</v>
      </c>
      <c r="I14" t="s">
        <v>200</v>
      </c>
    </row>
    <row r="15" spans="1:9" x14ac:dyDescent="0.35">
      <c r="A15" t="s">
        <v>260</v>
      </c>
      <c r="B15" t="s">
        <v>264</v>
      </c>
      <c r="C15" s="7">
        <v>37</v>
      </c>
      <c r="D15">
        <v>36.993175064095468</v>
      </c>
      <c r="E15" s="6">
        <v>1147117</v>
      </c>
      <c r="F15" s="6">
        <v>424355</v>
      </c>
      <c r="G15" s="6">
        <v>722762</v>
      </c>
      <c r="H15" s="7">
        <v>63</v>
      </c>
      <c r="I15" t="s">
        <v>200</v>
      </c>
    </row>
    <row r="16" spans="1:9" x14ac:dyDescent="0.35">
      <c r="A16" t="s">
        <v>260</v>
      </c>
      <c r="B16" t="s">
        <v>265</v>
      </c>
      <c r="C16" s="7">
        <v>37.5</v>
      </c>
      <c r="D16">
        <v>37.492309044563591</v>
      </c>
      <c r="E16" s="6">
        <v>45508</v>
      </c>
      <c r="F16" s="6">
        <v>17062</v>
      </c>
      <c r="G16" s="6">
        <v>28446</v>
      </c>
      <c r="H16" s="7">
        <v>62.5</v>
      </c>
      <c r="I16" t="s">
        <v>200</v>
      </c>
    </row>
    <row r="17" spans="1:9" x14ac:dyDescent="0.35">
      <c r="A17" t="s">
        <v>260</v>
      </c>
      <c r="B17" t="s">
        <v>266</v>
      </c>
      <c r="C17" s="7">
        <v>37.6</v>
      </c>
      <c r="D17">
        <v>37.564971516487169</v>
      </c>
      <c r="E17" s="6">
        <v>48098</v>
      </c>
      <c r="F17" s="6">
        <v>18068</v>
      </c>
      <c r="G17" s="6">
        <v>30030</v>
      </c>
      <c r="H17" s="7">
        <v>62.4</v>
      </c>
      <c r="I17" t="s">
        <v>200</v>
      </c>
    </row>
    <row r="18" spans="1:9" x14ac:dyDescent="0.35">
      <c r="A18" t="s">
        <v>260</v>
      </c>
      <c r="B18" t="s">
        <v>267</v>
      </c>
      <c r="C18" s="7">
        <v>37.6</v>
      </c>
      <c r="D18">
        <v>37.588162079933618</v>
      </c>
      <c r="E18" s="6">
        <v>151851</v>
      </c>
      <c r="F18" s="6">
        <v>57078</v>
      </c>
      <c r="G18" s="6">
        <v>94773</v>
      </c>
      <c r="H18" s="7">
        <v>62.4</v>
      </c>
      <c r="I18" t="s">
        <v>200</v>
      </c>
    </row>
    <row r="19" spans="1:9" x14ac:dyDescent="0.35">
      <c r="A19" t="s">
        <v>260</v>
      </c>
      <c r="B19" t="s">
        <v>268</v>
      </c>
      <c r="C19" s="7">
        <v>37.6</v>
      </c>
      <c r="D19">
        <v>37.623695725345002</v>
      </c>
      <c r="E19" s="6">
        <v>14855</v>
      </c>
      <c r="F19" s="6">
        <v>5589</v>
      </c>
      <c r="G19" s="6">
        <v>9266</v>
      </c>
      <c r="H19" s="7">
        <v>62.4</v>
      </c>
      <c r="I19" t="s">
        <v>200</v>
      </c>
    </row>
    <row r="20" spans="1:9" x14ac:dyDescent="0.35">
      <c r="A20" t="s">
        <v>260</v>
      </c>
      <c r="B20" t="s">
        <v>269</v>
      </c>
      <c r="C20" s="7">
        <v>38.1</v>
      </c>
      <c r="D20">
        <v>38.069039913700109</v>
      </c>
      <c r="E20" s="6">
        <v>55620</v>
      </c>
      <c r="F20" s="6">
        <v>21174</v>
      </c>
      <c r="G20" s="6">
        <v>34446</v>
      </c>
      <c r="H20" s="7">
        <v>61.9</v>
      </c>
      <c r="I20" t="s">
        <v>200</v>
      </c>
    </row>
    <row r="21" spans="1:9" x14ac:dyDescent="0.35">
      <c r="A21" t="s">
        <v>260</v>
      </c>
      <c r="B21" t="s">
        <v>270</v>
      </c>
      <c r="C21" s="7">
        <v>38.4</v>
      </c>
      <c r="D21">
        <v>38.394818125405273</v>
      </c>
      <c r="E21" s="6">
        <v>143423</v>
      </c>
      <c r="F21" s="6">
        <v>55067</v>
      </c>
      <c r="G21" s="6">
        <v>88356</v>
      </c>
      <c r="H21" s="7">
        <v>61.6</v>
      </c>
      <c r="I21" t="s">
        <v>200</v>
      </c>
    </row>
  </sheetData>
  <autoFilter ref="A1:I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9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48" customWidth="1"/>
    <col min="3" max="3" width="12" customWidth="1"/>
    <col min="4" max="4" width="14" customWidth="1"/>
    <col min="5" max="5" width="24" customWidth="1"/>
    <col min="6" max="6" width="14" customWidth="1"/>
    <col min="7" max="9" width="16" customWidth="1"/>
    <col min="10" max="10" width="55" customWidth="1"/>
  </cols>
  <sheetData>
    <row r="1" spans="1:10" ht="43.5" customHeight="1" x14ac:dyDescent="0.35">
      <c r="A1" s="3" t="s">
        <v>243</v>
      </c>
      <c r="B1" s="3" t="s">
        <v>248</v>
      </c>
      <c r="C1" s="3" t="s">
        <v>271</v>
      </c>
      <c r="D1" s="3" t="s">
        <v>223</v>
      </c>
      <c r="E1" s="3" t="s">
        <v>225</v>
      </c>
      <c r="F1" s="3" t="s">
        <v>224</v>
      </c>
      <c r="G1" s="3" t="s">
        <v>222</v>
      </c>
      <c r="H1" s="3" t="s">
        <v>220</v>
      </c>
      <c r="I1" s="3" t="s">
        <v>221</v>
      </c>
      <c r="J1" s="3" t="s">
        <v>227</v>
      </c>
    </row>
    <row r="2" spans="1:10" x14ac:dyDescent="0.35">
      <c r="A2">
        <v>1</v>
      </c>
      <c r="B2" t="s">
        <v>272</v>
      </c>
      <c r="C2" t="s">
        <v>273</v>
      </c>
      <c r="D2" s="7">
        <v>74.599999999999994</v>
      </c>
      <c r="E2">
        <v>74.585723673694119</v>
      </c>
      <c r="F2" s="7">
        <v>25.4</v>
      </c>
      <c r="G2" s="6">
        <v>56303</v>
      </c>
      <c r="H2" s="6">
        <v>41994</v>
      </c>
      <c r="I2" s="6">
        <v>14309</v>
      </c>
      <c r="J2" t="s">
        <v>200</v>
      </c>
    </row>
    <row r="3" spans="1:10" x14ac:dyDescent="0.35">
      <c r="A3">
        <v>2</v>
      </c>
      <c r="B3" t="s">
        <v>274</v>
      </c>
      <c r="C3" t="s">
        <v>275</v>
      </c>
      <c r="D3" s="7">
        <v>70.099999999999994</v>
      </c>
      <c r="E3">
        <v>70.076065940775408</v>
      </c>
      <c r="F3" s="7">
        <v>29.9</v>
      </c>
      <c r="G3" s="6">
        <v>78616</v>
      </c>
      <c r="H3" s="6">
        <v>55091</v>
      </c>
      <c r="I3" s="6">
        <v>23525</v>
      </c>
      <c r="J3" t="s">
        <v>200</v>
      </c>
    </row>
    <row r="4" spans="1:10" x14ac:dyDescent="0.35">
      <c r="A4">
        <v>3</v>
      </c>
      <c r="B4" t="s">
        <v>276</v>
      </c>
      <c r="C4" t="s">
        <v>277</v>
      </c>
      <c r="D4" s="7">
        <v>69.400000000000006</v>
      </c>
      <c r="E4">
        <v>69.360692032045279</v>
      </c>
      <c r="F4" s="7">
        <v>30.6</v>
      </c>
      <c r="G4" s="6">
        <v>43813</v>
      </c>
      <c r="H4" s="6">
        <v>30389</v>
      </c>
      <c r="I4" s="6">
        <v>13424</v>
      </c>
      <c r="J4" t="s">
        <v>200</v>
      </c>
    </row>
    <row r="5" spans="1:10" x14ac:dyDescent="0.35">
      <c r="A5">
        <v>4</v>
      </c>
      <c r="B5" t="s">
        <v>278</v>
      </c>
      <c r="C5" t="s">
        <v>279</v>
      </c>
      <c r="D5" s="7">
        <v>69.2</v>
      </c>
      <c r="E5">
        <v>69.233408928145138</v>
      </c>
      <c r="F5" s="7">
        <v>30.8</v>
      </c>
      <c r="G5" s="6">
        <v>67024</v>
      </c>
      <c r="H5" s="6">
        <v>46403</v>
      </c>
      <c r="I5" s="6">
        <v>20621</v>
      </c>
      <c r="J5" t="s">
        <v>200</v>
      </c>
    </row>
    <row r="6" spans="1:10" x14ac:dyDescent="0.35">
      <c r="A6">
        <v>5</v>
      </c>
      <c r="B6" t="s">
        <v>280</v>
      </c>
      <c r="C6" t="s">
        <v>281</v>
      </c>
      <c r="D6" s="7">
        <v>68.099999999999994</v>
      </c>
      <c r="E6">
        <v>68.144956441567729</v>
      </c>
      <c r="F6" s="7">
        <v>31.9</v>
      </c>
      <c r="G6" s="6">
        <v>53147</v>
      </c>
      <c r="H6" s="6">
        <v>36217</v>
      </c>
      <c r="I6" s="6">
        <v>16930</v>
      </c>
      <c r="J6" t="s">
        <v>200</v>
      </c>
    </row>
    <row r="7" spans="1:10" x14ac:dyDescent="0.35">
      <c r="A7">
        <v>6</v>
      </c>
      <c r="B7" t="s">
        <v>282</v>
      </c>
      <c r="C7" t="s">
        <v>283</v>
      </c>
      <c r="D7" s="7">
        <v>68</v>
      </c>
      <c r="E7">
        <v>67.957741997072489</v>
      </c>
      <c r="F7" s="7">
        <v>32</v>
      </c>
      <c r="G7" s="6">
        <v>78565</v>
      </c>
      <c r="H7" s="6">
        <v>53391</v>
      </c>
      <c r="I7" s="6">
        <v>25174</v>
      </c>
      <c r="J7" t="s">
        <v>200</v>
      </c>
    </row>
    <row r="8" spans="1:10" x14ac:dyDescent="0.35">
      <c r="A8">
        <v>7</v>
      </c>
      <c r="B8" t="s">
        <v>284</v>
      </c>
      <c r="C8" t="s">
        <v>285</v>
      </c>
      <c r="D8" s="7">
        <v>67.900000000000006</v>
      </c>
      <c r="E8">
        <v>67.850121429397475</v>
      </c>
      <c r="F8" s="7">
        <v>32.1</v>
      </c>
      <c r="G8" s="6">
        <v>25941</v>
      </c>
      <c r="H8" s="6">
        <v>17601</v>
      </c>
      <c r="I8" s="6">
        <v>8340</v>
      </c>
      <c r="J8" t="s">
        <v>200</v>
      </c>
    </row>
    <row r="9" spans="1:10" x14ac:dyDescent="0.35">
      <c r="A9">
        <v>8</v>
      </c>
      <c r="B9" t="s">
        <v>286</v>
      </c>
      <c r="C9" t="s">
        <v>287</v>
      </c>
      <c r="D9" s="7">
        <v>67.8</v>
      </c>
      <c r="E9">
        <v>67.799038031907898</v>
      </c>
      <c r="F9" s="7">
        <v>32.200000000000003</v>
      </c>
      <c r="G9" s="6">
        <v>76094</v>
      </c>
      <c r="H9" s="6">
        <v>51591</v>
      </c>
      <c r="I9" s="6">
        <v>24503</v>
      </c>
      <c r="J9" t="s">
        <v>200</v>
      </c>
    </row>
    <row r="10" spans="1:10" x14ac:dyDescent="0.35">
      <c r="A10">
        <v>9</v>
      </c>
      <c r="B10" t="s">
        <v>288</v>
      </c>
      <c r="C10" t="s">
        <v>289</v>
      </c>
      <c r="D10" s="7">
        <v>66.7</v>
      </c>
      <c r="E10">
        <v>66.720262021735891</v>
      </c>
      <c r="F10" s="7">
        <v>33.299999999999997</v>
      </c>
      <c r="G10" s="6">
        <v>67170</v>
      </c>
      <c r="H10" s="6">
        <v>44816</v>
      </c>
      <c r="I10" s="6">
        <v>22354</v>
      </c>
      <c r="J10" t="s">
        <v>200</v>
      </c>
    </row>
    <row r="11" spans="1:10" x14ac:dyDescent="0.35">
      <c r="A11">
        <v>10</v>
      </c>
      <c r="B11" t="s">
        <v>290</v>
      </c>
      <c r="C11" t="s">
        <v>291</v>
      </c>
      <c r="D11" s="7">
        <v>66.5</v>
      </c>
      <c r="E11">
        <v>66.468839336763864</v>
      </c>
      <c r="F11" s="7">
        <v>33.5</v>
      </c>
      <c r="G11" s="6">
        <v>87450</v>
      </c>
      <c r="H11" s="6">
        <v>58127</v>
      </c>
      <c r="I11" s="6">
        <v>29323</v>
      </c>
      <c r="J11" t="s">
        <v>200</v>
      </c>
    </row>
    <row r="12" spans="1:10" x14ac:dyDescent="0.35">
      <c r="A12">
        <v>11</v>
      </c>
      <c r="B12" t="s">
        <v>292</v>
      </c>
      <c r="C12" t="s">
        <v>293</v>
      </c>
      <c r="D12" s="7">
        <v>66.3</v>
      </c>
      <c r="E12">
        <v>66.272897271429429</v>
      </c>
      <c r="F12" s="7">
        <v>33.700000000000003</v>
      </c>
      <c r="G12" s="6">
        <v>99466</v>
      </c>
      <c r="H12" s="6">
        <v>65919</v>
      </c>
      <c r="I12" s="6">
        <v>33547</v>
      </c>
      <c r="J12" t="s">
        <v>200</v>
      </c>
    </row>
    <row r="13" spans="1:10" x14ac:dyDescent="0.35">
      <c r="A13">
        <v>12</v>
      </c>
      <c r="B13" t="s">
        <v>294</v>
      </c>
      <c r="C13" t="s">
        <v>295</v>
      </c>
      <c r="D13" s="7">
        <v>65.900000000000006</v>
      </c>
      <c r="E13">
        <v>65.913032800724466</v>
      </c>
      <c r="F13" s="7">
        <v>34.1</v>
      </c>
      <c r="G13" s="6">
        <v>65151</v>
      </c>
      <c r="H13" s="6">
        <v>42943</v>
      </c>
      <c r="I13" s="6">
        <v>22208</v>
      </c>
      <c r="J13" t="s">
        <v>200</v>
      </c>
    </row>
    <row r="14" spans="1:10" x14ac:dyDescent="0.35">
      <c r="A14">
        <v>13</v>
      </c>
      <c r="B14" t="s">
        <v>296</v>
      </c>
      <c r="C14" t="s">
        <v>297</v>
      </c>
      <c r="D14" s="7">
        <v>65.099999999999994</v>
      </c>
      <c r="E14">
        <v>65.122263090596235</v>
      </c>
      <c r="F14" s="7">
        <v>34.9</v>
      </c>
      <c r="G14" s="6">
        <v>63347</v>
      </c>
      <c r="H14" s="6">
        <v>41253</v>
      </c>
      <c r="I14" s="6">
        <v>22094</v>
      </c>
      <c r="J14" t="s">
        <v>200</v>
      </c>
    </row>
    <row r="15" spans="1:10" x14ac:dyDescent="0.35">
      <c r="A15">
        <v>14</v>
      </c>
      <c r="B15" t="s">
        <v>298</v>
      </c>
      <c r="C15" t="s">
        <v>299</v>
      </c>
      <c r="D15" s="7">
        <v>64.8</v>
      </c>
      <c r="E15">
        <v>64.786568286944416</v>
      </c>
      <c r="F15" s="7">
        <v>35.200000000000003</v>
      </c>
      <c r="G15" s="6">
        <v>62479</v>
      </c>
      <c r="H15" s="6">
        <v>40478</v>
      </c>
      <c r="I15" s="6">
        <v>22001</v>
      </c>
      <c r="J15" t="s">
        <v>200</v>
      </c>
    </row>
    <row r="16" spans="1:10" x14ac:dyDescent="0.35">
      <c r="A16">
        <v>15</v>
      </c>
      <c r="B16" t="s">
        <v>300</v>
      </c>
      <c r="C16" t="s">
        <v>301</v>
      </c>
      <c r="D16" s="7">
        <v>64.5</v>
      </c>
      <c r="E16">
        <v>64.506818371956825</v>
      </c>
      <c r="F16" s="7">
        <v>35.5</v>
      </c>
      <c r="G16" s="6">
        <v>23906</v>
      </c>
      <c r="H16" s="6">
        <v>15421</v>
      </c>
      <c r="I16" s="6">
        <v>8485</v>
      </c>
      <c r="J16" t="s">
        <v>200</v>
      </c>
    </row>
    <row r="17" spans="1:10" x14ac:dyDescent="0.35">
      <c r="A17">
        <v>16</v>
      </c>
      <c r="B17" t="s">
        <v>302</v>
      </c>
      <c r="C17" t="s">
        <v>303</v>
      </c>
      <c r="D17" s="7">
        <v>64.5</v>
      </c>
      <c r="E17">
        <v>64.460298028620883</v>
      </c>
      <c r="F17" s="7">
        <v>35.5</v>
      </c>
      <c r="G17" s="6">
        <v>47378</v>
      </c>
      <c r="H17" s="6">
        <v>30540</v>
      </c>
      <c r="I17" s="6">
        <v>16838</v>
      </c>
      <c r="J17" t="s">
        <v>200</v>
      </c>
    </row>
    <row r="18" spans="1:10" x14ac:dyDescent="0.35">
      <c r="A18">
        <v>17</v>
      </c>
      <c r="B18" t="s">
        <v>304</v>
      </c>
      <c r="C18" t="s">
        <v>305</v>
      </c>
      <c r="D18" s="7">
        <v>64.2</v>
      </c>
      <c r="E18">
        <v>64.180081458494953</v>
      </c>
      <c r="F18" s="7">
        <v>35.799999999999997</v>
      </c>
      <c r="G18" s="6">
        <v>41248</v>
      </c>
      <c r="H18" s="6">
        <v>26473</v>
      </c>
      <c r="I18" s="6">
        <v>14775</v>
      </c>
      <c r="J18" t="s">
        <v>200</v>
      </c>
    </row>
    <row r="19" spans="1:10" x14ac:dyDescent="0.35">
      <c r="A19">
        <v>18</v>
      </c>
      <c r="B19" t="s">
        <v>306</v>
      </c>
      <c r="C19" t="s">
        <v>307</v>
      </c>
      <c r="D19" s="7">
        <v>63.8</v>
      </c>
      <c r="E19">
        <v>63.843139915531658</v>
      </c>
      <c r="F19" s="7">
        <v>36.200000000000003</v>
      </c>
      <c r="G19" s="6">
        <v>58957</v>
      </c>
      <c r="H19" s="6">
        <v>37640</v>
      </c>
      <c r="I19" s="6">
        <v>21317</v>
      </c>
      <c r="J19" t="s">
        <v>200</v>
      </c>
    </row>
    <row r="20" spans="1:10" x14ac:dyDescent="0.35">
      <c r="A20">
        <v>19</v>
      </c>
      <c r="B20" t="s">
        <v>308</v>
      </c>
      <c r="C20" t="s">
        <v>309</v>
      </c>
      <c r="D20" s="7">
        <v>63.8</v>
      </c>
      <c r="E20">
        <v>63.791025243654637</v>
      </c>
      <c r="F20" s="7">
        <v>36.200000000000003</v>
      </c>
      <c r="G20" s="6">
        <v>145185</v>
      </c>
      <c r="H20" s="6">
        <v>92615</v>
      </c>
      <c r="I20" s="6">
        <v>52570</v>
      </c>
      <c r="J20" t="s">
        <v>200</v>
      </c>
    </row>
    <row r="21" spans="1:10" x14ac:dyDescent="0.35">
      <c r="A21">
        <v>20</v>
      </c>
      <c r="B21" t="s">
        <v>310</v>
      </c>
      <c r="C21" t="s">
        <v>311</v>
      </c>
      <c r="D21" s="7">
        <v>63.6</v>
      </c>
      <c r="E21">
        <v>63.637595717286707</v>
      </c>
      <c r="F21" s="7">
        <v>36.4</v>
      </c>
      <c r="G21" s="6">
        <v>29514</v>
      </c>
      <c r="H21" s="6">
        <v>18782</v>
      </c>
      <c r="I21" s="6">
        <v>10732</v>
      </c>
      <c r="J21" t="s">
        <v>200</v>
      </c>
    </row>
    <row r="22" spans="1:10" x14ac:dyDescent="0.35">
      <c r="A22">
        <v>21</v>
      </c>
      <c r="B22" t="s">
        <v>312</v>
      </c>
      <c r="C22" t="s">
        <v>313</v>
      </c>
      <c r="D22" s="7">
        <v>63.6</v>
      </c>
      <c r="E22">
        <v>63.612251025923328</v>
      </c>
      <c r="F22" s="7">
        <v>36.4</v>
      </c>
      <c r="G22" s="6">
        <v>59946</v>
      </c>
      <c r="H22" s="6">
        <v>38133</v>
      </c>
      <c r="I22" s="6">
        <v>21813</v>
      </c>
      <c r="J22" t="s">
        <v>200</v>
      </c>
    </row>
    <row r="23" spans="1:10" x14ac:dyDescent="0.35">
      <c r="A23">
        <v>22</v>
      </c>
      <c r="B23" t="s">
        <v>314</v>
      </c>
      <c r="C23" t="s">
        <v>315</v>
      </c>
      <c r="D23" s="7">
        <v>63.5</v>
      </c>
      <c r="E23">
        <v>63.45196850393701</v>
      </c>
      <c r="F23" s="7">
        <v>36.5</v>
      </c>
      <c r="G23" s="6">
        <v>31750</v>
      </c>
      <c r="H23" s="6">
        <v>20146</v>
      </c>
      <c r="I23" s="6">
        <v>11604</v>
      </c>
      <c r="J23" t="s">
        <v>200</v>
      </c>
    </row>
    <row r="24" spans="1:10" x14ac:dyDescent="0.35">
      <c r="A24">
        <v>23</v>
      </c>
      <c r="B24" t="s">
        <v>316</v>
      </c>
      <c r="C24" t="s">
        <v>317</v>
      </c>
      <c r="D24" s="7">
        <v>63.4</v>
      </c>
      <c r="E24">
        <v>63.38946608493675</v>
      </c>
      <c r="F24" s="7">
        <v>36.6</v>
      </c>
      <c r="G24" s="6">
        <v>127436</v>
      </c>
      <c r="H24" s="6">
        <v>80781</v>
      </c>
      <c r="I24" s="6">
        <v>46655</v>
      </c>
      <c r="J24" t="s">
        <v>200</v>
      </c>
    </row>
    <row r="25" spans="1:10" x14ac:dyDescent="0.35">
      <c r="A25">
        <v>24</v>
      </c>
      <c r="B25" t="s">
        <v>318</v>
      </c>
      <c r="C25" t="s">
        <v>319</v>
      </c>
      <c r="D25" s="7">
        <v>63.1</v>
      </c>
      <c r="E25">
        <v>63.100484982557653</v>
      </c>
      <c r="F25" s="7">
        <v>36.9</v>
      </c>
      <c r="G25" s="6">
        <v>176295</v>
      </c>
      <c r="H25" s="6">
        <v>111243</v>
      </c>
      <c r="I25" s="6">
        <v>65052</v>
      </c>
      <c r="J25" t="s">
        <v>200</v>
      </c>
    </row>
    <row r="26" spans="1:10" x14ac:dyDescent="0.35">
      <c r="A26">
        <v>25</v>
      </c>
      <c r="B26" t="s">
        <v>320</v>
      </c>
      <c r="C26" t="s">
        <v>321</v>
      </c>
      <c r="D26" s="7">
        <v>63.1</v>
      </c>
      <c r="E26">
        <v>63.052291752693421</v>
      </c>
      <c r="F26" s="7">
        <v>36.9</v>
      </c>
      <c r="G26" s="6">
        <v>159834</v>
      </c>
      <c r="H26" s="6">
        <v>100779</v>
      </c>
      <c r="I26" s="6">
        <v>59055</v>
      </c>
      <c r="J26" t="s">
        <v>200</v>
      </c>
    </row>
    <row r="27" spans="1:10" x14ac:dyDescent="0.35">
      <c r="A27">
        <v>26</v>
      </c>
      <c r="B27" t="s">
        <v>322</v>
      </c>
      <c r="C27" t="s">
        <v>323</v>
      </c>
      <c r="D27" s="7">
        <v>62.6</v>
      </c>
      <c r="E27">
        <v>62.575746933406563</v>
      </c>
      <c r="F27" s="7">
        <v>37.4</v>
      </c>
      <c r="G27" s="6">
        <v>156607</v>
      </c>
      <c r="H27" s="6">
        <v>97998</v>
      </c>
      <c r="I27" s="6">
        <v>58609</v>
      </c>
      <c r="J27" t="s">
        <v>200</v>
      </c>
    </row>
    <row r="28" spans="1:10" x14ac:dyDescent="0.35">
      <c r="A28">
        <v>27</v>
      </c>
      <c r="B28" t="s">
        <v>324</v>
      </c>
      <c r="C28" t="s">
        <v>325</v>
      </c>
      <c r="D28" s="7">
        <v>62.4</v>
      </c>
      <c r="E28">
        <v>62.393027358664447</v>
      </c>
      <c r="F28" s="7">
        <v>37.6</v>
      </c>
      <c r="G28" s="6">
        <v>37977</v>
      </c>
      <c r="H28" s="6">
        <v>23695</v>
      </c>
      <c r="I28" s="6">
        <v>14282</v>
      </c>
      <c r="J28" t="s">
        <v>200</v>
      </c>
    </row>
    <row r="29" spans="1:10" x14ac:dyDescent="0.35">
      <c r="A29">
        <v>28</v>
      </c>
      <c r="B29" t="s">
        <v>326</v>
      </c>
      <c r="C29" t="s">
        <v>327</v>
      </c>
      <c r="D29" s="7">
        <v>62</v>
      </c>
      <c r="E29">
        <v>61.991739083789291</v>
      </c>
      <c r="F29" s="7">
        <v>38</v>
      </c>
      <c r="G29" s="6">
        <v>37284</v>
      </c>
      <c r="H29" s="6">
        <v>23113</v>
      </c>
      <c r="I29" s="6">
        <v>14171</v>
      </c>
      <c r="J29" t="s">
        <v>200</v>
      </c>
    </row>
    <row r="30" spans="1:10" x14ac:dyDescent="0.35">
      <c r="A30">
        <v>29</v>
      </c>
      <c r="B30" t="s">
        <v>328</v>
      </c>
      <c r="C30" t="s">
        <v>329</v>
      </c>
      <c r="D30" s="7">
        <v>61.5</v>
      </c>
      <c r="E30">
        <v>61.536214953271028</v>
      </c>
      <c r="F30" s="7">
        <v>38.5</v>
      </c>
      <c r="G30" s="6">
        <v>51360</v>
      </c>
      <c r="H30" s="6">
        <v>31605</v>
      </c>
      <c r="I30" s="6">
        <v>19755</v>
      </c>
      <c r="J30" t="s">
        <v>200</v>
      </c>
    </row>
    <row r="31" spans="1:10" x14ac:dyDescent="0.35">
      <c r="A31">
        <v>30</v>
      </c>
      <c r="B31" t="s">
        <v>330</v>
      </c>
      <c r="C31" t="s">
        <v>331</v>
      </c>
      <c r="D31" s="7">
        <v>61.4</v>
      </c>
      <c r="E31">
        <v>61.418379600197781</v>
      </c>
      <c r="F31" s="7">
        <v>38.6</v>
      </c>
      <c r="G31" s="6">
        <v>28314</v>
      </c>
      <c r="H31" s="6">
        <v>17390</v>
      </c>
      <c r="I31" s="6">
        <v>10924</v>
      </c>
      <c r="J31" t="s">
        <v>200</v>
      </c>
    </row>
    <row r="32" spans="1:10" x14ac:dyDescent="0.35">
      <c r="A32">
        <v>31</v>
      </c>
      <c r="B32" t="s">
        <v>332</v>
      </c>
      <c r="C32" t="s">
        <v>333</v>
      </c>
      <c r="D32" s="7">
        <v>61.4</v>
      </c>
      <c r="E32">
        <v>61.399620252207001</v>
      </c>
      <c r="F32" s="7">
        <v>38.6</v>
      </c>
      <c r="G32" s="6">
        <v>132193</v>
      </c>
      <c r="H32" s="6">
        <v>81166</v>
      </c>
      <c r="I32" s="6">
        <v>51027</v>
      </c>
      <c r="J32" t="s">
        <v>200</v>
      </c>
    </row>
    <row r="33" spans="1:10" x14ac:dyDescent="0.35">
      <c r="A33">
        <v>32</v>
      </c>
      <c r="B33" t="s">
        <v>334</v>
      </c>
      <c r="C33" t="s">
        <v>335</v>
      </c>
      <c r="D33" s="7">
        <v>61.3</v>
      </c>
      <c r="E33">
        <v>61.309411849815532</v>
      </c>
      <c r="F33" s="7">
        <v>38.700000000000003</v>
      </c>
      <c r="G33" s="6">
        <v>69115</v>
      </c>
      <c r="H33" s="6">
        <v>42374</v>
      </c>
      <c r="I33" s="6">
        <v>26741</v>
      </c>
      <c r="J33" t="s">
        <v>200</v>
      </c>
    </row>
    <row r="34" spans="1:10" x14ac:dyDescent="0.35">
      <c r="A34">
        <v>33</v>
      </c>
      <c r="B34" t="s">
        <v>336</v>
      </c>
      <c r="C34" t="s">
        <v>337</v>
      </c>
      <c r="D34" s="7">
        <v>61.3</v>
      </c>
      <c r="E34">
        <v>61.307276406802188</v>
      </c>
      <c r="F34" s="7">
        <v>38.700000000000003</v>
      </c>
      <c r="G34" s="6">
        <v>66214</v>
      </c>
      <c r="H34" s="6">
        <v>40594</v>
      </c>
      <c r="I34" s="6">
        <v>25620</v>
      </c>
      <c r="J34" t="s">
        <v>200</v>
      </c>
    </row>
    <row r="35" spans="1:10" x14ac:dyDescent="0.35">
      <c r="A35">
        <v>34</v>
      </c>
      <c r="B35" t="s">
        <v>338</v>
      </c>
      <c r="C35" t="s">
        <v>339</v>
      </c>
      <c r="D35" s="7">
        <v>61.2</v>
      </c>
      <c r="E35">
        <v>61.240020193332462</v>
      </c>
      <c r="F35" s="7">
        <v>38.799999999999997</v>
      </c>
      <c r="G35" s="6">
        <v>53483</v>
      </c>
      <c r="H35" s="6">
        <v>32753</v>
      </c>
      <c r="I35" s="6">
        <v>20730</v>
      </c>
      <c r="J35" t="s">
        <v>200</v>
      </c>
    </row>
    <row r="36" spans="1:10" x14ac:dyDescent="0.35">
      <c r="A36">
        <v>35</v>
      </c>
      <c r="B36" t="s">
        <v>340</v>
      </c>
      <c r="C36" t="s">
        <v>341</v>
      </c>
      <c r="D36" s="7">
        <v>61.2</v>
      </c>
      <c r="E36">
        <v>61.231162388665489</v>
      </c>
      <c r="F36" s="7">
        <v>38.799999999999997</v>
      </c>
      <c r="G36" s="6">
        <v>26609</v>
      </c>
      <c r="H36" s="6">
        <v>16293</v>
      </c>
      <c r="I36" s="6">
        <v>10316</v>
      </c>
      <c r="J36" t="s">
        <v>200</v>
      </c>
    </row>
    <row r="37" spans="1:10" x14ac:dyDescent="0.35">
      <c r="A37">
        <v>36</v>
      </c>
      <c r="B37" t="s">
        <v>342</v>
      </c>
      <c r="C37" t="s">
        <v>343</v>
      </c>
      <c r="D37" s="7">
        <v>61.2</v>
      </c>
      <c r="E37">
        <v>61.182397978598708</v>
      </c>
      <c r="F37" s="7">
        <v>38.799999999999997</v>
      </c>
      <c r="G37" s="6">
        <v>65697</v>
      </c>
      <c r="H37" s="6">
        <v>40195</v>
      </c>
      <c r="I37" s="6">
        <v>25502</v>
      </c>
      <c r="J37" t="s">
        <v>200</v>
      </c>
    </row>
    <row r="38" spans="1:10" x14ac:dyDescent="0.35">
      <c r="A38">
        <v>37</v>
      </c>
      <c r="B38" t="s">
        <v>344</v>
      </c>
      <c r="C38" t="s">
        <v>345</v>
      </c>
      <c r="D38" s="7">
        <v>60.6</v>
      </c>
      <c r="E38">
        <v>60.599412486520663</v>
      </c>
      <c r="F38" s="7">
        <v>39.4</v>
      </c>
      <c r="G38" s="6">
        <v>26893</v>
      </c>
      <c r="H38" s="6">
        <v>16297</v>
      </c>
      <c r="I38" s="6">
        <v>10596</v>
      </c>
      <c r="J38" t="s">
        <v>200</v>
      </c>
    </row>
    <row r="39" spans="1:10" x14ac:dyDescent="0.35">
      <c r="A39">
        <v>38</v>
      </c>
      <c r="B39" t="s">
        <v>346</v>
      </c>
      <c r="C39" t="s">
        <v>347</v>
      </c>
      <c r="D39" s="7">
        <v>59.9</v>
      </c>
      <c r="E39">
        <v>59.852624606722969</v>
      </c>
      <c r="F39" s="7">
        <v>40.1</v>
      </c>
      <c r="G39" s="6">
        <v>72468</v>
      </c>
      <c r="H39" s="6">
        <v>43374</v>
      </c>
      <c r="I39" s="6">
        <v>29094</v>
      </c>
      <c r="J39" t="s">
        <v>200</v>
      </c>
    </row>
    <row r="40" spans="1:10" x14ac:dyDescent="0.35">
      <c r="A40">
        <v>39</v>
      </c>
      <c r="B40" t="s">
        <v>348</v>
      </c>
      <c r="C40" t="s">
        <v>349</v>
      </c>
      <c r="D40" s="7">
        <v>59.8</v>
      </c>
      <c r="E40">
        <v>59.809425630023817</v>
      </c>
      <c r="F40" s="7">
        <v>40.200000000000003</v>
      </c>
      <c r="G40" s="6">
        <v>71783</v>
      </c>
      <c r="H40" s="6">
        <v>42933</v>
      </c>
      <c r="I40" s="6">
        <v>28850</v>
      </c>
      <c r="J40" t="s">
        <v>200</v>
      </c>
    </row>
    <row r="41" spans="1:10" x14ac:dyDescent="0.35">
      <c r="A41">
        <v>40</v>
      </c>
      <c r="B41" t="s">
        <v>350</v>
      </c>
      <c r="C41" t="s">
        <v>351</v>
      </c>
      <c r="D41" s="7">
        <v>59.8</v>
      </c>
      <c r="E41">
        <v>59.794266833593618</v>
      </c>
      <c r="F41" s="7">
        <v>40.200000000000003</v>
      </c>
      <c r="G41" s="6">
        <v>77479</v>
      </c>
      <c r="H41" s="6">
        <v>46328</v>
      </c>
      <c r="I41" s="6">
        <v>31151</v>
      </c>
      <c r="J41" t="s">
        <v>200</v>
      </c>
    </row>
    <row r="42" spans="1:10" x14ac:dyDescent="0.35">
      <c r="A42">
        <v>41</v>
      </c>
      <c r="B42" t="s">
        <v>352</v>
      </c>
      <c r="C42" t="s">
        <v>353</v>
      </c>
      <c r="D42" s="7">
        <v>59.8</v>
      </c>
      <c r="E42">
        <v>59.781468215203162</v>
      </c>
      <c r="F42" s="7">
        <v>40.200000000000003</v>
      </c>
      <c r="G42" s="6">
        <v>27639</v>
      </c>
      <c r="H42" s="6">
        <v>16523</v>
      </c>
      <c r="I42" s="6">
        <v>11116</v>
      </c>
      <c r="J42" t="s">
        <v>200</v>
      </c>
    </row>
    <row r="43" spans="1:10" x14ac:dyDescent="0.35">
      <c r="A43">
        <v>42</v>
      </c>
      <c r="B43" t="s">
        <v>354</v>
      </c>
      <c r="C43" t="s">
        <v>355</v>
      </c>
      <c r="D43" s="7">
        <v>59.7</v>
      </c>
      <c r="E43">
        <v>59.723264016342434</v>
      </c>
      <c r="F43" s="7">
        <v>40.299999999999997</v>
      </c>
      <c r="G43" s="6">
        <v>62659</v>
      </c>
      <c r="H43" s="6">
        <v>37422</v>
      </c>
      <c r="I43" s="6">
        <v>25237</v>
      </c>
      <c r="J43" t="s">
        <v>200</v>
      </c>
    </row>
    <row r="44" spans="1:10" x14ac:dyDescent="0.35">
      <c r="A44">
        <v>43</v>
      </c>
      <c r="B44" t="s">
        <v>356</v>
      </c>
      <c r="C44" t="s">
        <v>357</v>
      </c>
      <c r="D44" s="7">
        <v>59.7</v>
      </c>
      <c r="E44">
        <v>59.67194961589037</v>
      </c>
      <c r="F44" s="7">
        <v>40.299999999999997</v>
      </c>
      <c r="G44" s="6">
        <v>43347</v>
      </c>
      <c r="H44" s="6">
        <v>25866</v>
      </c>
      <c r="I44" s="6">
        <v>17481</v>
      </c>
      <c r="J44" t="s">
        <v>200</v>
      </c>
    </row>
    <row r="45" spans="1:10" x14ac:dyDescent="0.35">
      <c r="A45">
        <v>44</v>
      </c>
      <c r="B45" t="s">
        <v>358</v>
      </c>
      <c r="C45" t="s">
        <v>359</v>
      </c>
      <c r="D45" s="7">
        <v>59.6</v>
      </c>
      <c r="E45">
        <v>59.626186708860757</v>
      </c>
      <c r="F45" s="7">
        <v>40.4</v>
      </c>
      <c r="G45" s="6">
        <v>101120</v>
      </c>
      <c r="H45" s="6">
        <v>60294</v>
      </c>
      <c r="I45" s="6">
        <v>40826</v>
      </c>
      <c r="J45" t="s">
        <v>200</v>
      </c>
    </row>
    <row r="46" spans="1:10" x14ac:dyDescent="0.35">
      <c r="A46">
        <v>45</v>
      </c>
      <c r="B46" t="s">
        <v>360</v>
      </c>
      <c r="C46" t="s">
        <v>361</v>
      </c>
      <c r="D46" s="7">
        <v>59.4</v>
      </c>
      <c r="E46">
        <v>59.371074198887307</v>
      </c>
      <c r="F46" s="7">
        <v>40.6</v>
      </c>
      <c r="G46" s="6">
        <v>50149</v>
      </c>
      <c r="H46" s="6">
        <v>29774</v>
      </c>
      <c r="I46" s="6">
        <v>20375</v>
      </c>
      <c r="J46" t="s">
        <v>200</v>
      </c>
    </row>
    <row r="47" spans="1:10" x14ac:dyDescent="0.35">
      <c r="A47">
        <v>46</v>
      </c>
      <c r="B47" t="s">
        <v>362</v>
      </c>
      <c r="C47" t="s">
        <v>363</v>
      </c>
      <c r="D47" s="7">
        <v>59.1</v>
      </c>
      <c r="E47">
        <v>59.122585572302903</v>
      </c>
      <c r="F47" s="7">
        <v>40.9</v>
      </c>
      <c r="G47" s="6">
        <v>94277</v>
      </c>
      <c r="H47" s="6">
        <v>55739</v>
      </c>
      <c r="I47" s="6">
        <v>38538</v>
      </c>
      <c r="J47" t="s">
        <v>200</v>
      </c>
    </row>
    <row r="48" spans="1:10" x14ac:dyDescent="0.35">
      <c r="A48">
        <v>47</v>
      </c>
      <c r="B48" t="s">
        <v>364</v>
      </c>
      <c r="C48" t="s">
        <v>365</v>
      </c>
      <c r="D48" s="7">
        <v>59</v>
      </c>
      <c r="E48">
        <v>58.962572387841099</v>
      </c>
      <c r="F48" s="7">
        <v>41</v>
      </c>
      <c r="G48" s="6">
        <v>44379</v>
      </c>
      <c r="H48" s="6">
        <v>26167</v>
      </c>
      <c r="I48" s="6">
        <v>18212</v>
      </c>
      <c r="J48" t="s">
        <v>200</v>
      </c>
    </row>
    <row r="49" spans="1:10" x14ac:dyDescent="0.35">
      <c r="A49">
        <v>48</v>
      </c>
      <c r="B49" t="s">
        <v>366</v>
      </c>
      <c r="C49" t="s">
        <v>367</v>
      </c>
      <c r="D49" s="7">
        <v>59</v>
      </c>
      <c r="E49">
        <v>58.953540820929177</v>
      </c>
      <c r="F49" s="7">
        <v>41</v>
      </c>
      <c r="G49" s="6">
        <v>28821</v>
      </c>
      <c r="H49" s="6">
        <v>16991</v>
      </c>
      <c r="I49" s="6">
        <v>11830</v>
      </c>
      <c r="J49" t="s">
        <v>200</v>
      </c>
    </row>
    <row r="50" spans="1:10" x14ac:dyDescent="0.35">
      <c r="A50">
        <v>49</v>
      </c>
      <c r="B50" t="s">
        <v>368</v>
      </c>
      <c r="C50" t="s">
        <v>369</v>
      </c>
      <c r="D50" s="7">
        <v>58.9</v>
      </c>
      <c r="E50">
        <v>58.868714494331748</v>
      </c>
      <c r="F50" s="7">
        <v>41.1</v>
      </c>
      <c r="G50" s="6">
        <v>118467</v>
      </c>
      <c r="H50" s="6">
        <v>69740</v>
      </c>
      <c r="I50" s="6">
        <v>48727</v>
      </c>
      <c r="J50" t="s">
        <v>200</v>
      </c>
    </row>
    <row r="51" spans="1:10" x14ac:dyDescent="0.35">
      <c r="A51">
        <v>50</v>
      </c>
      <c r="B51" t="s">
        <v>370</v>
      </c>
      <c r="C51" t="s">
        <v>371</v>
      </c>
      <c r="D51" s="7">
        <v>58.8</v>
      </c>
      <c r="E51">
        <v>58.836188094337977</v>
      </c>
      <c r="F51" s="7">
        <v>41.2</v>
      </c>
      <c r="G51" s="6">
        <v>34387</v>
      </c>
      <c r="H51" s="6">
        <v>20232</v>
      </c>
      <c r="I51" s="6">
        <v>14155</v>
      </c>
      <c r="J51" t="s">
        <v>200</v>
      </c>
    </row>
    <row r="52" spans="1:10" x14ac:dyDescent="0.35">
      <c r="A52">
        <v>51</v>
      </c>
      <c r="B52" t="s">
        <v>372</v>
      </c>
      <c r="C52" t="s">
        <v>373</v>
      </c>
      <c r="D52" s="7">
        <v>58.6</v>
      </c>
      <c r="E52">
        <v>58.610372340425528</v>
      </c>
      <c r="F52" s="7">
        <v>41.4</v>
      </c>
      <c r="G52" s="6">
        <v>138368</v>
      </c>
      <c r="H52" s="6">
        <v>81098</v>
      </c>
      <c r="I52" s="6">
        <v>57270</v>
      </c>
      <c r="J52" t="s">
        <v>200</v>
      </c>
    </row>
    <row r="53" spans="1:10" x14ac:dyDescent="0.35">
      <c r="A53">
        <v>52</v>
      </c>
      <c r="B53" t="s">
        <v>374</v>
      </c>
      <c r="C53" t="s">
        <v>375</v>
      </c>
      <c r="D53" s="7">
        <v>58.6</v>
      </c>
      <c r="E53">
        <v>58.578365770657292</v>
      </c>
      <c r="F53" s="7">
        <v>41.4</v>
      </c>
      <c r="G53" s="6">
        <v>78459</v>
      </c>
      <c r="H53" s="6">
        <v>45960</v>
      </c>
      <c r="I53" s="6">
        <v>32499</v>
      </c>
      <c r="J53" t="s">
        <v>200</v>
      </c>
    </row>
    <row r="54" spans="1:10" x14ac:dyDescent="0.35">
      <c r="A54">
        <v>53</v>
      </c>
      <c r="B54" t="s">
        <v>376</v>
      </c>
      <c r="C54" t="s">
        <v>377</v>
      </c>
      <c r="D54" s="7">
        <v>58.5</v>
      </c>
      <c r="E54">
        <v>58.499661068012351</v>
      </c>
      <c r="F54" s="7">
        <v>41.5</v>
      </c>
      <c r="G54" s="6">
        <v>79662</v>
      </c>
      <c r="H54" s="6">
        <v>46602</v>
      </c>
      <c r="I54" s="6">
        <v>33060</v>
      </c>
      <c r="J54" t="s">
        <v>200</v>
      </c>
    </row>
    <row r="55" spans="1:10" x14ac:dyDescent="0.35">
      <c r="A55">
        <v>54</v>
      </c>
      <c r="B55" t="s">
        <v>378</v>
      </c>
      <c r="C55" t="s">
        <v>379</v>
      </c>
      <c r="D55" s="7">
        <v>58.2</v>
      </c>
      <c r="E55">
        <v>58.230762419197731</v>
      </c>
      <c r="F55" s="7">
        <v>41.8</v>
      </c>
      <c r="G55" s="6">
        <v>135516</v>
      </c>
      <c r="H55" s="6">
        <v>78912</v>
      </c>
      <c r="I55" s="6">
        <v>56604</v>
      </c>
      <c r="J55" t="s">
        <v>200</v>
      </c>
    </row>
    <row r="56" spans="1:10" x14ac:dyDescent="0.35">
      <c r="A56">
        <v>55</v>
      </c>
      <c r="B56" t="s">
        <v>380</v>
      </c>
      <c r="C56" t="s">
        <v>381</v>
      </c>
      <c r="D56" s="7">
        <v>58.2</v>
      </c>
      <c r="E56">
        <v>58.168456755228952</v>
      </c>
      <c r="F56" s="7">
        <v>41.8</v>
      </c>
      <c r="G56" s="6">
        <v>22997</v>
      </c>
      <c r="H56" s="6">
        <v>13377</v>
      </c>
      <c r="I56" s="6">
        <v>9620</v>
      </c>
      <c r="J56" t="s">
        <v>200</v>
      </c>
    </row>
    <row r="57" spans="1:10" x14ac:dyDescent="0.35">
      <c r="A57">
        <v>56</v>
      </c>
      <c r="B57" t="s">
        <v>382</v>
      </c>
      <c r="C57" t="s">
        <v>383</v>
      </c>
      <c r="D57" s="7">
        <v>58.2</v>
      </c>
      <c r="E57">
        <v>58.154012721613213</v>
      </c>
      <c r="F57" s="7">
        <v>41.8</v>
      </c>
      <c r="G57" s="6">
        <v>36945</v>
      </c>
      <c r="H57" s="6">
        <v>21485</v>
      </c>
      <c r="I57" s="6">
        <v>15460</v>
      </c>
      <c r="J57" t="s">
        <v>200</v>
      </c>
    </row>
    <row r="58" spans="1:10" x14ac:dyDescent="0.35">
      <c r="A58">
        <v>57</v>
      </c>
      <c r="B58" t="s">
        <v>384</v>
      </c>
      <c r="C58" t="s">
        <v>385</v>
      </c>
      <c r="D58" s="7">
        <v>58.1</v>
      </c>
      <c r="E58">
        <v>58.072105556587992</v>
      </c>
      <c r="F58" s="7">
        <v>41.9</v>
      </c>
      <c r="G58" s="6">
        <v>269050</v>
      </c>
      <c r="H58" s="6">
        <v>156243</v>
      </c>
      <c r="I58" s="6">
        <v>112807</v>
      </c>
      <c r="J58" t="s">
        <v>200</v>
      </c>
    </row>
    <row r="59" spans="1:10" x14ac:dyDescent="0.35">
      <c r="A59">
        <v>58</v>
      </c>
      <c r="B59" t="s">
        <v>386</v>
      </c>
      <c r="C59" t="s">
        <v>387</v>
      </c>
      <c r="D59" s="7">
        <v>58.1</v>
      </c>
      <c r="E59">
        <v>58.060454325193462</v>
      </c>
      <c r="F59" s="7">
        <v>41.9</v>
      </c>
      <c r="G59" s="6">
        <v>272404</v>
      </c>
      <c r="H59" s="6">
        <v>158159</v>
      </c>
      <c r="I59" s="6">
        <v>114245</v>
      </c>
      <c r="J59" t="s">
        <v>200</v>
      </c>
    </row>
    <row r="60" spans="1:10" x14ac:dyDescent="0.35">
      <c r="A60">
        <v>59</v>
      </c>
      <c r="B60" t="s">
        <v>388</v>
      </c>
      <c r="C60" t="s">
        <v>389</v>
      </c>
      <c r="D60" s="7">
        <v>58.1</v>
      </c>
      <c r="E60">
        <v>58.056005276728428</v>
      </c>
      <c r="F60" s="7">
        <v>41.9</v>
      </c>
      <c r="G60" s="6">
        <v>33354</v>
      </c>
      <c r="H60" s="6">
        <v>19364</v>
      </c>
      <c r="I60" s="6">
        <v>13990</v>
      </c>
      <c r="J60" t="s">
        <v>200</v>
      </c>
    </row>
    <row r="61" spans="1:10" x14ac:dyDescent="0.35">
      <c r="A61">
        <v>60</v>
      </c>
      <c r="B61" t="s">
        <v>390</v>
      </c>
      <c r="C61" t="s">
        <v>391</v>
      </c>
      <c r="D61" s="7">
        <v>58</v>
      </c>
      <c r="E61">
        <v>58.025375268048613</v>
      </c>
      <c r="F61" s="7">
        <v>42</v>
      </c>
      <c r="G61" s="6">
        <v>55960</v>
      </c>
      <c r="H61" s="6">
        <v>32471</v>
      </c>
      <c r="I61" s="6">
        <v>23489</v>
      </c>
      <c r="J61" t="s">
        <v>200</v>
      </c>
    </row>
    <row r="62" spans="1:10" x14ac:dyDescent="0.35">
      <c r="A62">
        <v>61</v>
      </c>
      <c r="B62" t="s">
        <v>392</v>
      </c>
      <c r="C62" t="s">
        <v>393</v>
      </c>
      <c r="D62" s="7">
        <v>58</v>
      </c>
      <c r="E62">
        <v>57.978123313876488</v>
      </c>
      <c r="F62" s="7">
        <v>42</v>
      </c>
      <c r="G62" s="6">
        <v>20387</v>
      </c>
      <c r="H62" s="6">
        <v>11820</v>
      </c>
      <c r="I62" s="6">
        <v>8567</v>
      </c>
      <c r="J62" t="s">
        <v>200</v>
      </c>
    </row>
    <row r="63" spans="1:10" x14ac:dyDescent="0.35">
      <c r="A63">
        <v>62</v>
      </c>
      <c r="B63" t="s">
        <v>394</v>
      </c>
      <c r="C63" t="s">
        <v>395</v>
      </c>
      <c r="D63" s="7">
        <v>58</v>
      </c>
      <c r="E63">
        <v>57.969230769230769</v>
      </c>
      <c r="F63" s="7">
        <v>42</v>
      </c>
      <c r="G63" s="6">
        <v>26000</v>
      </c>
      <c r="H63" s="6">
        <v>15072</v>
      </c>
      <c r="I63" s="6">
        <v>10928</v>
      </c>
      <c r="J63" t="s">
        <v>200</v>
      </c>
    </row>
    <row r="64" spans="1:10" x14ac:dyDescent="0.35">
      <c r="A64">
        <v>63</v>
      </c>
      <c r="B64" t="s">
        <v>396</v>
      </c>
      <c r="C64" t="s">
        <v>397</v>
      </c>
      <c r="D64" s="7">
        <v>57.8</v>
      </c>
      <c r="E64">
        <v>57.7762636586166</v>
      </c>
      <c r="F64" s="7">
        <v>42.2</v>
      </c>
      <c r="G64" s="6">
        <v>39627</v>
      </c>
      <c r="H64" s="6">
        <v>22895</v>
      </c>
      <c r="I64" s="6">
        <v>16732</v>
      </c>
      <c r="J64" t="s">
        <v>200</v>
      </c>
    </row>
    <row r="65" spans="1:10" x14ac:dyDescent="0.35">
      <c r="A65">
        <v>64</v>
      </c>
      <c r="B65" t="s">
        <v>398</v>
      </c>
      <c r="C65" t="s">
        <v>399</v>
      </c>
      <c r="D65" s="7">
        <v>57.8</v>
      </c>
      <c r="E65">
        <v>57.756813417190777</v>
      </c>
      <c r="F65" s="7">
        <v>42.2</v>
      </c>
      <c r="G65" s="6">
        <v>39114</v>
      </c>
      <c r="H65" s="6">
        <v>22591</v>
      </c>
      <c r="I65" s="6">
        <v>16523</v>
      </c>
      <c r="J65" t="s">
        <v>200</v>
      </c>
    </row>
    <row r="66" spans="1:10" x14ac:dyDescent="0.35">
      <c r="A66">
        <v>65</v>
      </c>
      <c r="B66" t="s">
        <v>400</v>
      </c>
      <c r="C66" t="s">
        <v>401</v>
      </c>
      <c r="D66" s="7">
        <v>57.7</v>
      </c>
      <c r="E66">
        <v>57.711310493901287</v>
      </c>
      <c r="F66" s="7">
        <v>42.3</v>
      </c>
      <c r="G66" s="6">
        <v>116582</v>
      </c>
      <c r="H66" s="6">
        <v>67281</v>
      </c>
      <c r="I66" s="6">
        <v>49301</v>
      </c>
      <c r="J66" t="s">
        <v>200</v>
      </c>
    </row>
    <row r="67" spans="1:10" x14ac:dyDescent="0.35">
      <c r="A67">
        <v>66</v>
      </c>
      <c r="B67" t="s">
        <v>402</v>
      </c>
      <c r="C67" t="s">
        <v>403</v>
      </c>
      <c r="D67" s="7">
        <v>57.7</v>
      </c>
      <c r="E67">
        <v>57.666957833717142</v>
      </c>
      <c r="F67" s="7">
        <v>42.3</v>
      </c>
      <c r="G67" s="6">
        <v>50372</v>
      </c>
      <c r="H67" s="6">
        <v>29048</v>
      </c>
      <c r="I67" s="6">
        <v>21324</v>
      </c>
      <c r="J67" t="s">
        <v>200</v>
      </c>
    </row>
    <row r="68" spans="1:10" x14ac:dyDescent="0.35">
      <c r="A68">
        <v>67</v>
      </c>
      <c r="B68" t="s">
        <v>404</v>
      </c>
      <c r="C68" t="s">
        <v>405</v>
      </c>
      <c r="D68" s="7">
        <v>57.6</v>
      </c>
      <c r="E68">
        <v>57.646546963637277</v>
      </c>
      <c r="F68" s="7">
        <v>42.4</v>
      </c>
      <c r="G68" s="6">
        <v>59759</v>
      </c>
      <c r="H68" s="6">
        <v>34449</v>
      </c>
      <c r="I68" s="6">
        <v>25310</v>
      </c>
      <c r="J68" t="s">
        <v>200</v>
      </c>
    </row>
    <row r="69" spans="1:10" x14ac:dyDescent="0.35">
      <c r="A69">
        <v>68</v>
      </c>
      <c r="B69" t="s">
        <v>406</v>
      </c>
      <c r="C69" t="s">
        <v>407</v>
      </c>
      <c r="D69" s="7">
        <v>57.6</v>
      </c>
      <c r="E69">
        <v>57.64579414135985</v>
      </c>
      <c r="F69" s="7">
        <v>42.4</v>
      </c>
      <c r="G69" s="6">
        <v>33489</v>
      </c>
      <c r="H69" s="6">
        <v>19305</v>
      </c>
      <c r="I69" s="6">
        <v>14184</v>
      </c>
      <c r="J69" t="s">
        <v>200</v>
      </c>
    </row>
    <row r="70" spans="1:10" x14ac:dyDescent="0.35">
      <c r="A70">
        <v>69</v>
      </c>
      <c r="B70" t="s">
        <v>408</v>
      </c>
      <c r="C70" t="s">
        <v>409</v>
      </c>
      <c r="D70" s="7">
        <v>57.6</v>
      </c>
      <c r="E70">
        <v>57.562690683498829</v>
      </c>
      <c r="F70" s="7">
        <v>42.4</v>
      </c>
      <c r="G70" s="6">
        <v>157001</v>
      </c>
      <c r="H70" s="6">
        <v>90374</v>
      </c>
      <c r="I70" s="6">
        <v>66627</v>
      </c>
      <c r="J70" t="s">
        <v>200</v>
      </c>
    </row>
    <row r="71" spans="1:10" x14ac:dyDescent="0.35">
      <c r="A71">
        <v>70</v>
      </c>
      <c r="B71" t="s">
        <v>410</v>
      </c>
      <c r="C71" t="s">
        <v>411</v>
      </c>
      <c r="D71" s="7">
        <v>57.5</v>
      </c>
      <c r="E71">
        <v>57.534851447675521</v>
      </c>
      <c r="F71" s="7">
        <v>42.5</v>
      </c>
      <c r="G71" s="6">
        <v>47559</v>
      </c>
      <c r="H71" s="6">
        <v>27363</v>
      </c>
      <c r="I71" s="6">
        <v>20196</v>
      </c>
      <c r="J71" t="s">
        <v>200</v>
      </c>
    </row>
    <row r="72" spans="1:10" x14ac:dyDescent="0.35">
      <c r="A72">
        <v>71</v>
      </c>
      <c r="B72" t="s">
        <v>412</v>
      </c>
      <c r="C72" t="s">
        <v>413</v>
      </c>
      <c r="D72" s="7">
        <v>57.5</v>
      </c>
      <c r="E72">
        <v>57.514333375387253</v>
      </c>
      <c r="F72" s="7">
        <v>42.5</v>
      </c>
      <c r="G72" s="6">
        <v>71337</v>
      </c>
      <c r="H72" s="6">
        <v>41029</v>
      </c>
      <c r="I72" s="6">
        <v>30308</v>
      </c>
      <c r="J72" t="s">
        <v>200</v>
      </c>
    </row>
    <row r="73" spans="1:10" x14ac:dyDescent="0.35">
      <c r="A73">
        <v>72</v>
      </c>
      <c r="B73" t="s">
        <v>414</v>
      </c>
      <c r="C73" t="s">
        <v>415</v>
      </c>
      <c r="D73" s="7">
        <v>57.4</v>
      </c>
      <c r="E73">
        <v>57.381083519857498</v>
      </c>
      <c r="F73" s="7">
        <v>42.6</v>
      </c>
      <c r="G73" s="6">
        <v>85333</v>
      </c>
      <c r="H73" s="6">
        <v>48965</v>
      </c>
      <c r="I73" s="6">
        <v>36368</v>
      </c>
      <c r="J73" t="s">
        <v>200</v>
      </c>
    </row>
    <row r="74" spans="1:10" x14ac:dyDescent="0.35">
      <c r="A74">
        <v>73</v>
      </c>
      <c r="B74" t="s">
        <v>416</v>
      </c>
      <c r="C74" t="s">
        <v>417</v>
      </c>
      <c r="D74" s="7">
        <v>57.3</v>
      </c>
      <c r="E74">
        <v>57.265472824379508</v>
      </c>
      <c r="F74" s="7">
        <v>42.7</v>
      </c>
      <c r="G74" s="6">
        <v>79575</v>
      </c>
      <c r="H74" s="6">
        <v>45569</v>
      </c>
      <c r="I74" s="6">
        <v>34006</v>
      </c>
      <c r="J74" t="s">
        <v>200</v>
      </c>
    </row>
    <row r="75" spans="1:10" x14ac:dyDescent="0.35">
      <c r="A75">
        <v>74</v>
      </c>
      <c r="B75" t="s">
        <v>418</v>
      </c>
      <c r="C75" t="s">
        <v>419</v>
      </c>
      <c r="D75" s="7">
        <v>57.2</v>
      </c>
      <c r="E75">
        <v>57.203191986077513</v>
      </c>
      <c r="F75" s="7">
        <v>42.8</v>
      </c>
      <c r="G75" s="6">
        <v>47118</v>
      </c>
      <c r="H75" s="6">
        <v>26953</v>
      </c>
      <c r="I75" s="6">
        <v>20165</v>
      </c>
      <c r="J75" t="s">
        <v>200</v>
      </c>
    </row>
    <row r="76" spans="1:10" x14ac:dyDescent="0.35">
      <c r="A76">
        <v>75</v>
      </c>
      <c r="B76" t="s">
        <v>420</v>
      </c>
      <c r="C76" t="s">
        <v>421</v>
      </c>
      <c r="D76" s="7">
        <v>57.1</v>
      </c>
      <c r="E76">
        <v>57.055820846369173</v>
      </c>
      <c r="F76" s="7">
        <v>42.9</v>
      </c>
      <c r="G76" s="6">
        <v>54657</v>
      </c>
      <c r="H76" s="6">
        <v>31185</v>
      </c>
      <c r="I76" s="6">
        <v>23472</v>
      </c>
      <c r="J76" t="s">
        <v>200</v>
      </c>
    </row>
    <row r="77" spans="1:10" x14ac:dyDescent="0.35">
      <c r="A77">
        <v>76</v>
      </c>
      <c r="B77" t="s">
        <v>422</v>
      </c>
      <c r="C77" t="s">
        <v>423</v>
      </c>
      <c r="D77" s="7">
        <v>56.9</v>
      </c>
      <c r="E77">
        <v>56.940931827123023</v>
      </c>
      <c r="F77" s="7">
        <v>43.1</v>
      </c>
      <c r="G77" s="6">
        <v>35586</v>
      </c>
      <c r="H77" s="6">
        <v>20263</v>
      </c>
      <c r="I77" s="6">
        <v>15323</v>
      </c>
      <c r="J77" t="s">
        <v>200</v>
      </c>
    </row>
    <row r="78" spans="1:10" x14ac:dyDescent="0.35">
      <c r="A78">
        <v>77</v>
      </c>
      <c r="B78" t="s">
        <v>424</v>
      </c>
      <c r="C78" t="s">
        <v>425</v>
      </c>
      <c r="D78" s="7">
        <v>56.8</v>
      </c>
      <c r="E78">
        <v>56.814230643251278</v>
      </c>
      <c r="F78" s="7">
        <v>43.2</v>
      </c>
      <c r="G78" s="6">
        <v>39689</v>
      </c>
      <c r="H78" s="6">
        <v>22549</v>
      </c>
      <c r="I78" s="6">
        <v>17140</v>
      </c>
      <c r="J78" t="s">
        <v>200</v>
      </c>
    </row>
    <row r="79" spans="1:10" x14ac:dyDescent="0.35">
      <c r="A79">
        <v>78</v>
      </c>
      <c r="B79" t="s">
        <v>426</v>
      </c>
      <c r="C79" t="s">
        <v>427</v>
      </c>
      <c r="D79" s="7">
        <v>56.8</v>
      </c>
      <c r="E79">
        <v>56.807594441182218</v>
      </c>
      <c r="F79" s="7">
        <v>43.2</v>
      </c>
      <c r="G79" s="6">
        <v>51090</v>
      </c>
      <c r="H79" s="6">
        <v>29023</v>
      </c>
      <c r="I79" s="6">
        <v>22067</v>
      </c>
      <c r="J79" t="s">
        <v>200</v>
      </c>
    </row>
    <row r="80" spans="1:10" x14ac:dyDescent="0.35">
      <c r="A80">
        <v>79</v>
      </c>
      <c r="B80" t="s">
        <v>428</v>
      </c>
      <c r="C80" t="s">
        <v>429</v>
      </c>
      <c r="D80" s="7">
        <v>56.7</v>
      </c>
      <c r="E80">
        <v>56.667349213933058</v>
      </c>
      <c r="F80" s="7">
        <v>43.3</v>
      </c>
      <c r="G80" s="6">
        <v>43953</v>
      </c>
      <c r="H80" s="6">
        <v>24907</v>
      </c>
      <c r="I80" s="6">
        <v>19046</v>
      </c>
      <c r="J80" t="s">
        <v>200</v>
      </c>
    </row>
    <row r="81" spans="1:10" x14ac:dyDescent="0.35">
      <c r="A81">
        <v>80</v>
      </c>
      <c r="B81" t="s">
        <v>430</v>
      </c>
      <c r="C81" t="s">
        <v>431</v>
      </c>
      <c r="D81" s="7">
        <v>56.6</v>
      </c>
      <c r="E81">
        <v>56.644780373593932</v>
      </c>
      <c r="F81" s="7">
        <v>43.4</v>
      </c>
      <c r="G81" s="6">
        <v>39294</v>
      </c>
      <c r="H81" s="6">
        <v>22258</v>
      </c>
      <c r="I81" s="6">
        <v>17036</v>
      </c>
      <c r="J81" t="s">
        <v>200</v>
      </c>
    </row>
    <row r="82" spans="1:10" x14ac:dyDescent="0.35">
      <c r="A82">
        <v>81</v>
      </c>
      <c r="B82" t="s">
        <v>432</v>
      </c>
      <c r="C82" t="s">
        <v>433</v>
      </c>
      <c r="D82" s="7">
        <v>56.6</v>
      </c>
      <c r="E82">
        <v>56.614276117144193</v>
      </c>
      <c r="F82" s="7">
        <v>43.4</v>
      </c>
      <c r="G82" s="6">
        <v>135457</v>
      </c>
      <c r="H82" s="6">
        <v>76688</v>
      </c>
      <c r="I82" s="6">
        <v>58769</v>
      </c>
      <c r="J82" t="s">
        <v>200</v>
      </c>
    </row>
    <row r="83" spans="1:10" x14ac:dyDescent="0.35">
      <c r="A83">
        <v>82</v>
      </c>
      <c r="B83" t="s">
        <v>434</v>
      </c>
      <c r="C83" t="s">
        <v>435</v>
      </c>
      <c r="D83" s="7">
        <v>56.4</v>
      </c>
      <c r="E83">
        <v>56.358076760860399</v>
      </c>
      <c r="F83" s="7">
        <v>43.6</v>
      </c>
      <c r="G83" s="6">
        <v>85356</v>
      </c>
      <c r="H83" s="6">
        <v>48105</v>
      </c>
      <c r="I83" s="6">
        <v>37251</v>
      </c>
      <c r="J83" t="s">
        <v>200</v>
      </c>
    </row>
    <row r="84" spans="1:10" x14ac:dyDescent="0.35">
      <c r="A84">
        <v>83</v>
      </c>
      <c r="B84" t="s">
        <v>436</v>
      </c>
      <c r="C84" t="s">
        <v>437</v>
      </c>
      <c r="D84" s="7">
        <v>56.3</v>
      </c>
      <c r="E84">
        <v>56.259743204557687</v>
      </c>
      <c r="F84" s="7">
        <v>43.7</v>
      </c>
      <c r="G84" s="6">
        <v>35281</v>
      </c>
      <c r="H84" s="6">
        <v>19849</v>
      </c>
      <c r="I84" s="6">
        <v>15432</v>
      </c>
      <c r="J84" t="s">
        <v>200</v>
      </c>
    </row>
    <row r="85" spans="1:10" x14ac:dyDescent="0.35">
      <c r="A85">
        <v>84</v>
      </c>
      <c r="B85" t="s">
        <v>438</v>
      </c>
      <c r="C85" t="s">
        <v>439</v>
      </c>
      <c r="D85" s="7">
        <v>56.1</v>
      </c>
      <c r="E85">
        <v>56.14099647620322</v>
      </c>
      <c r="F85" s="7">
        <v>43.9</v>
      </c>
      <c r="G85" s="6">
        <v>89676</v>
      </c>
      <c r="H85" s="6">
        <v>50345</v>
      </c>
      <c r="I85" s="6">
        <v>39331</v>
      </c>
      <c r="J85" t="s">
        <v>200</v>
      </c>
    </row>
    <row r="86" spans="1:10" x14ac:dyDescent="0.35">
      <c r="A86">
        <v>85</v>
      </c>
      <c r="B86" t="s">
        <v>440</v>
      </c>
      <c r="C86" t="s">
        <v>441</v>
      </c>
      <c r="D86" s="7">
        <v>56.1</v>
      </c>
      <c r="E86">
        <v>56.097621407334003</v>
      </c>
      <c r="F86" s="7">
        <v>43.9</v>
      </c>
      <c r="G86" s="6">
        <v>40360</v>
      </c>
      <c r="H86" s="6">
        <v>22641</v>
      </c>
      <c r="I86" s="6">
        <v>17719</v>
      </c>
      <c r="J86" t="s">
        <v>200</v>
      </c>
    </row>
    <row r="87" spans="1:10" x14ac:dyDescent="0.35">
      <c r="A87">
        <v>86</v>
      </c>
      <c r="B87" t="s">
        <v>442</v>
      </c>
      <c r="C87" t="s">
        <v>443</v>
      </c>
      <c r="D87" s="7">
        <v>56.1</v>
      </c>
      <c r="E87">
        <v>56.084319671329347</v>
      </c>
      <c r="F87" s="7">
        <v>43.9</v>
      </c>
      <c r="G87" s="6">
        <v>61338</v>
      </c>
      <c r="H87" s="6">
        <v>34401</v>
      </c>
      <c r="I87" s="6">
        <v>26937</v>
      </c>
      <c r="J87" t="s">
        <v>200</v>
      </c>
    </row>
    <row r="88" spans="1:10" x14ac:dyDescent="0.35">
      <c r="A88">
        <v>87</v>
      </c>
      <c r="B88" t="s">
        <v>444</v>
      </c>
      <c r="C88" t="s">
        <v>445</v>
      </c>
      <c r="D88" s="7">
        <v>56.1</v>
      </c>
      <c r="E88">
        <v>56.070263233528877</v>
      </c>
      <c r="F88" s="7">
        <v>43.9</v>
      </c>
      <c r="G88" s="6">
        <v>59149</v>
      </c>
      <c r="H88" s="6">
        <v>33165</v>
      </c>
      <c r="I88" s="6">
        <v>25984</v>
      </c>
      <c r="J88" t="s">
        <v>200</v>
      </c>
    </row>
    <row r="89" spans="1:10" x14ac:dyDescent="0.35">
      <c r="A89">
        <v>88</v>
      </c>
      <c r="B89" t="s">
        <v>446</v>
      </c>
      <c r="C89" t="s">
        <v>447</v>
      </c>
      <c r="D89" s="7">
        <v>56.1</v>
      </c>
      <c r="E89">
        <v>56.062690024612706</v>
      </c>
      <c r="F89" s="7">
        <v>43.9</v>
      </c>
      <c r="G89" s="6">
        <v>27628</v>
      </c>
      <c r="H89" s="6">
        <v>15489</v>
      </c>
      <c r="I89" s="6">
        <v>12139</v>
      </c>
      <c r="J89" t="s">
        <v>200</v>
      </c>
    </row>
    <row r="90" spans="1:10" x14ac:dyDescent="0.35">
      <c r="A90">
        <v>89</v>
      </c>
      <c r="B90" t="s">
        <v>448</v>
      </c>
      <c r="C90" t="s">
        <v>449</v>
      </c>
      <c r="D90" s="7">
        <v>56</v>
      </c>
      <c r="E90">
        <v>56.000785057734447</v>
      </c>
      <c r="F90" s="7">
        <v>44</v>
      </c>
      <c r="G90" s="6">
        <v>30571</v>
      </c>
      <c r="H90" s="6">
        <v>17120</v>
      </c>
      <c r="I90" s="6">
        <v>13451</v>
      </c>
      <c r="J90" t="s">
        <v>200</v>
      </c>
    </row>
    <row r="91" spans="1:10" x14ac:dyDescent="0.35">
      <c r="A91">
        <v>90</v>
      </c>
      <c r="B91" t="s">
        <v>450</v>
      </c>
      <c r="C91" t="s">
        <v>451</v>
      </c>
      <c r="D91" s="7">
        <v>56</v>
      </c>
      <c r="E91">
        <v>55.966322417535238</v>
      </c>
      <c r="F91" s="7">
        <v>44</v>
      </c>
      <c r="G91" s="6">
        <v>41927</v>
      </c>
      <c r="H91" s="6">
        <v>23465</v>
      </c>
      <c r="I91" s="6">
        <v>18462</v>
      </c>
      <c r="J91" t="s">
        <v>200</v>
      </c>
    </row>
    <row r="92" spans="1:10" x14ac:dyDescent="0.35">
      <c r="A92">
        <v>91</v>
      </c>
      <c r="B92" t="s">
        <v>452</v>
      </c>
      <c r="C92" t="s">
        <v>453</v>
      </c>
      <c r="D92" s="7">
        <v>55.9</v>
      </c>
      <c r="E92">
        <v>55.895641539559058</v>
      </c>
      <c r="F92" s="7">
        <v>44.1</v>
      </c>
      <c r="G92" s="6">
        <v>58874</v>
      </c>
      <c r="H92" s="6">
        <v>32908</v>
      </c>
      <c r="I92" s="6">
        <v>25966</v>
      </c>
      <c r="J92" t="s">
        <v>200</v>
      </c>
    </row>
    <row r="93" spans="1:10" x14ac:dyDescent="0.35">
      <c r="A93">
        <v>92</v>
      </c>
      <c r="B93" t="s">
        <v>454</v>
      </c>
      <c r="C93" t="s">
        <v>455</v>
      </c>
      <c r="D93" s="7">
        <v>55.8</v>
      </c>
      <c r="E93">
        <v>55.846139984565433</v>
      </c>
      <c r="F93" s="7">
        <v>44.2</v>
      </c>
      <c r="G93" s="6">
        <v>255271</v>
      </c>
      <c r="H93" s="6">
        <v>142559</v>
      </c>
      <c r="I93" s="6">
        <v>112712</v>
      </c>
      <c r="J93" t="s">
        <v>200</v>
      </c>
    </row>
    <row r="94" spans="1:10" x14ac:dyDescent="0.35">
      <c r="A94">
        <v>93</v>
      </c>
      <c r="B94" t="s">
        <v>456</v>
      </c>
      <c r="C94" t="s">
        <v>457</v>
      </c>
      <c r="D94" s="7">
        <v>55.8</v>
      </c>
      <c r="E94">
        <v>55.79358096476799</v>
      </c>
      <c r="F94" s="7">
        <v>44.2</v>
      </c>
      <c r="G94" s="6">
        <v>156846</v>
      </c>
      <c r="H94" s="6">
        <v>87510</v>
      </c>
      <c r="I94" s="6">
        <v>69336</v>
      </c>
      <c r="J94" t="s">
        <v>200</v>
      </c>
    </row>
    <row r="95" spans="1:10" x14ac:dyDescent="0.35">
      <c r="A95">
        <v>94</v>
      </c>
      <c r="B95" t="s">
        <v>458</v>
      </c>
      <c r="C95" t="s">
        <v>459</v>
      </c>
      <c r="D95" s="7">
        <v>55.8</v>
      </c>
      <c r="E95">
        <v>55.755787853524019</v>
      </c>
      <c r="F95" s="7">
        <v>44.2</v>
      </c>
      <c r="G95" s="6">
        <v>31186</v>
      </c>
      <c r="H95" s="6">
        <v>17388</v>
      </c>
      <c r="I95" s="6">
        <v>13798</v>
      </c>
      <c r="J95" t="s">
        <v>200</v>
      </c>
    </row>
    <row r="96" spans="1:10" x14ac:dyDescent="0.35">
      <c r="A96">
        <v>95</v>
      </c>
      <c r="B96" t="s">
        <v>460</v>
      </c>
      <c r="C96" t="s">
        <v>461</v>
      </c>
      <c r="D96" s="7">
        <v>55.5</v>
      </c>
      <c r="E96">
        <v>55.502232409330752</v>
      </c>
      <c r="F96" s="7">
        <v>44.5</v>
      </c>
      <c r="G96" s="6">
        <v>41883</v>
      </c>
      <c r="H96" s="6">
        <v>23246</v>
      </c>
      <c r="I96" s="6">
        <v>18637</v>
      </c>
      <c r="J96" t="s">
        <v>200</v>
      </c>
    </row>
    <row r="97" spans="1:10" x14ac:dyDescent="0.35">
      <c r="A97">
        <v>96</v>
      </c>
      <c r="B97" t="s">
        <v>462</v>
      </c>
      <c r="C97" t="s">
        <v>463</v>
      </c>
      <c r="D97" s="7">
        <v>55.2</v>
      </c>
      <c r="E97">
        <v>55.242628113369598</v>
      </c>
      <c r="F97" s="7">
        <v>44.8</v>
      </c>
      <c r="G97" s="6">
        <v>27944</v>
      </c>
      <c r="H97" s="6">
        <v>15437</v>
      </c>
      <c r="I97" s="6">
        <v>12507</v>
      </c>
      <c r="J97" t="s">
        <v>200</v>
      </c>
    </row>
    <row r="98" spans="1:10" x14ac:dyDescent="0.35">
      <c r="A98">
        <v>97</v>
      </c>
      <c r="B98" t="s">
        <v>464</v>
      </c>
      <c r="C98" t="s">
        <v>465</v>
      </c>
      <c r="D98" s="7">
        <v>55.1</v>
      </c>
      <c r="E98">
        <v>55.142095914742448</v>
      </c>
      <c r="F98" s="7">
        <v>44.9</v>
      </c>
      <c r="G98" s="6">
        <v>22520</v>
      </c>
      <c r="H98" s="6">
        <v>12418</v>
      </c>
      <c r="I98" s="6">
        <v>10102</v>
      </c>
      <c r="J98" t="s">
        <v>200</v>
      </c>
    </row>
    <row r="99" spans="1:10" x14ac:dyDescent="0.35">
      <c r="A99">
        <v>98</v>
      </c>
      <c r="B99" t="s">
        <v>466</v>
      </c>
      <c r="C99" t="s">
        <v>467</v>
      </c>
      <c r="D99" s="7">
        <v>55</v>
      </c>
      <c r="E99">
        <v>54.956565190651908</v>
      </c>
      <c r="F99" s="7">
        <v>45</v>
      </c>
      <c r="G99" s="6">
        <v>52032</v>
      </c>
      <c r="H99" s="6">
        <v>28595</v>
      </c>
      <c r="I99" s="6">
        <v>23437</v>
      </c>
      <c r="J99" t="s">
        <v>200</v>
      </c>
    </row>
    <row r="100" spans="1:10" x14ac:dyDescent="0.35">
      <c r="A100">
        <v>99</v>
      </c>
      <c r="B100" t="s">
        <v>468</v>
      </c>
      <c r="C100" t="s">
        <v>469</v>
      </c>
      <c r="D100" s="7">
        <v>54.9</v>
      </c>
      <c r="E100">
        <v>54.924057034716782</v>
      </c>
      <c r="F100" s="7">
        <v>45.1</v>
      </c>
      <c r="G100" s="6">
        <v>245184</v>
      </c>
      <c r="H100" s="6">
        <v>134665</v>
      </c>
      <c r="I100" s="6">
        <v>110519</v>
      </c>
      <c r="J100" t="s">
        <v>200</v>
      </c>
    </row>
    <row r="101" spans="1:10" x14ac:dyDescent="0.35">
      <c r="A101">
        <v>100</v>
      </c>
      <c r="B101" t="s">
        <v>470</v>
      </c>
      <c r="C101" t="s">
        <v>471</v>
      </c>
      <c r="D101" s="7">
        <v>54.7</v>
      </c>
      <c r="E101">
        <v>54.712668364372718</v>
      </c>
      <c r="F101" s="7">
        <v>45.3</v>
      </c>
      <c r="G101" s="6">
        <v>130372</v>
      </c>
      <c r="H101" s="6">
        <v>71330</v>
      </c>
      <c r="I101" s="6">
        <v>59042</v>
      </c>
      <c r="J101" t="s">
        <v>200</v>
      </c>
    </row>
    <row r="102" spans="1:10" x14ac:dyDescent="0.35">
      <c r="A102">
        <v>101</v>
      </c>
      <c r="B102" t="s">
        <v>472</v>
      </c>
      <c r="C102" t="s">
        <v>473</v>
      </c>
      <c r="D102" s="7">
        <v>54.7</v>
      </c>
      <c r="E102">
        <v>54.701192457016077</v>
      </c>
      <c r="F102" s="7">
        <v>45.3</v>
      </c>
      <c r="G102" s="6">
        <v>144240</v>
      </c>
      <c r="H102" s="6">
        <v>78901</v>
      </c>
      <c r="I102" s="6">
        <v>65339</v>
      </c>
      <c r="J102" t="s">
        <v>200</v>
      </c>
    </row>
    <row r="103" spans="1:10" x14ac:dyDescent="0.35">
      <c r="A103">
        <v>102</v>
      </c>
      <c r="B103" t="s">
        <v>474</v>
      </c>
      <c r="C103" t="s">
        <v>475</v>
      </c>
      <c r="D103" s="7">
        <v>54.7</v>
      </c>
      <c r="E103">
        <v>54.698712536935417</v>
      </c>
      <c r="F103" s="7">
        <v>45.3</v>
      </c>
      <c r="G103" s="6">
        <v>37904</v>
      </c>
      <c r="H103" s="6">
        <v>20733</v>
      </c>
      <c r="I103" s="6">
        <v>17171</v>
      </c>
      <c r="J103" t="s">
        <v>200</v>
      </c>
    </row>
    <row r="104" spans="1:10" x14ac:dyDescent="0.35">
      <c r="A104">
        <v>103</v>
      </c>
      <c r="B104" t="s">
        <v>476</v>
      </c>
      <c r="C104" t="s">
        <v>477</v>
      </c>
      <c r="D104" s="7">
        <v>54.5</v>
      </c>
      <c r="E104">
        <v>54.511850402261359</v>
      </c>
      <c r="F104" s="7">
        <v>45.5</v>
      </c>
      <c r="G104" s="6">
        <v>119574</v>
      </c>
      <c r="H104" s="6">
        <v>65182</v>
      </c>
      <c r="I104" s="6">
        <v>54392</v>
      </c>
      <c r="J104" t="s">
        <v>200</v>
      </c>
    </row>
    <row r="105" spans="1:10" x14ac:dyDescent="0.35">
      <c r="A105">
        <v>104</v>
      </c>
      <c r="B105" t="s">
        <v>478</v>
      </c>
      <c r="C105" t="s">
        <v>479</v>
      </c>
      <c r="D105" s="7">
        <v>54.4</v>
      </c>
      <c r="E105">
        <v>54.377500588373742</v>
      </c>
      <c r="F105" s="7">
        <v>45.6</v>
      </c>
      <c r="G105" s="6">
        <v>33992</v>
      </c>
      <c r="H105" s="6">
        <v>18484</v>
      </c>
      <c r="I105" s="6">
        <v>15508</v>
      </c>
      <c r="J105" t="s">
        <v>200</v>
      </c>
    </row>
    <row r="106" spans="1:10" x14ac:dyDescent="0.35">
      <c r="A106">
        <v>105</v>
      </c>
      <c r="B106" t="s">
        <v>480</v>
      </c>
      <c r="C106" t="s">
        <v>481</v>
      </c>
      <c r="D106" s="7">
        <v>54.4</v>
      </c>
      <c r="E106">
        <v>54.372923773629878</v>
      </c>
      <c r="F106" s="7">
        <v>45.6</v>
      </c>
      <c r="G106" s="6">
        <v>67129</v>
      </c>
      <c r="H106" s="6">
        <v>36500</v>
      </c>
      <c r="I106" s="6">
        <v>30629</v>
      </c>
      <c r="J106" t="s">
        <v>200</v>
      </c>
    </row>
    <row r="107" spans="1:10" x14ac:dyDescent="0.35">
      <c r="A107">
        <v>106</v>
      </c>
      <c r="B107" t="s">
        <v>482</v>
      </c>
      <c r="C107" t="s">
        <v>483</v>
      </c>
      <c r="D107" s="7">
        <v>54.3</v>
      </c>
      <c r="E107">
        <v>54.349612358138543</v>
      </c>
      <c r="F107" s="7">
        <v>45.7</v>
      </c>
      <c r="G107" s="6">
        <v>206892</v>
      </c>
      <c r="H107" s="6">
        <v>112445</v>
      </c>
      <c r="I107" s="6">
        <v>94447</v>
      </c>
      <c r="J107" t="s">
        <v>200</v>
      </c>
    </row>
    <row r="108" spans="1:10" x14ac:dyDescent="0.35">
      <c r="A108">
        <v>107</v>
      </c>
      <c r="B108" t="s">
        <v>484</v>
      </c>
      <c r="C108" t="s">
        <v>485</v>
      </c>
      <c r="D108" s="7">
        <v>54.2</v>
      </c>
      <c r="E108">
        <v>54.243343164541187</v>
      </c>
      <c r="F108" s="7">
        <v>45.8</v>
      </c>
      <c r="G108" s="6">
        <v>48146</v>
      </c>
      <c r="H108" s="6">
        <v>26116</v>
      </c>
      <c r="I108" s="6">
        <v>22030</v>
      </c>
      <c r="J108" t="s">
        <v>200</v>
      </c>
    </row>
    <row r="109" spans="1:10" x14ac:dyDescent="0.35">
      <c r="A109">
        <v>108</v>
      </c>
      <c r="B109" t="s">
        <v>486</v>
      </c>
      <c r="C109" t="s">
        <v>487</v>
      </c>
      <c r="D109" s="7">
        <v>54.2</v>
      </c>
      <c r="E109">
        <v>54.215673603033053</v>
      </c>
      <c r="F109" s="7">
        <v>45.8</v>
      </c>
      <c r="G109" s="6">
        <v>46422</v>
      </c>
      <c r="H109" s="6">
        <v>25168</v>
      </c>
      <c r="I109" s="6">
        <v>21254</v>
      </c>
      <c r="J109" t="s">
        <v>200</v>
      </c>
    </row>
    <row r="110" spans="1:10" x14ac:dyDescent="0.35">
      <c r="A110">
        <v>109</v>
      </c>
      <c r="B110" t="s">
        <v>488</v>
      </c>
      <c r="C110" t="s">
        <v>489</v>
      </c>
      <c r="D110" s="7">
        <v>54</v>
      </c>
      <c r="E110">
        <v>54.011842985745488</v>
      </c>
      <c r="F110" s="7">
        <v>46</v>
      </c>
      <c r="G110" s="6">
        <v>79203</v>
      </c>
      <c r="H110" s="6">
        <v>42779</v>
      </c>
      <c r="I110" s="6">
        <v>36424</v>
      </c>
      <c r="J110" t="s">
        <v>200</v>
      </c>
    </row>
    <row r="111" spans="1:10" x14ac:dyDescent="0.35">
      <c r="A111">
        <v>110</v>
      </c>
      <c r="B111" t="s">
        <v>490</v>
      </c>
      <c r="C111" t="s">
        <v>491</v>
      </c>
      <c r="D111" s="7">
        <v>53.9</v>
      </c>
      <c r="E111">
        <v>53.915476517440261</v>
      </c>
      <c r="F111" s="7">
        <v>46.1</v>
      </c>
      <c r="G111" s="6">
        <v>58256</v>
      </c>
      <c r="H111" s="6">
        <v>31409</v>
      </c>
      <c r="I111" s="6">
        <v>26847</v>
      </c>
      <c r="J111" t="s">
        <v>200</v>
      </c>
    </row>
    <row r="112" spans="1:10" x14ac:dyDescent="0.35">
      <c r="A112">
        <v>111</v>
      </c>
      <c r="B112" t="s">
        <v>492</v>
      </c>
      <c r="C112" t="s">
        <v>493</v>
      </c>
      <c r="D112" s="7">
        <v>53.9</v>
      </c>
      <c r="E112">
        <v>53.899204777367821</v>
      </c>
      <c r="F112" s="7">
        <v>46.1</v>
      </c>
      <c r="G112" s="6">
        <v>99469</v>
      </c>
      <c r="H112" s="6">
        <v>53613</v>
      </c>
      <c r="I112" s="6">
        <v>45856</v>
      </c>
      <c r="J112" t="s">
        <v>200</v>
      </c>
    </row>
    <row r="113" spans="1:10" x14ac:dyDescent="0.35">
      <c r="A113">
        <v>112</v>
      </c>
      <c r="B113" t="s">
        <v>494</v>
      </c>
      <c r="C113" t="s">
        <v>495</v>
      </c>
      <c r="D113" s="7">
        <v>53.8</v>
      </c>
      <c r="E113">
        <v>53.806099677659311</v>
      </c>
      <c r="F113" s="7">
        <v>46.2</v>
      </c>
      <c r="G113" s="6">
        <v>104858</v>
      </c>
      <c r="H113" s="6">
        <v>56420</v>
      </c>
      <c r="I113" s="6">
        <v>48438</v>
      </c>
      <c r="J113" t="s">
        <v>200</v>
      </c>
    </row>
    <row r="114" spans="1:10" x14ac:dyDescent="0.35">
      <c r="A114">
        <v>113</v>
      </c>
      <c r="B114" t="s">
        <v>496</v>
      </c>
      <c r="C114" t="s">
        <v>497</v>
      </c>
      <c r="D114" s="7">
        <v>53.7</v>
      </c>
      <c r="E114">
        <v>53.732595449059502</v>
      </c>
      <c r="F114" s="7">
        <v>46.3</v>
      </c>
      <c r="G114" s="6">
        <v>135884</v>
      </c>
      <c r="H114" s="6">
        <v>73014</v>
      </c>
      <c r="I114" s="6">
        <v>62870</v>
      </c>
      <c r="J114" t="s">
        <v>200</v>
      </c>
    </row>
    <row r="115" spans="1:10" x14ac:dyDescent="0.35">
      <c r="A115">
        <v>114</v>
      </c>
      <c r="B115" t="s">
        <v>498</v>
      </c>
      <c r="C115" t="s">
        <v>499</v>
      </c>
      <c r="D115" s="7">
        <v>53.7</v>
      </c>
      <c r="E115">
        <v>53.721602529632641</v>
      </c>
      <c r="F115" s="7">
        <v>46.3</v>
      </c>
      <c r="G115" s="6">
        <v>217581</v>
      </c>
      <c r="H115" s="6">
        <v>116888</v>
      </c>
      <c r="I115" s="6">
        <v>100693</v>
      </c>
      <c r="J115" t="s">
        <v>200</v>
      </c>
    </row>
    <row r="116" spans="1:10" x14ac:dyDescent="0.35">
      <c r="A116">
        <v>115</v>
      </c>
      <c r="B116" t="s">
        <v>500</v>
      </c>
      <c r="C116" t="s">
        <v>501</v>
      </c>
      <c r="D116" s="7">
        <v>53.7</v>
      </c>
      <c r="E116">
        <v>53.678649254550301</v>
      </c>
      <c r="F116" s="7">
        <v>46.3</v>
      </c>
      <c r="G116" s="6">
        <v>63787</v>
      </c>
      <c r="H116" s="6">
        <v>34240</v>
      </c>
      <c r="I116" s="6">
        <v>29547</v>
      </c>
      <c r="J116" t="s">
        <v>200</v>
      </c>
    </row>
    <row r="117" spans="1:10" x14ac:dyDescent="0.35">
      <c r="A117">
        <v>116</v>
      </c>
      <c r="B117" t="s">
        <v>502</v>
      </c>
      <c r="C117" t="s">
        <v>503</v>
      </c>
      <c r="D117" s="7">
        <v>53.6</v>
      </c>
      <c r="E117">
        <v>53.644488066949073</v>
      </c>
      <c r="F117" s="7">
        <v>46.4</v>
      </c>
      <c r="G117" s="6">
        <v>38716</v>
      </c>
      <c r="H117" s="6">
        <v>20769</v>
      </c>
      <c r="I117" s="6">
        <v>17947</v>
      </c>
      <c r="J117" t="s">
        <v>200</v>
      </c>
    </row>
    <row r="118" spans="1:10" x14ac:dyDescent="0.35">
      <c r="A118">
        <v>117</v>
      </c>
      <c r="B118" t="s">
        <v>504</v>
      </c>
      <c r="C118" t="s">
        <v>505</v>
      </c>
      <c r="D118" s="7">
        <v>53.6</v>
      </c>
      <c r="E118">
        <v>53.641360357265548</v>
      </c>
      <c r="F118" s="7">
        <v>46.4</v>
      </c>
      <c r="G118" s="6">
        <v>40754</v>
      </c>
      <c r="H118" s="6">
        <v>21861</v>
      </c>
      <c r="I118" s="6">
        <v>18893</v>
      </c>
      <c r="J118" t="s">
        <v>200</v>
      </c>
    </row>
    <row r="119" spans="1:10" x14ac:dyDescent="0.35">
      <c r="A119">
        <v>118</v>
      </c>
      <c r="B119" t="s">
        <v>506</v>
      </c>
      <c r="C119" t="s">
        <v>507</v>
      </c>
      <c r="D119" s="7">
        <v>53.6</v>
      </c>
      <c r="E119">
        <v>53.588127195329037</v>
      </c>
      <c r="F119" s="7">
        <v>46.4</v>
      </c>
      <c r="G119" s="6">
        <v>42989</v>
      </c>
      <c r="H119" s="6">
        <v>23037</v>
      </c>
      <c r="I119" s="6">
        <v>19952</v>
      </c>
      <c r="J119" t="s">
        <v>200</v>
      </c>
    </row>
    <row r="120" spans="1:10" x14ac:dyDescent="0.35">
      <c r="A120">
        <v>119</v>
      </c>
      <c r="B120" t="s">
        <v>508</v>
      </c>
      <c r="C120" t="s">
        <v>509</v>
      </c>
      <c r="D120" s="7">
        <v>53.6</v>
      </c>
      <c r="E120">
        <v>53.55937108131571</v>
      </c>
      <c r="F120" s="7">
        <v>46.4</v>
      </c>
      <c r="G120" s="6">
        <v>41468</v>
      </c>
      <c r="H120" s="6">
        <v>22210</v>
      </c>
      <c r="I120" s="6">
        <v>19258</v>
      </c>
      <c r="J120" t="s">
        <v>200</v>
      </c>
    </row>
    <row r="121" spans="1:10" x14ac:dyDescent="0.35">
      <c r="A121">
        <v>120</v>
      </c>
      <c r="B121" t="s">
        <v>510</v>
      </c>
      <c r="C121" t="s">
        <v>511</v>
      </c>
      <c r="D121" s="7">
        <v>53.6</v>
      </c>
      <c r="E121">
        <v>53.558005737848212</v>
      </c>
      <c r="F121" s="7">
        <v>46.4</v>
      </c>
      <c r="G121" s="6">
        <v>2333976</v>
      </c>
      <c r="H121" s="6">
        <v>1250031</v>
      </c>
      <c r="I121" s="6">
        <v>1083945</v>
      </c>
      <c r="J121" t="s">
        <v>200</v>
      </c>
    </row>
    <row r="122" spans="1:10" x14ac:dyDescent="0.35">
      <c r="A122">
        <v>121</v>
      </c>
      <c r="B122" t="s">
        <v>512</v>
      </c>
      <c r="C122" t="s">
        <v>513</v>
      </c>
      <c r="D122" s="7">
        <v>53.5</v>
      </c>
      <c r="E122">
        <v>53.512585314958919</v>
      </c>
      <c r="F122" s="7">
        <v>46.5</v>
      </c>
      <c r="G122" s="6">
        <v>46006</v>
      </c>
      <c r="H122" s="6">
        <v>24619</v>
      </c>
      <c r="I122" s="6">
        <v>21387</v>
      </c>
      <c r="J122" t="s">
        <v>200</v>
      </c>
    </row>
    <row r="123" spans="1:10" x14ac:dyDescent="0.35">
      <c r="A123">
        <v>122</v>
      </c>
      <c r="B123" t="s">
        <v>514</v>
      </c>
      <c r="C123" t="s">
        <v>515</v>
      </c>
      <c r="D123" s="7">
        <v>53.5</v>
      </c>
      <c r="E123">
        <v>53.489093673399744</v>
      </c>
      <c r="F123" s="7">
        <v>46.5</v>
      </c>
      <c r="G123" s="6">
        <v>32229</v>
      </c>
      <c r="H123" s="6">
        <v>17239</v>
      </c>
      <c r="I123" s="6">
        <v>14990</v>
      </c>
      <c r="J123" t="s">
        <v>200</v>
      </c>
    </row>
    <row r="124" spans="1:10" x14ac:dyDescent="0.35">
      <c r="A124">
        <v>123</v>
      </c>
      <c r="B124" t="s">
        <v>516</v>
      </c>
      <c r="C124" t="s">
        <v>517</v>
      </c>
      <c r="D124" s="7">
        <v>53.4</v>
      </c>
      <c r="E124">
        <v>53.445069793965239</v>
      </c>
      <c r="F124" s="7">
        <v>46.6</v>
      </c>
      <c r="G124" s="6">
        <v>40333</v>
      </c>
      <c r="H124" s="6">
        <v>21556</v>
      </c>
      <c r="I124" s="6">
        <v>18777</v>
      </c>
      <c r="J124" t="s">
        <v>200</v>
      </c>
    </row>
    <row r="125" spans="1:10" x14ac:dyDescent="0.35">
      <c r="A125">
        <v>124</v>
      </c>
      <c r="B125" t="s">
        <v>518</v>
      </c>
      <c r="C125" t="s">
        <v>519</v>
      </c>
      <c r="D125" s="7">
        <v>53.4</v>
      </c>
      <c r="E125">
        <v>53.404722116853428</v>
      </c>
      <c r="F125" s="7">
        <v>46.6</v>
      </c>
      <c r="G125" s="6">
        <v>195082</v>
      </c>
      <c r="H125" s="6">
        <v>104183</v>
      </c>
      <c r="I125" s="6">
        <v>90899</v>
      </c>
      <c r="J125" t="s">
        <v>200</v>
      </c>
    </row>
    <row r="126" spans="1:10" x14ac:dyDescent="0.35">
      <c r="A126">
        <v>125</v>
      </c>
      <c r="B126" t="s">
        <v>520</v>
      </c>
      <c r="C126" t="s">
        <v>521</v>
      </c>
      <c r="D126" s="7">
        <v>53.4</v>
      </c>
      <c r="E126">
        <v>53.36876392936739</v>
      </c>
      <c r="F126" s="7">
        <v>46.6</v>
      </c>
      <c r="G126" s="6">
        <v>46664</v>
      </c>
      <c r="H126" s="6">
        <v>24904</v>
      </c>
      <c r="I126" s="6">
        <v>21760</v>
      </c>
      <c r="J126" t="s">
        <v>200</v>
      </c>
    </row>
    <row r="127" spans="1:10" x14ac:dyDescent="0.35">
      <c r="A127">
        <v>126</v>
      </c>
      <c r="B127" t="s">
        <v>522</v>
      </c>
      <c r="C127" t="s">
        <v>523</v>
      </c>
      <c r="D127" s="7">
        <v>53.3</v>
      </c>
      <c r="E127">
        <v>53.327956235096089</v>
      </c>
      <c r="F127" s="7">
        <v>46.7</v>
      </c>
      <c r="G127" s="6">
        <v>28516</v>
      </c>
      <c r="H127" s="6">
        <v>15207</v>
      </c>
      <c r="I127" s="6">
        <v>13309</v>
      </c>
      <c r="J127" t="s">
        <v>200</v>
      </c>
    </row>
    <row r="128" spans="1:10" x14ac:dyDescent="0.35">
      <c r="A128">
        <v>127</v>
      </c>
      <c r="B128" t="s">
        <v>524</v>
      </c>
      <c r="C128" t="s">
        <v>525</v>
      </c>
      <c r="D128" s="7">
        <v>53.2</v>
      </c>
      <c r="E128">
        <v>53.22136360275087</v>
      </c>
      <c r="F128" s="7">
        <v>46.8</v>
      </c>
      <c r="G128" s="6">
        <v>324552</v>
      </c>
      <c r="H128" s="6">
        <v>172731</v>
      </c>
      <c r="I128" s="6">
        <v>151821</v>
      </c>
      <c r="J128" t="s">
        <v>200</v>
      </c>
    </row>
    <row r="129" spans="1:10" x14ac:dyDescent="0.35">
      <c r="A129">
        <v>128</v>
      </c>
      <c r="B129" t="s">
        <v>526</v>
      </c>
      <c r="C129" t="s">
        <v>527</v>
      </c>
      <c r="D129" s="7">
        <v>53.2</v>
      </c>
      <c r="E129">
        <v>53.157127189017849</v>
      </c>
      <c r="F129" s="7">
        <v>46.8</v>
      </c>
      <c r="G129" s="6">
        <v>82971</v>
      </c>
      <c r="H129" s="6">
        <v>44105</v>
      </c>
      <c r="I129" s="6">
        <v>38866</v>
      </c>
      <c r="J129" t="s">
        <v>200</v>
      </c>
    </row>
    <row r="130" spans="1:10" x14ac:dyDescent="0.35">
      <c r="A130">
        <v>129</v>
      </c>
      <c r="B130" t="s">
        <v>528</v>
      </c>
      <c r="C130" t="s">
        <v>529</v>
      </c>
      <c r="D130" s="7">
        <v>53.1</v>
      </c>
      <c r="E130">
        <v>53.117793152386021</v>
      </c>
      <c r="F130" s="7">
        <v>46.9</v>
      </c>
      <c r="G130" s="6">
        <v>67644</v>
      </c>
      <c r="H130" s="6">
        <v>35931</v>
      </c>
      <c r="I130" s="6">
        <v>31713</v>
      </c>
      <c r="J130" t="s">
        <v>200</v>
      </c>
    </row>
    <row r="131" spans="1:10" x14ac:dyDescent="0.35">
      <c r="A131">
        <v>130</v>
      </c>
      <c r="B131" t="s">
        <v>530</v>
      </c>
      <c r="C131" t="s">
        <v>531</v>
      </c>
      <c r="D131" s="7">
        <v>53</v>
      </c>
      <c r="E131">
        <v>53.035505552308592</v>
      </c>
      <c r="F131" s="7">
        <v>47</v>
      </c>
      <c r="G131" s="6">
        <v>54752</v>
      </c>
      <c r="H131" s="6">
        <v>29038</v>
      </c>
      <c r="I131" s="6">
        <v>25714</v>
      </c>
      <c r="J131" t="s">
        <v>200</v>
      </c>
    </row>
    <row r="132" spans="1:10" x14ac:dyDescent="0.35">
      <c r="A132">
        <v>131</v>
      </c>
      <c r="B132" t="s">
        <v>532</v>
      </c>
      <c r="C132" t="s">
        <v>533</v>
      </c>
      <c r="D132" s="7">
        <v>53</v>
      </c>
      <c r="E132">
        <v>53.017113672596963</v>
      </c>
      <c r="F132" s="7">
        <v>47</v>
      </c>
      <c r="G132" s="6">
        <v>212637</v>
      </c>
      <c r="H132" s="6">
        <v>112734</v>
      </c>
      <c r="I132" s="6">
        <v>99903</v>
      </c>
      <c r="J132" t="s">
        <v>200</v>
      </c>
    </row>
    <row r="133" spans="1:10" x14ac:dyDescent="0.35">
      <c r="A133">
        <v>132</v>
      </c>
      <c r="B133" t="s">
        <v>534</v>
      </c>
      <c r="C133" t="s">
        <v>535</v>
      </c>
      <c r="D133" s="7">
        <v>53</v>
      </c>
      <c r="E133">
        <v>52.974788449794993</v>
      </c>
      <c r="F133" s="7">
        <v>47</v>
      </c>
      <c r="G133" s="6">
        <v>22926</v>
      </c>
      <c r="H133" s="6">
        <v>12145</v>
      </c>
      <c r="I133" s="6">
        <v>10781</v>
      </c>
      <c r="J133" t="s">
        <v>200</v>
      </c>
    </row>
    <row r="134" spans="1:10" x14ac:dyDescent="0.35">
      <c r="A134">
        <v>133</v>
      </c>
      <c r="B134" t="s">
        <v>536</v>
      </c>
      <c r="C134" t="s">
        <v>537</v>
      </c>
      <c r="D134" s="7">
        <v>53</v>
      </c>
      <c r="E134">
        <v>52.968900027666123</v>
      </c>
      <c r="F134" s="7">
        <v>47</v>
      </c>
      <c r="G134" s="6">
        <v>307235</v>
      </c>
      <c r="H134" s="6">
        <v>162739</v>
      </c>
      <c r="I134" s="6">
        <v>144496</v>
      </c>
      <c r="J134" t="s">
        <v>200</v>
      </c>
    </row>
    <row r="135" spans="1:10" x14ac:dyDescent="0.35">
      <c r="A135">
        <v>134</v>
      </c>
      <c r="B135" t="s">
        <v>538</v>
      </c>
      <c r="C135" t="s">
        <v>539</v>
      </c>
      <c r="D135" s="7">
        <v>52.9</v>
      </c>
      <c r="E135">
        <v>52.920910243130393</v>
      </c>
      <c r="F135" s="7">
        <v>47.1</v>
      </c>
      <c r="G135" s="6">
        <v>310862</v>
      </c>
      <c r="H135" s="6">
        <v>164511</v>
      </c>
      <c r="I135" s="6">
        <v>146351</v>
      </c>
      <c r="J135" t="s">
        <v>200</v>
      </c>
    </row>
    <row r="136" spans="1:10" x14ac:dyDescent="0.35">
      <c r="A136">
        <v>135</v>
      </c>
      <c r="B136" t="s">
        <v>540</v>
      </c>
      <c r="C136" t="s">
        <v>541</v>
      </c>
      <c r="D136" s="7">
        <v>52.9</v>
      </c>
      <c r="E136">
        <v>52.852061314839929</v>
      </c>
      <c r="F136" s="7">
        <v>47.1</v>
      </c>
      <c r="G136" s="6">
        <v>39077</v>
      </c>
      <c r="H136" s="6">
        <v>20653</v>
      </c>
      <c r="I136" s="6">
        <v>18424</v>
      </c>
      <c r="J136" t="s">
        <v>200</v>
      </c>
    </row>
    <row r="137" spans="1:10" x14ac:dyDescent="0.35">
      <c r="A137">
        <v>136</v>
      </c>
      <c r="B137" t="s">
        <v>542</v>
      </c>
      <c r="C137" t="s">
        <v>543</v>
      </c>
      <c r="D137" s="7">
        <v>52.7</v>
      </c>
      <c r="E137">
        <v>52.723280915403087</v>
      </c>
      <c r="F137" s="7">
        <v>47.3</v>
      </c>
      <c r="G137" s="6">
        <v>184924</v>
      </c>
      <c r="H137" s="6">
        <v>97498</v>
      </c>
      <c r="I137" s="6">
        <v>87426</v>
      </c>
      <c r="J137" t="s">
        <v>200</v>
      </c>
    </row>
    <row r="138" spans="1:10" x14ac:dyDescent="0.35">
      <c r="A138">
        <v>137</v>
      </c>
      <c r="B138" t="s">
        <v>544</v>
      </c>
      <c r="C138" t="s">
        <v>545</v>
      </c>
      <c r="D138" s="7">
        <v>52.7</v>
      </c>
      <c r="E138">
        <v>52.661827877351513</v>
      </c>
      <c r="F138" s="7">
        <v>47.3</v>
      </c>
      <c r="G138" s="6">
        <v>33755</v>
      </c>
      <c r="H138" s="6">
        <v>17776</v>
      </c>
      <c r="I138" s="6">
        <v>15979</v>
      </c>
      <c r="J138" t="s">
        <v>200</v>
      </c>
    </row>
    <row r="139" spans="1:10" x14ac:dyDescent="0.35">
      <c r="A139">
        <v>138</v>
      </c>
      <c r="B139" t="s">
        <v>546</v>
      </c>
      <c r="C139" t="s">
        <v>547</v>
      </c>
      <c r="D139" s="7">
        <v>52.6</v>
      </c>
      <c r="E139">
        <v>52.584572162201269</v>
      </c>
      <c r="F139" s="7">
        <v>47.4</v>
      </c>
      <c r="G139" s="6">
        <v>5460130</v>
      </c>
      <c r="H139" s="6">
        <v>2871186</v>
      </c>
      <c r="I139" s="6">
        <v>2588944</v>
      </c>
      <c r="J139" t="s">
        <v>200</v>
      </c>
    </row>
    <row r="140" spans="1:10" x14ac:dyDescent="0.35">
      <c r="A140">
        <v>139</v>
      </c>
      <c r="B140" t="s">
        <v>548</v>
      </c>
      <c r="C140" t="s">
        <v>549</v>
      </c>
      <c r="D140" s="7">
        <v>52.6</v>
      </c>
      <c r="E140">
        <v>52.569015300752888</v>
      </c>
      <c r="F140" s="7">
        <v>47.4</v>
      </c>
      <c r="G140" s="6">
        <v>74114</v>
      </c>
      <c r="H140" s="6">
        <v>38961</v>
      </c>
      <c r="I140" s="6">
        <v>35153</v>
      </c>
      <c r="J140" t="s">
        <v>200</v>
      </c>
    </row>
    <row r="141" spans="1:10" x14ac:dyDescent="0.35">
      <c r="A141">
        <v>140</v>
      </c>
      <c r="B141" t="s">
        <v>550</v>
      </c>
      <c r="C141" t="s">
        <v>551</v>
      </c>
      <c r="D141" s="7">
        <v>52.6</v>
      </c>
      <c r="E141">
        <v>52.55278485620677</v>
      </c>
      <c r="F141" s="7">
        <v>47.4</v>
      </c>
      <c r="G141" s="6">
        <v>43952</v>
      </c>
      <c r="H141" s="6">
        <v>23098</v>
      </c>
      <c r="I141" s="6">
        <v>20854</v>
      </c>
      <c r="J141" t="s">
        <v>200</v>
      </c>
    </row>
    <row r="142" spans="1:10" x14ac:dyDescent="0.35">
      <c r="A142">
        <v>141</v>
      </c>
      <c r="B142" t="s">
        <v>552</v>
      </c>
      <c r="C142" t="s">
        <v>553</v>
      </c>
      <c r="D142" s="7">
        <v>52.5</v>
      </c>
      <c r="E142">
        <v>52.503926701570677</v>
      </c>
      <c r="F142" s="7">
        <v>47.5</v>
      </c>
      <c r="G142" s="6">
        <v>152800</v>
      </c>
      <c r="H142" s="6">
        <v>80226</v>
      </c>
      <c r="I142" s="6">
        <v>72574</v>
      </c>
      <c r="J142" t="s">
        <v>200</v>
      </c>
    </row>
    <row r="143" spans="1:10" x14ac:dyDescent="0.35">
      <c r="A143">
        <v>142</v>
      </c>
      <c r="B143" t="s">
        <v>554</v>
      </c>
      <c r="C143" t="s">
        <v>555</v>
      </c>
      <c r="D143" s="7">
        <v>52.5</v>
      </c>
      <c r="E143">
        <v>52.489669068679348</v>
      </c>
      <c r="F143" s="7">
        <v>47.5</v>
      </c>
      <c r="G143" s="6">
        <v>58562</v>
      </c>
      <c r="H143" s="6">
        <v>30739</v>
      </c>
      <c r="I143" s="6">
        <v>27823</v>
      </c>
      <c r="J143" t="s">
        <v>200</v>
      </c>
    </row>
    <row r="144" spans="1:10" x14ac:dyDescent="0.35">
      <c r="A144">
        <v>143</v>
      </c>
      <c r="B144" t="s">
        <v>556</v>
      </c>
      <c r="C144" t="s">
        <v>557</v>
      </c>
      <c r="D144" s="7">
        <v>52.5</v>
      </c>
      <c r="E144">
        <v>52.461358927338111</v>
      </c>
      <c r="F144" s="7">
        <v>47.5</v>
      </c>
      <c r="G144" s="6">
        <v>41989</v>
      </c>
      <c r="H144" s="6">
        <v>22028</v>
      </c>
      <c r="I144" s="6">
        <v>19961</v>
      </c>
      <c r="J144" t="s">
        <v>200</v>
      </c>
    </row>
    <row r="145" spans="1:10" x14ac:dyDescent="0.35">
      <c r="A145">
        <v>144</v>
      </c>
      <c r="B145" t="s">
        <v>558</v>
      </c>
      <c r="C145" t="s">
        <v>559</v>
      </c>
      <c r="D145" s="7">
        <v>52.4</v>
      </c>
      <c r="E145">
        <v>52.430690285949588</v>
      </c>
      <c r="F145" s="7">
        <v>47.6</v>
      </c>
      <c r="G145" s="6">
        <v>252562</v>
      </c>
      <c r="H145" s="6">
        <v>132420</v>
      </c>
      <c r="I145" s="6">
        <v>120142</v>
      </c>
      <c r="J145" t="s">
        <v>200</v>
      </c>
    </row>
    <row r="146" spans="1:10" x14ac:dyDescent="0.35">
      <c r="A146">
        <v>145</v>
      </c>
      <c r="B146" t="s">
        <v>560</v>
      </c>
      <c r="C146" t="s">
        <v>561</v>
      </c>
      <c r="D146" s="7">
        <v>52.4</v>
      </c>
      <c r="E146">
        <v>52.377053654276523</v>
      </c>
      <c r="F146" s="7">
        <v>47.6</v>
      </c>
      <c r="G146" s="6">
        <v>54963</v>
      </c>
      <c r="H146" s="6">
        <v>28788</v>
      </c>
      <c r="I146" s="6">
        <v>26175</v>
      </c>
      <c r="J146" t="s">
        <v>200</v>
      </c>
    </row>
    <row r="147" spans="1:10" x14ac:dyDescent="0.35">
      <c r="A147">
        <v>146</v>
      </c>
      <c r="B147" t="s">
        <v>562</v>
      </c>
      <c r="C147" t="s">
        <v>563</v>
      </c>
      <c r="D147" s="7">
        <v>52.4</v>
      </c>
      <c r="E147">
        <v>52.355487016217289</v>
      </c>
      <c r="F147" s="7">
        <v>47.6</v>
      </c>
      <c r="G147" s="6">
        <v>120612</v>
      </c>
      <c r="H147" s="6">
        <v>63147</v>
      </c>
      <c r="I147" s="6">
        <v>57465</v>
      </c>
      <c r="J147" t="s">
        <v>200</v>
      </c>
    </row>
    <row r="148" spans="1:10" x14ac:dyDescent="0.35">
      <c r="A148">
        <v>147</v>
      </c>
      <c r="B148" t="s">
        <v>564</v>
      </c>
      <c r="C148" t="s">
        <v>565</v>
      </c>
      <c r="D148" s="7">
        <v>52.3</v>
      </c>
      <c r="E148">
        <v>52.322651056652447</v>
      </c>
      <c r="F148" s="7">
        <v>47.7</v>
      </c>
      <c r="G148" s="6">
        <v>50395</v>
      </c>
      <c r="H148" s="6">
        <v>26368</v>
      </c>
      <c r="I148" s="6">
        <v>24027</v>
      </c>
      <c r="J148" t="s">
        <v>200</v>
      </c>
    </row>
    <row r="149" spans="1:10" x14ac:dyDescent="0.35">
      <c r="A149">
        <v>148</v>
      </c>
      <c r="B149" t="s">
        <v>566</v>
      </c>
      <c r="C149" t="s">
        <v>567</v>
      </c>
      <c r="D149" s="7">
        <v>52.3</v>
      </c>
      <c r="E149">
        <v>52.255978266378783</v>
      </c>
      <c r="F149" s="7">
        <v>47.7</v>
      </c>
      <c r="G149" s="6">
        <v>98649</v>
      </c>
      <c r="H149" s="6">
        <v>51550</v>
      </c>
      <c r="I149" s="6">
        <v>47099</v>
      </c>
      <c r="J149" t="s">
        <v>200</v>
      </c>
    </row>
    <row r="150" spans="1:10" x14ac:dyDescent="0.35">
      <c r="A150">
        <v>149</v>
      </c>
      <c r="B150" t="s">
        <v>568</v>
      </c>
      <c r="C150" t="s">
        <v>569</v>
      </c>
      <c r="D150" s="7">
        <v>52.2</v>
      </c>
      <c r="E150">
        <v>52.180377579966738</v>
      </c>
      <c r="F150" s="7">
        <v>47.8</v>
      </c>
      <c r="G150" s="6">
        <v>51115</v>
      </c>
      <c r="H150" s="6">
        <v>26672</v>
      </c>
      <c r="I150" s="6">
        <v>24443</v>
      </c>
      <c r="J150" t="s">
        <v>200</v>
      </c>
    </row>
    <row r="151" spans="1:10" x14ac:dyDescent="0.35">
      <c r="A151">
        <v>150</v>
      </c>
      <c r="B151" t="s">
        <v>570</v>
      </c>
      <c r="C151" t="s">
        <v>571</v>
      </c>
      <c r="D151" s="7">
        <v>52.2</v>
      </c>
      <c r="E151">
        <v>52.155796975852581</v>
      </c>
      <c r="F151" s="7">
        <v>47.8</v>
      </c>
      <c r="G151" s="6">
        <v>144239</v>
      </c>
      <c r="H151" s="6">
        <v>75229</v>
      </c>
      <c r="I151" s="6">
        <v>69010</v>
      </c>
      <c r="J151" t="s">
        <v>200</v>
      </c>
    </row>
    <row r="152" spans="1:10" x14ac:dyDescent="0.35">
      <c r="A152">
        <v>151</v>
      </c>
      <c r="B152" t="s">
        <v>572</v>
      </c>
      <c r="C152" t="s">
        <v>573</v>
      </c>
      <c r="D152" s="7">
        <v>52.1</v>
      </c>
      <c r="E152">
        <v>52.138912290555091</v>
      </c>
      <c r="F152" s="7">
        <v>47.9</v>
      </c>
      <c r="G152" s="6">
        <v>53415</v>
      </c>
      <c r="H152" s="6">
        <v>27850</v>
      </c>
      <c r="I152" s="6">
        <v>25565</v>
      </c>
      <c r="J152" t="s">
        <v>200</v>
      </c>
    </row>
    <row r="153" spans="1:10" x14ac:dyDescent="0.35">
      <c r="A153">
        <v>152</v>
      </c>
      <c r="B153" t="s">
        <v>574</v>
      </c>
      <c r="C153" t="s">
        <v>575</v>
      </c>
      <c r="D153" s="7">
        <v>52.1</v>
      </c>
      <c r="E153">
        <v>52.076705901065687</v>
      </c>
      <c r="F153" s="7">
        <v>47.9</v>
      </c>
      <c r="G153" s="6">
        <v>100592</v>
      </c>
      <c r="H153" s="6">
        <v>52385</v>
      </c>
      <c r="I153" s="6">
        <v>48207</v>
      </c>
      <c r="J153" t="s">
        <v>200</v>
      </c>
    </row>
    <row r="154" spans="1:10" x14ac:dyDescent="0.35">
      <c r="A154">
        <v>153</v>
      </c>
      <c r="B154" t="s">
        <v>576</v>
      </c>
      <c r="C154" t="s">
        <v>577</v>
      </c>
      <c r="D154" s="7">
        <v>52.1</v>
      </c>
      <c r="E154">
        <v>52.07455136697579</v>
      </c>
      <c r="F154" s="7">
        <v>47.9</v>
      </c>
      <c r="G154" s="6">
        <v>166060</v>
      </c>
      <c r="H154" s="6">
        <v>86475</v>
      </c>
      <c r="I154" s="6">
        <v>79585</v>
      </c>
      <c r="J154" t="s">
        <v>200</v>
      </c>
    </row>
    <row r="155" spans="1:10" x14ac:dyDescent="0.35">
      <c r="A155">
        <v>154</v>
      </c>
      <c r="B155" t="s">
        <v>578</v>
      </c>
      <c r="C155" t="s">
        <v>579</v>
      </c>
      <c r="D155" s="7">
        <v>52</v>
      </c>
      <c r="E155">
        <v>51.966084333921359</v>
      </c>
      <c r="F155" s="7">
        <v>48</v>
      </c>
      <c r="G155" s="6">
        <v>35146</v>
      </c>
      <c r="H155" s="6">
        <v>18264</v>
      </c>
      <c r="I155" s="6">
        <v>16882</v>
      </c>
      <c r="J155" t="s">
        <v>200</v>
      </c>
    </row>
    <row r="156" spans="1:10" x14ac:dyDescent="0.35">
      <c r="A156">
        <v>155</v>
      </c>
      <c r="B156" t="s">
        <v>580</v>
      </c>
      <c r="C156" t="s">
        <v>581</v>
      </c>
      <c r="D156" s="7">
        <v>51.9</v>
      </c>
      <c r="E156">
        <v>51.898648648648653</v>
      </c>
      <c r="F156" s="7">
        <v>48.1</v>
      </c>
      <c r="G156" s="6">
        <v>103600</v>
      </c>
      <c r="H156" s="6">
        <v>53767</v>
      </c>
      <c r="I156" s="6">
        <v>49833</v>
      </c>
      <c r="J156" t="s">
        <v>200</v>
      </c>
    </row>
    <row r="157" spans="1:10" x14ac:dyDescent="0.35">
      <c r="A157">
        <v>156</v>
      </c>
      <c r="B157" t="s">
        <v>582</v>
      </c>
      <c r="C157" t="s">
        <v>583</v>
      </c>
      <c r="D157" s="7">
        <v>51.9</v>
      </c>
      <c r="E157">
        <v>51.872215438434367</v>
      </c>
      <c r="F157" s="7">
        <v>48.1</v>
      </c>
      <c r="G157" s="6">
        <v>151505</v>
      </c>
      <c r="H157" s="6">
        <v>78589</v>
      </c>
      <c r="I157" s="6">
        <v>72916</v>
      </c>
      <c r="J157" t="s">
        <v>200</v>
      </c>
    </row>
    <row r="158" spans="1:10" x14ac:dyDescent="0.35">
      <c r="A158">
        <v>157</v>
      </c>
      <c r="B158" t="s">
        <v>584</v>
      </c>
      <c r="C158" t="s">
        <v>585</v>
      </c>
      <c r="D158" s="7">
        <v>51.7</v>
      </c>
      <c r="E158">
        <v>51.670626390617343</v>
      </c>
      <c r="F158" s="7">
        <v>48.3</v>
      </c>
      <c r="G158" s="6">
        <v>636408</v>
      </c>
      <c r="H158" s="6">
        <v>328836</v>
      </c>
      <c r="I158" s="6">
        <v>307572</v>
      </c>
      <c r="J158" t="s">
        <v>200</v>
      </c>
    </row>
    <row r="159" spans="1:10" x14ac:dyDescent="0.35">
      <c r="A159">
        <v>158</v>
      </c>
      <c r="B159" t="s">
        <v>586</v>
      </c>
      <c r="C159" t="s">
        <v>587</v>
      </c>
      <c r="D159" s="7">
        <v>51.7</v>
      </c>
      <c r="E159">
        <v>51.66716896353325</v>
      </c>
      <c r="F159" s="7">
        <v>48.3</v>
      </c>
      <c r="G159" s="6">
        <v>36499</v>
      </c>
      <c r="H159" s="6">
        <v>18858</v>
      </c>
      <c r="I159" s="6">
        <v>17641</v>
      </c>
      <c r="J159" t="s">
        <v>200</v>
      </c>
    </row>
    <row r="160" spans="1:10" x14ac:dyDescent="0.35">
      <c r="A160">
        <v>159</v>
      </c>
      <c r="B160" t="s">
        <v>588</v>
      </c>
      <c r="C160" t="s">
        <v>589</v>
      </c>
      <c r="D160" s="7">
        <v>51.6</v>
      </c>
      <c r="E160">
        <v>51.577019116623688</v>
      </c>
      <c r="F160" s="7">
        <v>48.4</v>
      </c>
      <c r="G160" s="6">
        <v>97716</v>
      </c>
      <c r="H160" s="6">
        <v>50399</v>
      </c>
      <c r="I160" s="6">
        <v>47317</v>
      </c>
      <c r="J160" t="s">
        <v>200</v>
      </c>
    </row>
    <row r="161" spans="1:10" x14ac:dyDescent="0.35">
      <c r="A161">
        <v>160</v>
      </c>
      <c r="B161" t="s">
        <v>590</v>
      </c>
      <c r="C161" t="s">
        <v>591</v>
      </c>
      <c r="D161" s="7">
        <v>51.6</v>
      </c>
      <c r="E161">
        <v>51.573043010307572</v>
      </c>
      <c r="F161" s="7">
        <v>48.4</v>
      </c>
      <c r="G161" s="6">
        <v>48314</v>
      </c>
      <c r="H161" s="6">
        <v>24917</v>
      </c>
      <c r="I161" s="6">
        <v>23397</v>
      </c>
      <c r="J161" t="s">
        <v>200</v>
      </c>
    </row>
    <row r="162" spans="1:10" x14ac:dyDescent="0.35">
      <c r="A162">
        <v>161</v>
      </c>
      <c r="B162" t="s">
        <v>592</v>
      </c>
      <c r="C162" t="s">
        <v>593</v>
      </c>
      <c r="D162" s="7">
        <v>51.5</v>
      </c>
      <c r="E162">
        <v>51.514752643366059</v>
      </c>
      <c r="F162" s="7">
        <v>48.5</v>
      </c>
      <c r="G162" s="6">
        <v>531803</v>
      </c>
      <c r="H162" s="6">
        <v>273957</v>
      </c>
      <c r="I162" s="6">
        <v>257846</v>
      </c>
      <c r="J162" t="s">
        <v>200</v>
      </c>
    </row>
    <row r="163" spans="1:10" x14ac:dyDescent="0.35">
      <c r="A163">
        <v>162</v>
      </c>
      <c r="B163" t="s">
        <v>594</v>
      </c>
      <c r="C163" t="s">
        <v>595</v>
      </c>
      <c r="D163" s="7">
        <v>51.5</v>
      </c>
      <c r="E163">
        <v>51.489681819658649</v>
      </c>
      <c r="F163" s="7">
        <v>48.5</v>
      </c>
      <c r="G163" s="6">
        <v>400119</v>
      </c>
      <c r="H163" s="6">
        <v>206020</v>
      </c>
      <c r="I163" s="6">
        <v>194099</v>
      </c>
      <c r="J163" t="s">
        <v>200</v>
      </c>
    </row>
    <row r="164" spans="1:10" x14ac:dyDescent="0.35">
      <c r="A164">
        <v>163</v>
      </c>
      <c r="B164" t="s">
        <v>596</v>
      </c>
      <c r="C164" t="s">
        <v>597</v>
      </c>
      <c r="D164" s="7">
        <v>51.4</v>
      </c>
      <c r="E164">
        <v>51.379067099452989</v>
      </c>
      <c r="F164" s="7">
        <v>48.6</v>
      </c>
      <c r="G164" s="6">
        <v>398349</v>
      </c>
      <c r="H164" s="6">
        <v>204668</v>
      </c>
      <c r="I164" s="6">
        <v>193681</v>
      </c>
      <c r="J164" t="s">
        <v>200</v>
      </c>
    </row>
    <row r="165" spans="1:10" x14ac:dyDescent="0.35">
      <c r="A165">
        <v>164</v>
      </c>
      <c r="B165" t="s">
        <v>598</v>
      </c>
      <c r="C165" t="s">
        <v>599</v>
      </c>
      <c r="D165" s="7">
        <v>51.3</v>
      </c>
      <c r="E165">
        <v>51.272629688499883</v>
      </c>
      <c r="F165" s="7">
        <v>48.7</v>
      </c>
      <c r="G165" s="6">
        <v>48443</v>
      </c>
      <c r="H165" s="6">
        <v>24838</v>
      </c>
      <c r="I165" s="6">
        <v>23605</v>
      </c>
      <c r="J165" t="s">
        <v>200</v>
      </c>
    </row>
    <row r="166" spans="1:10" x14ac:dyDescent="0.35">
      <c r="A166">
        <v>165</v>
      </c>
      <c r="B166" t="s">
        <v>600</v>
      </c>
      <c r="C166" t="s">
        <v>601</v>
      </c>
      <c r="D166" s="7">
        <v>51.3</v>
      </c>
      <c r="E166">
        <v>51.260303320059549</v>
      </c>
      <c r="F166" s="7">
        <v>48.7</v>
      </c>
      <c r="G166" s="6">
        <v>330476</v>
      </c>
      <c r="H166" s="6">
        <v>169403</v>
      </c>
      <c r="I166" s="6">
        <v>161073</v>
      </c>
      <c r="J166" t="s">
        <v>200</v>
      </c>
    </row>
    <row r="167" spans="1:10" x14ac:dyDescent="0.35">
      <c r="A167">
        <v>166</v>
      </c>
      <c r="B167" t="s">
        <v>602</v>
      </c>
      <c r="C167" t="s">
        <v>603</v>
      </c>
      <c r="D167" s="7">
        <v>51.2</v>
      </c>
      <c r="E167">
        <v>51.24306515441274</v>
      </c>
      <c r="F167" s="7">
        <v>48.8</v>
      </c>
      <c r="G167" s="6">
        <v>52813</v>
      </c>
      <c r="H167" s="6">
        <v>27063</v>
      </c>
      <c r="I167" s="6">
        <v>25750</v>
      </c>
      <c r="J167" t="s">
        <v>200</v>
      </c>
    </row>
    <row r="168" spans="1:10" x14ac:dyDescent="0.35">
      <c r="A168">
        <v>167</v>
      </c>
      <c r="B168" t="s">
        <v>604</v>
      </c>
      <c r="C168" t="s">
        <v>605</v>
      </c>
      <c r="D168" s="7">
        <v>51.2</v>
      </c>
      <c r="E168">
        <v>51.168716886354893</v>
      </c>
      <c r="F168" s="7">
        <v>48.8</v>
      </c>
      <c r="G168" s="6">
        <v>54547</v>
      </c>
      <c r="H168" s="6">
        <v>27911</v>
      </c>
      <c r="I168" s="6">
        <v>26636</v>
      </c>
      <c r="J168" t="s">
        <v>200</v>
      </c>
    </row>
    <row r="169" spans="1:10" x14ac:dyDescent="0.35">
      <c r="A169">
        <v>168</v>
      </c>
      <c r="B169" t="s">
        <v>606</v>
      </c>
      <c r="C169" t="s">
        <v>607</v>
      </c>
      <c r="D169" s="7">
        <v>51.1</v>
      </c>
      <c r="E169">
        <v>51.079578615727108</v>
      </c>
      <c r="F169" s="7">
        <v>48.9</v>
      </c>
      <c r="G169" s="6">
        <v>1338161</v>
      </c>
      <c r="H169" s="6">
        <v>683527</v>
      </c>
      <c r="I169" s="6">
        <v>654634</v>
      </c>
      <c r="J169" t="s">
        <v>200</v>
      </c>
    </row>
    <row r="170" spans="1:10" x14ac:dyDescent="0.35">
      <c r="A170">
        <v>169</v>
      </c>
      <c r="B170" t="s">
        <v>608</v>
      </c>
      <c r="C170" t="s">
        <v>609</v>
      </c>
      <c r="D170" s="7">
        <v>51</v>
      </c>
      <c r="E170">
        <v>50.988305909137949</v>
      </c>
      <c r="F170" s="7">
        <v>49</v>
      </c>
      <c r="G170" s="6">
        <v>48315</v>
      </c>
      <c r="H170" s="6">
        <v>24635</v>
      </c>
      <c r="I170" s="6">
        <v>23680</v>
      </c>
      <c r="J170" t="s">
        <v>200</v>
      </c>
    </row>
    <row r="171" spans="1:10" x14ac:dyDescent="0.35">
      <c r="A171">
        <v>170</v>
      </c>
      <c r="B171" t="s">
        <v>610</v>
      </c>
      <c r="C171" t="s">
        <v>611</v>
      </c>
      <c r="D171" s="7">
        <v>51</v>
      </c>
      <c r="E171">
        <v>50.962731456033168</v>
      </c>
      <c r="F171" s="7">
        <v>49</v>
      </c>
      <c r="G171" s="6">
        <v>127346</v>
      </c>
      <c r="H171" s="6">
        <v>64899</v>
      </c>
      <c r="I171" s="6">
        <v>62447</v>
      </c>
      <c r="J171" t="s">
        <v>200</v>
      </c>
    </row>
    <row r="172" spans="1:10" x14ac:dyDescent="0.35">
      <c r="A172">
        <v>171</v>
      </c>
      <c r="B172" t="s">
        <v>612</v>
      </c>
      <c r="C172" t="s">
        <v>613</v>
      </c>
      <c r="D172" s="7">
        <v>50.9</v>
      </c>
      <c r="E172">
        <v>50.946095707569022</v>
      </c>
      <c r="F172" s="7">
        <v>49.1</v>
      </c>
      <c r="G172" s="6">
        <v>390711</v>
      </c>
      <c r="H172" s="6">
        <v>199052</v>
      </c>
      <c r="I172" s="6">
        <v>191659</v>
      </c>
      <c r="J172" t="s">
        <v>200</v>
      </c>
    </row>
    <row r="173" spans="1:10" x14ac:dyDescent="0.35">
      <c r="A173">
        <v>172</v>
      </c>
      <c r="B173" t="s">
        <v>614</v>
      </c>
      <c r="C173" t="s">
        <v>615</v>
      </c>
      <c r="D173" s="7">
        <v>50.9</v>
      </c>
      <c r="E173">
        <v>50.904738244726502</v>
      </c>
      <c r="F173" s="7">
        <v>49.1</v>
      </c>
      <c r="G173" s="6">
        <v>221390</v>
      </c>
      <c r="H173" s="6">
        <v>112698</v>
      </c>
      <c r="I173" s="6">
        <v>108692</v>
      </c>
      <c r="J173" t="s">
        <v>200</v>
      </c>
    </row>
    <row r="174" spans="1:10" x14ac:dyDescent="0.35">
      <c r="A174">
        <v>173</v>
      </c>
      <c r="B174" t="s">
        <v>616</v>
      </c>
      <c r="C174" t="s">
        <v>617</v>
      </c>
      <c r="D174" s="7">
        <v>50.9</v>
      </c>
      <c r="E174">
        <v>50.854047876371133</v>
      </c>
      <c r="F174" s="7">
        <v>49.1</v>
      </c>
      <c r="G174" s="6">
        <v>160998</v>
      </c>
      <c r="H174" s="6">
        <v>81874</v>
      </c>
      <c r="I174" s="6">
        <v>79124</v>
      </c>
      <c r="J174" t="s">
        <v>200</v>
      </c>
    </row>
    <row r="175" spans="1:10" x14ac:dyDescent="0.35">
      <c r="A175">
        <v>174</v>
      </c>
      <c r="B175" t="s">
        <v>618</v>
      </c>
      <c r="C175" t="s">
        <v>619</v>
      </c>
      <c r="D175" s="7">
        <v>50.8</v>
      </c>
      <c r="E175">
        <v>50.839653708035939</v>
      </c>
      <c r="F175" s="7">
        <v>49.2</v>
      </c>
      <c r="G175" s="6">
        <v>134222</v>
      </c>
      <c r="H175" s="6">
        <v>68238</v>
      </c>
      <c r="I175" s="6">
        <v>65984</v>
      </c>
      <c r="J175" t="s">
        <v>200</v>
      </c>
    </row>
    <row r="176" spans="1:10" x14ac:dyDescent="0.35">
      <c r="A176">
        <v>175</v>
      </c>
      <c r="B176" t="s">
        <v>620</v>
      </c>
      <c r="C176" t="s">
        <v>621</v>
      </c>
      <c r="D176" s="7">
        <v>50.7</v>
      </c>
      <c r="E176">
        <v>50.662740504196293</v>
      </c>
      <c r="F176" s="7">
        <v>49.3</v>
      </c>
      <c r="G176" s="6">
        <v>124634</v>
      </c>
      <c r="H176" s="6">
        <v>63143</v>
      </c>
      <c r="I176" s="6">
        <v>61491</v>
      </c>
      <c r="J176" t="s">
        <v>200</v>
      </c>
    </row>
    <row r="177" spans="1:10" x14ac:dyDescent="0.35">
      <c r="A177">
        <v>176</v>
      </c>
      <c r="B177" t="s">
        <v>622</v>
      </c>
      <c r="C177" t="s">
        <v>623</v>
      </c>
      <c r="D177" s="7">
        <v>50.6</v>
      </c>
      <c r="E177">
        <v>50.584360054476917</v>
      </c>
      <c r="F177" s="7">
        <v>49.4</v>
      </c>
      <c r="G177" s="6">
        <v>31573</v>
      </c>
      <c r="H177" s="6">
        <v>15971</v>
      </c>
      <c r="I177" s="6">
        <v>15602</v>
      </c>
      <c r="J177" t="s">
        <v>200</v>
      </c>
    </row>
    <row r="178" spans="1:10" x14ac:dyDescent="0.35">
      <c r="A178">
        <v>177</v>
      </c>
      <c r="B178" t="s">
        <v>624</v>
      </c>
      <c r="C178" t="s">
        <v>625</v>
      </c>
      <c r="D178" s="7">
        <v>50.6</v>
      </c>
      <c r="E178">
        <v>50.554433195623552</v>
      </c>
      <c r="F178" s="7">
        <v>49.4</v>
      </c>
      <c r="G178" s="6">
        <v>528648</v>
      </c>
      <c r="H178" s="6">
        <v>267255</v>
      </c>
      <c r="I178" s="6">
        <v>261393</v>
      </c>
      <c r="J178" t="s">
        <v>200</v>
      </c>
    </row>
    <row r="179" spans="1:10" x14ac:dyDescent="0.35">
      <c r="A179">
        <v>178</v>
      </c>
      <c r="B179" t="s">
        <v>626</v>
      </c>
      <c r="C179" t="s">
        <v>627</v>
      </c>
      <c r="D179" s="7">
        <v>50.5</v>
      </c>
      <c r="E179">
        <v>50.502414677712203</v>
      </c>
      <c r="F179" s="7">
        <v>49.5</v>
      </c>
      <c r="G179" s="6">
        <v>272086</v>
      </c>
      <c r="H179" s="6">
        <v>137410</v>
      </c>
      <c r="I179" s="6">
        <v>134676</v>
      </c>
      <c r="J179" t="s">
        <v>200</v>
      </c>
    </row>
    <row r="180" spans="1:10" x14ac:dyDescent="0.35">
      <c r="A180">
        <v>179</v>
      </c>
      <c r="B180" t="s">
        <v>628</v>
      </c>
      <c r="C180" t="s">
        <v>629</v>
      </c>
      <c r="D180" s="7">
        <v>50.5</v>
      </c>
      <c r="E180">
        <v>50.452633201911851</v>
      </c>
      <c r="F180" s="7">
        <v>49.5</v>
      </c>
      <c r="G180" s="6">
        <v>45401</v>
      </c>
      <c r="H180" s="6">
        <v>22906</v>
      </c>
      <c r="I180" s="6">
        <v>22495</v>
      </c>
      <c r="J180" t="s">
        <v>200</v>
      </c>
    </row>
    <row r="181" spans="1:10" x14ac:dyDescent="0.35">
      <c r="A181">
        <v>180</v>
      </c>
      <c r="B181" t="s">
        <v>630</v>
      </c>
      <c r="C181" t="s">
        <v>631</v>
      </c>
      <c r="D181" s="7">
        <v>50.4</v>
      </c>
      <c r="E181">
        <v>50.446251597725208</v>
      </c>
      <c r="F181" s="7">
        <v>49.6</v>
      </c>
      <c r="G181" s="6">
        <v>809745</v>
      </c>
      <c r="H181" s="6">
        <v>408486</v>
      </c>
      <c r="I181" s="6">
        <v>401259</v>
      </c>
      <c r="J181" t="s">
        <v>200</v>
      </c>
    </row>
    <row r="182" spans="1:10" x14ac:dyDescent="0.35">
      <c r="A182">
        <v>181</v>
      </c>
      <c r="B182" t="s">
        <v>632</v>
      </c>
      <c r="C182" t="s">
        <v>633</v>
      </c>
      <c r="D182" s="7">
        <v>50.4</v>
      </c>
      <c r="E182">
        <v>50.437183617119189</v>
      </c>
      <c r="F182" s="7">
        <v>49.6</v>
      </c>
      <c r="G182" s="6">
        <v>32595</v>
      </c>
      <c r="H182" s="6">
        <v>16440</v>
      </c>
      <c r="I182" s="6">
        <v>16155</v>
      </c>
      <c r="J182" t="s">
        <v>200</v>
      </c>
    </row>
    <row r="183" spans="1:10" x14ac:dyDescent="0.35">
      <c r="A183">
        <v>182</v>
      </c>
      <c r="B183" t="s">
        <v>634</v>
      </c>
      <c r="C183" t="s">
        <v>635</v>
      </c>
      <c r="D183" s="7">
        <v>50.3</v>
      </c>
      <c r="E183">
        <v>50.304038224890462</v>
      </c>
      <c r="F183" s="7">
        <v>49.7</v>
      </c>
      <c r="G183" s="6">
        <v>194219</v>
      </c>
      <c r="H183" s="6">
        <v>97700</v>
      </c>
      <c r="I183" s="6">
        <v>96519</v>
      </c>
      <c r="J183" t="s">
        <v>200</v>
      </c>
    </row>
    <row r="184" spans="1:10" x14ac:dyDescent="0.35">
      <c r="A184">
        <v>183</v>
      </c>
      <c r="B184" t="s">
        <v>636</v>
      </c>
      <c r="C184" t="s">
        <v>637</v>
      </c>
      <c r="D184" s="7">
        <v>50.3</v>
      </c>
      <c r="E184">
        <v>50.280754384220693</v>
      </c>
      <c r="F184" s="7">
        <v>49.7</v>
      </c>
      <c r="G184" s="6">
        <v>231341</v>
      </c>
      <c r="H184" s="6">
        <v>116320</v>
      </c>
      <c r="I184" s="6">
        <v>115021</v>
      </c>
      <c r="J184" t="s">
        <v>200</v>
      </c>
    </row>
    <row r="185" spans="1:10" x14ac:dyDescent="0.35">
      <c r="A185">
        <v>184</v>
      </c>
      <c r="B185" t="s">
        <v>638</v>
      </c>
      <c r="C185" t="s">
        <v>639</v>
      </c>
      <c r="D185" s="7">
        <v>50.2</v>
      </c>
      <c r="E185">
        <v>50.238581511892193</v>
      </c>
      <c r="F185" s="7">
        <v>49.8</v>
      </c>
      <c r="G185" s="6">
        <v>1084535</v>
      </c>
      <c r="H185" s="6">
        <v>544855</v>
      </c>
      <c r="I185" s="6">
        <v>539680</v>
      </c>
      <c r="J185" t="s">
        <v>200</v>
      </c>
    </row>
    <row r="186" spans="1:10" x14ac:dyDescent="0.35">
      <c r="A186">
        <v>185</v>
      </c>
      <c r="B186" t="s">
        <v>640</v>
      </c>
      <c r="C186" t="s">
        <v>641</v>
      </c>
      <c r="D186" s="7">
        <v>50.2</v>
      </c>
      <c r="E186">
        <v>50.233457119899242</v>
      </c>
      <c r="F186" s="7">
        <v>49.8</v>
      </c>
      <c r="G186" s="6">
        <v>184188</v>
      </c>
      <c r="H186" s="6">
        <v>92524</v>
      </c>
      <c r="I186" s="6">
        <v>91664</v>
      </c>
      <c r="J186" t="s">
        <v>200</v>
      </c>
    </row>
    <row r="187" spans="1:10" x14ac:dyDescent="0.35">
      <c r="A187">
        <v>186</v>
      </c>
      <c r="B187" t="s">
        <v>642</v>
      </c>
      <c r="C187" t="s">
        <v>643</v>
      </c>
      <c r="D187" s="7">
        <v>50.2</v>
      </c>
      <c r="E187">
        <v>50.220195551196873</v>
      </c>
      <c r="F187" s="7">
        <v>49.8</v>
      </c>
      <c r="G187" s="6">
        <v>8206342</v>
      </c>
      <c r="H187" s="6">
        <v>4121241</v>
      </c>
      <c r="I187" s="6">
        <v>4085101</v>
      </c>
      <c r="J187" t="s">
        <v>200</v>
      </c>
    </row>
    <row r="188" spans="1:10" x14ac:dyDescent="0.35">
      <c r="A188">
        <v>187</v>
      </c>
      <c r="B188" t="s">
        <v>644</v>
      </c>
      <c r="C188" t="s">
        <v>645</v>
      </c>
      <c r="D188" s="7">
        <v>50.1</v>
      </c>
      <c r="E188">
        <v>50.146230116270779</v>
      </c>
      <c r="F188" s="7">
        <v>49.9</v>
      </c>
      <c r="G188" s="6">
        <v>42057</v>
      </c>
      <c r="H188" s="6">
        <v>21090</v>
      </c>
      <c r="I188" s="6">
        <v>20967</v>
      </c>
      <c r="J188" t="s">
        <v>200</v>
      </c>
    </row>
    <row r="189" spans="1:10" x14ac:dyDescent="0.35">
      <c r="A189">
        <v>188</v>
      </c>
      <c r="B189" t="s">
        <v>646</v>
      </c>
      <c r="C189" t="s">
        <v>647</v>
      </c>
      <c r="D189" s="7">
        <v>50</v>
      </c>
      <c r="E189">
        <v>49.990258728179548</v>
      </c>
      <c r="F189" s="7">
        <v>50</v>
      </c>
      <c r="G189" s="6">
        <v>51328</v>
      </c>
      <c r="H189" s="6">
        <v>25659</v>
      </c>
      <c r="I189" s="6">
        <v>25669</v>
      </c>
      <c r="J189" t="s">
        <v>200</v>
      </c>
    </row>
    <row r="190" spans="1:10" x14ac:dyDescent="0.35">
      <c r="A190">
        <v>189</v>
      </c>
      <c r="B190" t="s">
        <v>648</v>
      </c>
      <c r="C190" t="s">
        <v>649</v>
      </c>
      <c r="D190" s="7">
        <v>49.9</v>
      </c>
      <c r="E190">
        <v>49.939760422981593</v>
      </c>
      <c r="F190" s="7">
        <v>50.1</v>
      </c>
      <c r="G190" s="6">
        <v>260626</v>
      </c>
      <c r="H190" s="6">
        <v>130156</v>
      </c>
      <c r="I190" s="6">
        <v>130470</v>
      </c>
      <c r="J190" t="s">
        <v>200</v>
      </c>
    </row>
    <row r="191" spans="1:10" x14ac:dyDescent="0.35">
      <c r="A191">
        <v>190</v>
      </c>
      <c r="B191" t="s">
        <v>650</v>
      </c>
      <c r="C191" t="s">
        <v>651</v>
      </c>
      <c r="D191" s="7">
        <v>49.9</v>
      </c>
      <c r="E191">
        <v>49.917809760744007</v>
      </c>
      <c r="F191" s="7">
        <v>50.1</v>
      </c>
      <c r="G191" s="6">
        <v>248813</v>
      </c>
      <c r="H191" s="6">
        <v>124202</v>
      </c>
      <c r="I191" s="6">
        <v>124611</v>
      </c>
      <c r="J191" t="s">
        <v>200</v>
      </c>
    </row>
    <row r="192" spans="1:10" x14ac:dyDescent="0.35">
      <c r="A192">
        <v>191</v>
      </c>
      <c r="B192" t="s">
        <v>652</v>
      </c>
      <c r="C192" t="s">
        <v>653</v>
      </c>
      <c r="D192" s="7">
        <v>49.9</v>
      </c>
      <c r="E192">
        <v>49.905784621618878</v>
      </c>
      <c r="F192" s="7">
        <v>50.1</v>
      </c>
      <c r="G192" s="6">
        <v>49355</v>
      </c>
      <c r="H192" s="6">
        <v>24631</v>
      </c>
      <c r="I192" s="6">
        <v>24724</v>
      </c>
      <c r="J192" t="s">
        <v>200</v>
      </c>
    </row>
    <row r="193" spans="1:10" x14ac:dyDescent="0.35">
      <c r="A193">
        <v>192</v>
      </c>
      <c r="B193" t="s">
        <v>654</v>
      </c>
      <c r="C193" t="s">
        <v>655</v>
      </c>
      <c r="D193" s="7">
        <v>49.8</v>
      </c>
      <c r="E193">
        <v>49.818057833506749</v>
      </c>
      <c r="F193" s="7">
        <v>50.2</v>
      </c>
      <c r="G193" s="6">
        <v>340218</v>
      </c>
      <c r="H193" s="6">
        <v>169490</v>
      </c>
      <c r="I193" s="6">
        <v>170728</v>
      </c>
      <c r="J193" t="s">
        <v>200</v>
      </c>
    </row>
    <row r="194" spans="1:10" x14ac:dyDescent="0.35">
      <c r="A194">
        <v>193</v>
      </c>
      <c r="B194" t="s">
        <v>656</v>
      </c>
      <c r="C194" t="s">
        <v>657</v>
      </c>
      <c r="D194" s="7">
        <v>49.8</v>
      </c>
      <c r="E194">
        <v>49.801024323215017</v>
      </c>
      <c r="F194" s="7">
        <v>50.2</v>
      </c>
      <c r="G194" s="6">
        <v>112074</v>
      </c>
      <c r="H194" s="6">
        <v>55814</v>
      </c>
      <c r="I194" s="6">
        <v>56260</v>
      </c>
      <c r="J194" t="s">
        <v>200</v>
      </c>
    </row>
    <row r="195" spans="1:10" x14ac:dyDescent="0.35">
      <c r="A195">
        <v>194</v>
      </c>
      <c r="B195" t="s">
        <v>658</v>
      </c>
      <c r="C195" t="s">
        <v>659</v>
      </c>
      <c r="D195" s="7">
        <v>49.8</v>
      </c>
      <c r="E195">
        <v>49.779504242752303</v>
      </c>
      <c r="F195" s="7">
        <v>50.2</v>
      </c>
      <c r="G195" s="6">
        <v>62813</v>
      </c>
      <c r="H195" s="6">
        <v>31268</v>
      </c>
      <c r="I195" s="6">
        <v>31545</v>
      </c>
      <c r="J195" t="s">
        <v>200</v>
      </c>
    </row>
    <row r="196" spans="1:10" x14ac:dyDescent="0.35">
      <c r="A196">
        <v>195</v>
      </c>
      <c r="B196" t="s">
        <v>660</v>
      </c>
      <c r="C196" t="s">
        <v>661</v>
      </c>
      <c r="D196" s="7">
        <v>49.7</v>
      </c>
      <c r="E196">
        <v>49.747102146316607</v>
      </c>
      <c r="F196" s="7">
        <v>50.3</v>
      </c>
      <c r="G196" s="6">
        <v>475093</v>
      </c>
      <c r="H196" s="6">
        <v>236345</v>
      </c>
      <c r="I196" s="6">
        <v>238748</v>
      </c>
      <c r="J196" t="s">
        <v>200</v>
      </c>
    </row>
    <row r="197" spans="1:10" x14ac:dyDescent="0.35">
      <c r="A197">
        <v>196</v>
      </c>
      <c r="B197" t="s">
        <v>662</v>
      </c>
      <c r="C197" t="s">
        <v>663</v>
      </c>
      <c r="D197" s="7">
        <v>49.7</v>
      </c>
      <c r="E197">
        <v>49.714657441083418</v>
      </c>
      <c r="F197" s="7">
        <v>50.3</v>
      </c>
      <c r="G197" s="6">
        <v>33819</v>
      </c>
      <c r="H197" s="6">
        <v>16813</v>
      </c>
      <c r="I197" s="6">
        <v>17006</v>
      </c>
      <c r="J197" t="s">
        <v>200</v>
      </c>
    </row>
    <row r="198" spans="1:10" x14ac:dyDescent="0.35">
      <c r="A198">
        <v>197</v>
      </c>
      <c r="B198" t="s">
        <v>664</v>
      </c>
      <c r="C198" t="s">
        <v>665</v>
      </c>
      <c r="D198" s="7">
        <v>49.6</v>
      </c>
      <c r="E198">
        <v>49.610178241733237</v>
      </c>
      <c r="F198" s="7">
        <v>50.4</v>
      </c>
      <c r="G198" s="6">
        <v>114283</v>
      </c>
      <c r="H198" s="6">
        <v>56696</v>
      </c>
      <c r="I198" s="6">
        <v>57587</v>
      </c>
      <c r="J198" t="s">
        <v>200</v>
      </c>
    </row>
    <row r="199" spans="1:10" x14ac:dyDescent="0.35">
      <c r="A199">
        <v>198</v>
      </c>
      <c r="B199" t="s">
        <v>666</v>
      </c>
      <c r="C199" t="s">
        <v>667</v>
      </c>
      <c r="D199" s="7">
        <v>49.6</v>
      </c>
      <c r="E199">
        <v>49.608301732555233</v>
      </c>
      <c r="F199" s="7">
        <v>50.4</v>
      </c>
      <c r="G199" s="6">
        <v>44039</v>
      </c>
      <c r="H199" s="6">
        <v>21847</v>
      </c>
      <c r="I199" s="6">
        <v>22192</v>
      </c>
      <c r="J199" t="s">
        <v>200</v>
      </c>
    </row>
    <row r="200" spans="1:10" x14ac:dyDescent="0.35">
      <c r="A200">
        <v>199</v>
      </c>
      <c r="B200" t="s">
        <v>668</v>
      </c>
      <c r="C200" t="s">
        <v>669</v>
      </c>
      <c r="D200" s="7">
        <v>49.6</v>
      </c>
      <c r="E200">
        <v>49.564451771229457</v>
      </c>
      <c r="F200" s="7">
        <v>50.4</v>
      </c>
      <c r="G200" s="6">
        <v>106762</v>
      </c>
      <c r="H200" s="6">
        <v>52916</v>
      </c>
      <c r="I200" s="6">
        <v>53846</v>
      </c>
      <c r="J200" t="s">
        <v>200</v>
      </c>
    </row>
    <row r="201" spans="1:10" x14ac:dyDescent="0.35">
      <c r="A201">
        <v>200</v>
      </c>
      <c r="B201" t="s">
        <v>670</v>
      </c>
      <c r="C201" t="s">
        <v>671</v>
      </c>
      <c r="D201" s="7">
        <v>49.6</v>
      </c>
      <c r="E201">
        <v>49.553804838633013</v>
      </c>
      <c r="F201" s="7">
        <v>50.4</v>
      </c>
      <c r="G201" s="6">
        <v>168312</v>
      </c>
      <c r="H201" s="6">
        <v>83405</v>
      </c>
      <c r="I201" s="6">
        <v>84907</v>
      </c>
      <c r="J201" t="s">
        <v>200</v>
      </c>
    </row>
    <row r="202" spans="1:10" x14ac:dyDescent="0.35">
      <c r="A202">
        <v>201</v>
      </c>
      <c r="B202" t="s">
        <v>672</v>
      </c>
      <c r="C202" t="s">
        <v>673</v>
      </c>
      <c r="D202" s="7">
        <v>49.4</v>
      </c>
      <c r="E202">
        <v>49.378063725490193</v>
      </c>
      <c r="F202" s="7">
        <v>50.6</v>
      </c>
      <c r="G202" s="6">
        <v>32640</v>
      </c>
      <c r="H202" s="6">
        <v>16117</v>
      </c>
      <c r="I202" s="6">
        <v>16523</v>
      </c>
      <c r="J202" t="s">
        <v>200</v>
      </c>
    </row>
    <row r="203" spans="1:10" x14ac:dyDescent="0.35">
      <c r="A203">
        <v>202</v>
      </c>
      <c r="B203" t="s">
        <v>674</v>
      </c>
      <c r="C203" t="s">
        <v>675</v>
      </c>
      <c r="D203" s="7">
        <v>49.4</v>
      </c>
      <c r="E203">
        <v>49.371038689715363</v>
      </c>
      <c r="F203" s="7">
        <v>50.6</v>
      </c>
      <c r="G203" s="6">
        <v>113441</v>
      </c>
      <c r="H203" s="6">
        <v>56007</v>
      </c>
      <c r="I203" s="6">
        <v>57434</v>
      </c>
      <c r="J203" t="s">
        <v>200</v>
      </c>
    </row>
    <row r="204" spans="1:10" x14ac:dyDescent="0.35">
      <c r="A204">
        <v>203</v>
      </c>
      <c r="B204" t="s">
        <v>676</v>
      </c>
      <c r="C204" t="s">
        <v>677</v>
      </c>
      <c r="D204" s="7">
        <v>49.3</v>
      </c>
      <c r="E204">
        <v>49.315047630651137</v>
      </c>
      <c r="F204" s="7">
        <v>50.7</v>
      </c>
      <c r="G204" s="6">
        <v>131323</v>
      </c>
      <c r="H204" s="6">
        <v>64762</v>
      </c>
      <c r="I204" s="6">
        <v>66561</v>
      </c>
      <c r="J204" t="s">
        <v>200</v>
      </c>
    </row>
    <row r="205" spans="1:10" x14ac:dyDescent="0.35">
      <c r="A205">
        <v>204</v>
      </c>
      <c r="B205" t="s">
        <v>678</v>
      </c>
      <c r="C205" t="s">
        <v>679</v>
      </c>
      <c r="D205" s="7">
        <v>49.2</v>
      </c>
      <c r="E205">
        <v>49.194049937297997</v>
      </c>
      <c r="F205" s="7">
        <v>50.8</v>
      </c>
      <c r="G205" s="6">
        <v>98083</v>
      </c>
      <c r="H205" s="6">
        <v>48251</v>
      </c>
      <c r="I205" s="6">
        <v>49832</v>
      </c>
      <c r="J205" t="s">
        <v>200</v>
      </c>
    </row>
    <row r="206" spans="1:10" x14ac:dyDescent="0.35">
      <c r="A206">
        <v>205</v>
      </c>
      <c r="B206" t="s">
        <v>680</v>
      </c>
      <c r="C206" t="s">
        <v>681</v>
      </c>
      <c r="D206" s="7">
        <v>49.2</v>
      </c>
      <c r="E206">
        <v>49.1881291672114</v>
      </c>
      <c r="F206" s="7">
        <v>50.8</v>
      </c>
      <c r="G206" s="6">
        <v>114735</v>
      </c>
      <c r="H206" s="6">
        <v>56436</v>
      </c>
      <c r="I206" s="6">
        <v>58299</v>
      </c>
      <c r="J206" t="s">
        <v>200</v>
      </c>
    </row>
    <row r="207" spans="1:10" x14ac:dyDescent="0.35">
      <c r="A207">
        <v>206</v>
      </c>
      <c r="B207" t="s">
        <v>682</v>
      </c>
      <c r="C207" t="s">
        <v>683</v>
      </c>
      <c r="D207" s="7">
        <v>49.1</v>
      </c>
      <c r="E207">
        <v>49.1439150209684</v>
      </c>
      <c r="F207" s="7">
        <v>50.9</v>
      </c>
      <c r="G207" s="6">
        <v>2775367</v>
      </c>
      <c r="H207" s="6">
        <v>1363924</v>
      </c>
      <c r="I207" s="6">
        <v>1411443</v>
      </c>
      <c r="J207" t="s">
        <v>200</v>
      </c>
    </row>
    <row r="208" spans="1:10" x14ac:dyDescent="0.35">
      <c r="A208">
        <v>207</v>
      </c>
      <c r="B208" t="s">
        <v>684</v>
      </c>
      <c r="C208" t="s">
        <v>685</v>
      </c>
      <c r="D208" s="7">
        <v>49.1</v>
      </c>
      <c r="E208">
        <v>49.104949508498287</v>
      </c>
      <c r="F208" s="7">
        <v>50.9</v>
      </c>
      <c r="G208" s="6">
        <v>260935</v>
      </c>
      <c r="H208" s="6">
        <v>128132</v>
      </c>
      <c r="I208" s="6">
        <v>132803</v>
      </c>
      <c r="J208" t="s">
        <v>200</v>
      </c>
    </row>
    <row r="209" spans="1:10" x14ac:dyDescent="0.35">
      <c r="A209">
        <v>208</v>
      </c>
      <c r="B209" t="s">
        <v>686</v>
      </c>
      <c r="C209" t="s">
        <v>687</v>
      </c>
      <c r="D209" s="7">
        <v>49.1</v>
      </c>
      <c r="E209">
        <v>49.095557230449572</v>
      </c>
      <c r="F209" s="7">
        <v>50.9</v>
      </c>
      <c r="G209" s="6">
        <v>98182</v>
      </c>
      <c r="H209" s="6">
        <v>48203</v>
      </c>
      <c r="I209" s="6">
        <v>49979</v>
      </c>
      <c r="J209" t="s">
        <v>200</v>
      </c>
    </row>
    <row r="210" spans="1:10" x14ac:dyDescent="0.35">
      <c r="A210">
        <v>209</v>
      </c>
      <c r="B210" t="s">
        <v>688</v>
      </c>
      <c r="C210" t="s">
        <v>689</v>
      </c>
      <c r="D210" s="7">
        <v>48.9</v>
      </c>
      <c r="E210">
        <v>48.927955709880287</v>
      </c>
      <c r="F210" s="7">
        <v>51.1</v>
      </c>
      <c r="G210" s="6">
        <v>41183</v>
      </c>
      <c r="H210" s="6">
        <v>20150</v>
      </c>
      <c r="I210" s="6">
        <v>21033</v>
      </c>
      <c r="J210" t="s">
        <v>200</v>
      </c>
    </row>
    <row r="211" spans="1:10" x14ac:dyDescent="0.35">
      <c r="A211">
        <v>210</v>
      </c>
      <c r="B211" t="s">
        <v>690</v>
      </c>
      <c r="C211" t="s">
        <v>691</v>
      </c>
      <c r="D211" s="7">
        <v>48.9</v>
      </c>
      <c r="E211">
        <v>48.91897503779694</v>
      </c>
      <c r="F211" s="7">
        <v>51.1</v>
      </c>
      <c r="G211" s="6">
        <v>308226</v>
      </c>
      <c r="H211" s="6">
        <v>150781</v>
      </c>
      <c r="I211" s="6">
        <v>157445</v>
      </c>
      <c r="J211" t="s">
        <v>200</v>
      </c>
    </row>
    <row r="212" spans="1:10" x14ac:dyDescent="0.35">
      <c r="A212">
        <v>211</v>
      </c>
      <c r="B212" t="s">
        <v>692</v>
      </c>
      <c r="C212" t="s">
        <v>693</v>
      </c>
      <c r="D212" s="7">
        <v>48.9</v>
      </c>
      <c r="E212">
        <v>48.896267888878498</v>
      </c>
      <c r="F212" s="7">
        <v>51.1</v>
      </c>
      <c r="G212" s="6">
        <v>21382</v>
      </c>
      <c r="H212" s="6">
        <v>10455</v>
      </c>
      <c r="I212" s="6">
        <v>10927</v>
      </c>
      <c r="J212" t="s">
        <v>200</v>
      </c>
    </row>
    <row r="213" spans="1:10" x14ac:dyDescent="0.35">
      <c r="A213">
        <v>212</v>
      </c>
      <c r="B213" t="s">
        <v>694</v>
      </c>
      <c r="C213" t="s">
        <v>695</v>
      </c>
      <c r="D213" s="7">
        <v>48.8</v>
      </c>
      <c r="E213">
        <v>48.806026722259077</v>
      </c>
      <c r="F213" s="7">
        <v>51.2</v>
      </c>
      <c r="G213" s="6">
        <v>84424</v>
      </c>
      <c r="H213" s="6">
        <v>41204</v>
      </c>
      <c r="I213" s="6">
        <v>43220</v>
      </c>
      <c r="J213" t="s">
        <v>200</v>
      </c>
    </row>
    <row r="214" spans="1:10" x14ac:dyDescent="0.35">
      <c r="A214">
        <v>213</v>
      </c>
      <c r="B214" t="s">
        <v>696</v>
      </c>
      <c r="C214" t="s">
        <v>697</v>
      </c>
      <c r="D214" s="7">
        <v>48.8</v>
      </c>
      <c r="E214">
        <v>48.785843451304572</v>
      </c>
      <c r="F214" s="7">
        <v>51.2</v>
      </c>
      <c r="G214" s="6">
        <v>154840</v>
      </c>
      <c r="H214" s="6">
        <v>75540</v>
      </c>
      <c r="I214" s="6">
        <v>79300</v>
      </c>
      <c r="J214" t="s">
        <v>200</v>
      </c>
    </row>
    <row r="215" spans="1:10" x14ac:dyDescent="0.35">
      <c r="A215">
        <v>214</v>
      </c>
      <c r="B215" t="s">
        <v>698</v>
      </c>
      <c r="C215" t="s">
        <v>699</v>
      </c>
      <c r="D215" s="7">
        <v>48.7</v>
      </c>
      <c r="E215">
        <v>48.749706538449573</v>
      </c>
      <c r="F215" s="7">
        <v>51.3</v>
      </c>
      <c r="G215" s="6">
        <v>1188401</v>
      </c>
      <c r="H215" s="6">
        <v>579342</v>
      </c>
      <c r="I215" s="6">
        <v>609059</v>
      </c>
      <c r="J215" t="s">
        <v>200</v>
      </c>
    </row>
    <row r="216" spans="1:10" x14ac:dyDescent="0.35">
      <c r="A216">
        <v>215</v>
      </c>
      <c r="B216" t="s">
        <v>700</v>
      </c>
      <c r="C216" t="s">
        <v>701</v>
      </c>
      <c r="D216" s="7">
        <v>48.6</v>
      </c>
      <c r="E216">
        <v>48.62182043782682</v>
      </c>
      <c r="F216" s="7">
        <v>51.4</v>
      </c>
      <c r="G216" s="6">
        <v>101547</v>
      </c>
      <c r="H216" s="6">
        <v>49374</v>
      </c>
      <c r="I216" s="6">
        <v>52173</v>
      </c>
      <c r="J216" t="s">
        <v>200</v>
      </c>
    </row>
    <row r="217" spans="1:10" x14ac:dyDescent="0.35">
      <c r="A217">
        <v>216</v>
      </c>
      <c r="B217" t="s">
        <v>702</v>
      </c>
      <c r="C217" t="s">
        <v>703</v>
      </c>
      <c r="D217" s="7">
        <v>48.6</v>
      </c>
      <c r="E217">
        <v>48.599166259811469</v>
      </c>
      <c r="F217" s="7">
        <v>51.4</v>
      </c>
      <c r="G217" s="6">
        <v>53254</v>
      </c>
      <c r="H217" s="6">
        <v>25881</v>
      </c>
      <c r="I217" s="6">
        <v>27373</v>
      </c>
      <c r="J217" t="s">
        <v>200</v>
      </c>
    </row>
    <row r="218" spans="1:10" x14ac:dyDescent="0.35">
      <c r="A218">
        <v>217</v>
      </c>
      <c r="B218" t="s">
        <v>704</v>
      </c>
      <c r="C218" t="s">
        <v>705</v>
      </c>
      <c r="D218" s="7">
        <v>48.6</v>
      </c>
      <c r="E218">
        <v>48.566479512603031</v>
      </c>
      <c r="F218" s="7">
        <v>51.4</v>
      </c>
      <c r="G218" s="6">
        <v>50226</v>
      </c>
      <c r="H218" s="6">
        <v>24393</v>
      </c>
      <c r="I218" s="6">
        <v>25833</v>
      </c>
      <c r="J218" t="s">
        <v>200</v>
      </c>
    </row>
    <row r="219" spans="1:10" x14ac:dyDescent="0.35">
      <c r="A219">
        <v>218</v>
      </c>
      <c r="B219" t="s">
        <v>706</v>
      </c>
      <c r="C219" t="s">
        <v>707</v>
      </c>
      <c r="D219" s="7">
        <v>48.5</v>
      </c>
      <c r="E219">
        <v>48.535871156661777</v>
      </c>
      <c r="F219" s="7">
        <v>51.5</v>
      </c>
      <c r="G219" s="6">
        <v>12294</v>
      </c>
      <c r="H219" s="6">
        <v>5967</v>
      </c>
      <c r="I219" s="6">
        <v>6327</v>
      </c>
      <c r="J219" t="s">
        <v>200</v>
      </c>
    </row>
    <row r="220" spans="1:10" x14ac:dyDescent="0.35">
      <c r="A220">
        <v>219</v>
      </c>
      <c r="B220" t="s">
        <v>708</v>
      </c>
      <c r="C220" t="s">
        <v>709</v>
      </c>
      <c r="D220" s="7">
        <v>48.4</v>
      </c>
      <c r="E220">
        <v>48.436044049131723</v>
      </c>
      <c r="F220" s="7">
        <v>51.6</v>
      </c>
      <c r="G220" s="6">
        <v>94440</v>
      </c>
      <c r="H220" s="6">
        <v>45743</v>
      </c>
      <c r="I220" s="6">
        <v>48697</v>
      </c>
      <c r="J220" t="s">
        <v>200</v>
      </c>
    </row>
    <row r="221" spans="1:10" x14ac:dyDescent="0.35">
      <c r="A221">
        <v>220</v>
      </c>
      <c r="B221" t="s">
        <v>710</v>
      </c>
      <c r="C221" t="s">
        <v>711</v>
      </c>
      <c r="D221" s="7">
        <v>48.4</v>
      </c>
      <c r="E221">
        <v>48.396644633803191</v>
      </c>
      <c r="F221" s="7">
        <v>51.6</v>
      </c>
      <c r="G221" s="6">
        <v>75342</v>
      </c>
      <c r="H221" s="6">
        <v>36463</v>
      </c>
      <c r="I221" s="6">
        <v>38879</v>
      </c>
      <c r="J221" t="s">
        <v>200</v>
      </c>
    </row>
    <row r="222" spans="1:10" x14ac:dyDescent="0.35">
      <c r="A222">
        <v>221</v>
      </c>
      <c r="B222" t="s">
        <v>712</v>
      </c>
      <c r="C222" t="s">
        <v>713</v>
      </c>
      <c r="D222" s="7">
        <v>48.3</v>
      </c>
      <c r="E222">
        <v>48.345814041387129</v>
      </c>
      <c r="F222" s="7">
        <v>51.7</v>
      </c>
      <c r="G222" s="6">
        <v>169328</v>
      </c>
      <c r="H222" s="6">
        <v>81863</v>
      </c>
      <c r="I222" s="6">
        <v>87465</v>
      </c>
      <c r="J222" t="s">
        <v>200</v>
      </c>
    </row>
    <row r="223" spans="1:10" x14ac:dyDescent="0.35">
      <c r="A223">
        <v>222</v>
      </c>
      <c r="B223" t="s">
        <v>714</v>
      </c>
      <c r="C223" t="s">
        <v>715</v>
      </c>
      <c r="D223" s="7">
        <v>48.3</v>
      </c>
      <c r="E223">
        <v>48.31672226428995</v>
      </c>
      <c r="F223" s="7">
        <v>51.7</v>
      </c>
      <c r="G223" s="6">
        <v>48863</v>
      </c>
      <c r="H223" s="6">
        <v>23609</v>
      </c>
      <c r="I223" s="6">
        <v>25254</v>
      </c>
      <c r="J223" t="s">
        <v>200</v>
      </c>
    </row>
    <row r="224" spans="1:10" x14ac:dyDescent="0.35">
      <c r="A224">
        <v>223</v>
      </c>
      <c r="B224" t="s">
        <v>716</v>
      </c>
      <c r="C224" t="s">
        <v>717</v>
      </c>
      <c r="D224" s="7">
        <v>48.3</v>
      </c>
      <c r="E224">
        <v>48.255400944381762</v>
      </c>
      <c r="F224" s="7">
        <v>51.7</v>
      </c>
      <c r="G224" s="6">
        <v>119655</v>
      </c>
      <c r="H224" s="6">
        <v>57740</v>
      </c>
      <c r="I224" s="6">
        <v>61915</v>
      </c>
      <c r="J224" t="s">
        <v>200</v>
      </c>
    </row>
    <row r="225" spans="1:10" x14ac:dyDescent="0.35">
      <c r="A225">
        <v>224</v>
      </c>
      <c r="B225" t="s">
        <v>718</v>
      </c>
      <c r="C225" t="s">
        <v>719</v>
      </c>
      <c r="D225" s="7">
        <v>48.2</v>
      </c>
      <c r="E225">
        <v>48.185497941238047</v>
      </c>
      <c r="F225" s="7">
        <v>51.8</v>
      </c>
      <c r="G225" s="6">
        <v>57316</v>
      </c>
      <c r="H225" s="6">
        <v>27618</v>
      </c>
      <c r="I225" s="6">
        <v>29698</v>
      </c>
      <c r="J225" t="s">
        <v>200</v>
      </c>
    </row>
    <row r="226" spans="1:10" x14ac:dyDescent="0.35">
      <c r="A226">
        <v>225</v>
      </c>
      <c r="B226" t="s">
        <v>720</v>
      </c>
      <c r="C226" t="s">
        <v>721</v>
      </c>
      <c r="D226" s="7">
        <v>48.1</v>
      </c>
      <c r="E226">
        <v>48.09645751575632</v>
      </c>
      <c r="F226" s="7">
        <v>51.9</v>
      </c>
      <c r="G226" s="6">
        <v>985636</v>
      </c>
      <c r="H226" s="6">
        <v>474056</v>
      </c>
      <c r="I226" s="6">
        <v>511580</v>
      </c>
      <c r="J226" t="s">
        <v>200</v>
      </c>
    </row>
    <row r="227" spans="1:10" x14ac:dyDescent="0.35">
      <c r="A227">
        <v>226</v>
      </c>
      <c r="B227" t="s">
        <v>722</v>
      </c>
      <c r="C227" t="s">
        <v>723</v>
      </c>
      <c r="D227" s="7">
        <v>48.1</v>
      </c>
      <c r="E227">
        <v>48.091799386685132</v>
      </c>
      <c r="F227" s="7">
        <v>51.9</v>
      </c>
      <c r="G227" s="6">
        <v>50545</v>
      </c>
      <c r="H227" s="6">
        <v>24308</v>
      </c>
      <c r="I227" s="6">
        <v>26237</v>
      </c>
      <c r="J227" t="s">
        <v>200</v>
      </c>
    </row>
    <row r="228" spans="1:10" x14ac:dyDescent="0.35">
      <c r="A228">
        <v>227</v>
      </c>
      <c r="B228" t="s">
        <v>724</v>
      </c>
      <c r="C228" t="s">
        <v>725</v>
      </c>
      <c r="D228" s="7">
        <v>48.1</v>
      </c>
      <c r="E228">
        <v>48.067126936105304</v>
      </c>
      <c r="F228" s="7">
        <v>51.9</v>
      </c>
      <c r="G228" s="6">
        <v>77346</v>
      </c>
      <c r="H228" s="6">
        <v>37178</v>
      </c>
      <c r="I228" s="6">
        <v>40168</v>
      </c>
      <c r="J228" t="s">
        <v>200</v>
      </c>
    </row>
    <row r="229" spans="1:10" x14ac:dyDescent="0.35">
      <c r="A229">
        <v>228</v>
      </c>
      <c r="B229" t="s">
        <v>726</v>
      </c>
      <c r="C229" t="s">
        <v>727</v>
      </c>
      <c r="D229" s="7">
        <v>48.1</v>
      </c>
      <c r="E229">
        <v>48.067108364419212</v>
      </c>
      <c r="F229" s="7">
        <v>51.9</v>
      </c>
      <c r="G229" s="6">
        <v>53883</v>
      </c>
      <c r="H229" s="6">
        <v>25900</v>
      </c>
      <c r="I229" s="6">
        <v>27983</v>
      </c>
      <c r="J229" t="s">
        <v>200</v>
      </c>
    </row>
    <row r="230" spans="1:10" x14ac:dyDescent="0.35">
      <c r="A230">
        <v>229</v>
      </c>
      <c r="B230" t="s">
        <v>728</v>
      </c>
      <c r="C230" t="s">
        <v>729</v>
      </c>
      <c r="D230" s="7">
        <v>48.1</v>
      </c>
      <c r="E230">
        <v>48.062932924919068</v>
      </c>
      <c r="F230" s="7">
        <v>51.9</v>
      </c>
      <c r="G230" s="6">
        <v>28729</v>
      </c>
      <c r="H230" s="6">
        <v>13808</v>
      </c>
      <c r="I230" s="6">
        <v>14921</v>
      </c>
      <c r="J230" t="s">
        <v>200</v>
      </c>
    </row>
    <row r="231" spans="1:10" x14ac:dyDescent="0.35">
      <c r="A231">
        <v>230</v>
      </c>
      <c r="B231" t="s">
        <v>730</v>
      </c>
      <c r="C231" t="s">
        <v>731</v>
      </c>
      <c r="D231" s="7">
        <v>47.8</v>
      </c>
      <c r="E231">
        <v>47.819955003142113</v>
      </c>
      <c r="F231" s="7">
        <v>52.2</v>
      </c>
      <c r="G231" s="6">
        <v>208459</v>
      </c>
      <c r="H231" s="6">
        <v>99685</v>
      </c>
      <c r="I231" s="6">
        <v>108774</v>
      </c>
      <c r="J231" t="s">
        <v>200</v>
      </c>
    </row>
    <row r="232" spans="1:10" x14ac:dyDescent="0.35">
      <c r="A232">
        <v>231</v>
      </c>
      <c r="B232" t="s">
        <v>732</v>
      </c>
      <c r="C232" t="s">
        <v>733</v>
      </c>
      <c r="D232" s="7">
        <v>47.7</v>
      </c>
      <c r="E232">
        <v>47.749695656902787</v>
      </c>
      <c r="F232" s="7">
        <v>52.3</v>
      </c>
      <c r="G232" s="6">
        <v>763119</v>
      </c>
      <c r="H232" s="6">
        <v>364387</v>
      </c>
      <c r="I232" s="6">
        <v>398732</v>
      </c>
      <c r="J232" t="s">
        <v>200</v>
      </c>
    </row>
    <row r="233" spans="1:10" x14ac:dyDescent="0.35">
      <c r="A233">
        <v>232</v>
      </c>
      <c r="B233" t="s">
        <v>734</v>
      </c>
      <c r="C233" t="s">
        <v>735</v>
      </c>
      <c r="D233" s="7">
        <v>47.7</v>
      </c>
      <c r="E233">
        <v>47.741485535988147</v>
      </c>
      <c r="F233" s="7">
        <v>52.3</v>
      </c>
      <c r="G233" s="6">
        <v>302544</v>
      </c>
      <c r="H233" s="6">
        <v>144439</v>
      </c>
      <c r="I233" s="6">
        <v>158105</v>
      </c>
      <c r="J233" t="s">
        <v>200</v>
      </c>
    </row>
    <row r="234" spans="1:10" x14ac:dyDescent="0.35">
      <c r="A234">
        <v>233</v>
      </c>
      <c r="B234" t="s">
        <v>736</v>
      </c>
      <c r="C234" t="s">
        <v>737</v>
      </c>
      <c r="D234" s="7">
        <v>47.7</v>
      </c>
      <c r="E234">
        <v>47.74085537970371</v>
      </c>
      <c r="F234" s="7">
        <v>52.3</v>
      </c>
      <c r="G234" s="6">
        <v>51369</v>
      </c>
      <c r="H234" s="6">
        <v>24524</v>
      </c>
      <c r="I234" s="6">
        <v>26845</v>
      </c>
      <c r="J234" t="s">
        <v>200</v>
      </c>
    </row>
    <row r="235" spans="1:10" x14ac:dyDescent="0.35">
      <c r="A235">
        <v>234</v>
      </c>
      <c r="B235" t="s">
        <v>738</v>
      </c>
      <c r="C235" t="s">
        <v>739</v>
      </c>
      <c r="D235" s="7">
        <v>47.7</v>
      </c>
      <c r="E235">
        <v>47.718048805707788</v>
      </c>
      <c r="F235" s="7">
        <v>52.3</v>
      </c>
      <c r="G235" s="6">
        <v>154736</v>
      </c>
      <c r="H235" s="6">
        <v>73837</v>
      </c>
      <c r="I235" s="6">
        <v>80899</v>
      </c>
      <c r="J235" t="s">
        <v>200</v>
      </c>
    </row>
    <row r="236" spans="1:10" x14ac:dyDescent="0.35">
      <c r="A236">
        <v>235</v>
      </c>
      <c r="B236" t="s">
        <v>740</v>
      </c>
      <c r="C236" t="s">
        <v>741</v>
      </c>
      <c r="D236" s="7">
        <v>47.7</v>
      </c>
      <c r="E236">
        <v>47.703327150312809</v>
      </c>
      <c r="F236" s="7">
        <v>52.3</v>
      </c>
      <c r="G236" s="6">
        <v>214027</v>
      </c>
      <c r="H236" s="6">
        <v>102098</v>
      </c>
      <c r="I236" s="6">
        <v>111929</v>
      </c>
      <c r="J236" t="s">
        <v>200</v>
      </c>
    </row>
    <row r="237" spans="1:10" x14ac:dyDescent="0.35">
      <c r="A237">
        <v>236</v>
      </c>
      <c r="B237" t="s">
        <v>742</v>
      </c>
      <c r="C237" t="s">
        <v>743</v>
      </c>
      <c r="D237" s="7">
        <v>47.6</v>
      </c>
      <c r="E237">
        <v>47.61090772046947</v>
      </c>
      <c r="F237" s="7">
        <v>52.4</v>
      </c>
      <c r="G237" s="6">
        <v>297184</v>
      </c>
      <c r="H237" s="6">
        <v>141492</v>
      </c>
      <c r="I237" s="6">
        <v>155692</v>
      </c>
      <c r="J237" t="s">
        <v>200</v>
      </c>
    </row>
    <row r="238" spans="1:10" x14ac:dyDescent="0.35">
      <c r="A238">
        <v>237</v>
      </c>
      <c r="B238" t="s">
        <v>744</v>
      </c>
      <c r="C238" t="s">
        <v>745</v>
      </c>
      <c r="D238" s="7">
        <v>47.6</v>
      </c>
      <c r="E238">
        <v>47.574558857281723</v>
      </c>
      <c r="F238" s="7">
        <v>52.4</v>
      </c>
      <c r="G238" s="6">
        <v>74069</v>
      </c>
      <c r="H238" s="6">
        <v>35238</v>
      </c>
      <c r="I238" s="6">
        <v>38831</v>
      </c>
      <c r="J238" t="s">
        <v>200</v>
      </c>
    </row>
    <row r="239" spans="1:10" x14ac:dyDescent="0.35">
      <c r="A239">
        <v>238</v>
      </c>
      <c r="B239" t="s">
        <v>746</v>
      </c>
      <c r="C239" t="s">
        <v>747</v>
      </c>
      <c r="D239" s="7">
        <v>47.4</v>
      </c>
      <c r="E239">
        <v>47.434469972359352</v>
      </c>
      <c r="F239" s="7">
        <v>52.6</v>
      </c>
      <c r="G239" s="6">
        <v>590073</v>
      </c>
      <c r="H239" s="6">
        <v>279898</v>
      </c>
      <c r="I239" s="6">
        <v>310175</v>
      </c>
      <c r="J239" t="s">
        <v>200</v>
      </c>
    </row>
    <row r="240" spans="1:10" x14ac:dyDescent="0.35">
      <c r="A240">
        <v>239</v>
      </c>
      <c r="B240" t="s">
        <v>748</v>
      </c>
      <c r="C240" t="s">
        <v>749</v>
      </c>
      <c r="D240" s="7">
        <v>47.4</v>
      </c>
      <c r="E240">
        <v>47.396927838496097</v>
      </c>
      <c r="F240" s="7">
        <v>52.6</v>
      </c>
      <c r="G240" s="6">
        <v>113731</v>
      </c>
      <c r="H240" s="6">
        <v>53905</v>
      </c>
      <c r="I240" s="6">
        <v>59826</v>
      </c>
      <c r="J240" t="s">
        <v>200</v>
      </c>
    </row>
    <row r="241" spans="1:10" x14ac:dyDescent="0.35">
      <c r="A241">
        <v>240</v>
      </c>
      <c r="B241" t="s">
        <v>750</v>
      </c>
      <c r="C241" t="s">
        <v>751</v>
      </c>
      <c r="D241" s="7">
        <v>47.3</v>
      </c>
      <c r="E241">
        <v>47.347312408624518</v>
      </c>
      <c r="F241" s="7">
        <v>52.7</v>
      </c>
      <c r="G241" s="6">
        <v>151846</v>
      </c>
      <c r="H241" s="6">
        <v>71895</v>
      </c>
      <c r="I241" s="6">
        <v>79951</v>
      </c>
      <c r="J241" t="s">
        <v>200</v>
      </c>
    </row>
    <row r="242" spans="1:10" x14ac:dyDescent="0.35">
      <c r="A242">
        <v>241</v>
      </c>
      <c r="B242" t="s">
        <v>752</v>
      </c>
      <c r="C242" t="s">
        <v>753</v>
      </c>
      <c r="D242" s="7">
        <v>47.3</v>
      </c>
      <c r="E242">
        <v>47.313332231110657</v>
      </c>
      <c r="F242" s="7">
        <v>52.7</v>
      </c>
      <c r="G242" s="6">
        <v>78629</v>
      </c>
      <c r="H242" s="6">
        <v>37202</v>
      </c>
      <c r="I242" s="6">
        <v>41427</v>
      </c>
      <c r="J242" t="s">
        <v>200</v>
      </c>
    </row>
    <row r="243" spans="1:10" x14ac:dyDescent="0.35">
      <c r="A243">
        <v>242</v>
      </c>
      <c r="B243" t="s">
        <v>754</v>
      </c>
      <c r="C243" t="s">
        <v>755</v>
      </c>
      <c r="D243" s="7">
        <v>47.3</v>
      </c>
      <c r="E243">
        <v>47.296726242263041</v>
      </c>
      <c r="F243" s="7">
        <v>52.7</v>
      </c>
      <c r="G243" s="6">
        <v>80458</v>
      </c>
      <c r="H243" s="6">
        <v>38054</v>
      </c>
      <c r="I243" s="6">
        <v>42404</v>
      </c>
      <c r="J243" t="s">
        <v>200</v>
      </c>
    </row>
    <row r="244" spans="1:10" x14ac:dyDescent="0.35">
      <c r="A244">
        <v>243</v>
      </c>
      <c r="B244" t="s">
        <v>756</v>
      </c>
      <c r="C244" t="s">
        <v>757</v>
      </c>
      <c r="D244" s="7">
        <v>47.3</v>
      </c>
      <c r="E244">
        <v>47.257462225189798</v>
      </c>
      <c r="F244" s="7">
        <v>52.7</v>
      </c>
      <c r="G244" s="6">
        <v>80874</v>
      </c>
      <c r="H244" s="6">
        <v>38219</v>
      </c>
      <c r="I244" s="6">
        <v>42655</v>
      </c>
      <c r="J244" t="s">
        <v>200</v>
      </c>
    </row>
    <row r="245" spans="1:10" x14ac:dyDescent="0.35">
      <c r="A245">
        <v>244</v>
      </c>
      <c r="B245" t="s">
        <v>758</v>
      </c>
      <c r="C245" t="s">
        <v>759</v>
      </c>
      <c r="D245" s="7">
        <v>47.3</v>
      </c>
      <c r="E245">
        <v>47.255889395721873</v>
      </c>
      <c r="F245" s="7">
        <v>52.7</v>
      </c>
      <c r="G245" s="6">
        <v>311959</v>
      </c>
      <c r="H245" s="6">
        <v>147419</v>
      </c>
      <c r="I245" s="6">
        <v>164540</v>
      </c>
      <c r="J245" t="s">
        <v>200</v>
      </c>
    </row>
    <row r="246" spans="1:10" x14ac:dyDescent="0.35">
      <c r="A246">
        <v>245</v>
      </c>
      <c r="B246" t="s">
        <v>760</v>
      </c>
      <c r="C246" t="s">
        <v>761</v>
      </c>
      <c r="D246" s="7">
        <v>47.2</v>
      </c>
      <c r="E246">
        <v>47.186045692910263</v>
      </c>
      <c r="F246" s="7">
        <v>52.8</v>
      </c>
      <c r="G246" s="6">
        <v>1335043</v>
      </c>
      <c r="H246" s="6">
        <v>629954</v>
      </c>
      <c r="I246" s="6">
        <v>705089</v>
      </c>
      <c r="J246" t="s">
        <v>200</v>
      </c>
    </row>
    <row r="247" spans="1:10" x14ac:dyDescent="0.35">
      <c r="A247">
        <v>246</v>
      </c>
      <c r="B247" t="s">
        <v>762</v>
      </c>
      <c r="C247" t="s">
        <v>763</v>
      </c>
      <c r="D247" s="7">
        <v>47.2</v>
      </c>
      <c r="E247">
        <v>47.167338149446977</v>
      </c>
      <c r="F247" s="7">
        <v>52.8</v>
      </c>
      <c r="G247" s="6">
        <v>1781381</v>
      </c>
      <c r="H247" s="6">
        <v>840230</v>
      </c>
      <c r="I247" s="6">
        <v>941151</v>
      </c>
      <c r="J247" t="s">
        <v>200</v>
      </c>
    </row>
    <row r="248" spans="1:10" x14ac:dyDescent="0.35">
      <c r="A248">
        <v>247</v>
      </c>
      <c r="B248" t="s">
        <v>764</v>
      </c>
      <c r="C248" t="s">
        <v>765</v>
      </c>
      <c r="D248" s="7">
        <v>47.1</v>
      </c>
      <c r="E248">
        <v>47.131554400955807</v>
      </c>
      <c r="F248" s="7">
        <v>52.9</v>
      </c>
      <c r="G248" s="6">
        <v>633601</v>
      </c>
      <c r="H248" s="6">
        <v>298626</v>
      </c>
      <c r="I248" s="6">
        <v>334975</v>
      </c>
      <c r="J248" t="s">
        <v>200</v>
      </c>
    </row>
    <row r="249" spans="1:10" x14ac:dyDescent="0.35">
      <c r="A249">
        <v>248</v>
      </c>
      <c r="B249" t="s">
        <v>766</v>
      </c>
      <c r="C249" t="s">
        <v>767</v>
      </c>
      <c r="D249" s="7">
        <v>47.1</v>
      </c>
      <c r="E249">
        <v>47.084908403605702</v>
      </c>
      <c r="F249" s="7">
        <v>52.9</v>
      </c>
      <c r="G249" s="6">
        <v>68780</v>
      </c>
      <c r="H249" s="6">
        <v>32385</v>
      </c>
      <c r="I249" s="6">
        <v>36395</v>
      </c>
      <c r="J249" t="s">
        <v>200</v>
      </c>
    </row>
    <row r="250" spans="1:10" x14ac:dyDescent="0.35">
      <c r="A250">
        <v>249</v>
      </c>
      <c r="B250" t="s">
        <v>768</v>
      </c>
      <c r="C250" t="s">
        <v>769</v>
      </c>
      <c r="D250" s="7">
        <v>46.9</v>
      </c>
      <c r="E250">
        <v>46.944924557387772</v>
      </c>
      <c r="F250" s="7">
        <v>53.1</v>
      </c>
      <c r="G250" s="6">
        <v>42814</v>
      </c>
      <c r="H250" s="6">
        <v>20099</v>
      </c>
      <c r="I250" s="6">
        <v>22715</v>
      </c>
      <c r="J250" t="s">
        <v>200</v>
      </c>
    </row>
    <row r="251" spans="1:10" x14ac:dyDescent="0.35">
      <c r="A251">
        <v>250</v>
      </c>
      <c r="B251" t="s">
        <v>770</v>
      </c>
      <c r="C251" t="s">
        <v>771</v>
      </c>
      <c r="D251" s="7">
        <v>46.9</v>
      </c>
      <c r="E251">
        <v>46.921326787211108</v>
      </c>
      <c r="F251" s="7">
        <v>53.1</v>
      </c>
      <c r="G251" s="6">
        <v>41755</v>
      </c>
      <c r="H251" s="6">
        <v>19592</v>
      </c>
      <c r="I251" s="6">
        <v>22163</v>
      </c>
      <c r="J251" t="s">
        <v>200</v>
      </c>
    </row>
    <row r="252" spans="1:10" x14ac:dyDescent="0.35">
      <c r="A252">
        <v>251</v>
      </c>
      <c r="B252" t="s">
        <v>772</v>
      </c>
      <c r="C252" t="s">
        <v>773</v>
      </c>
      <c r="D252" s="7">
        <v>46.9</v>
      </c>
      <c r="E252">
        <v>46.906780392630843</v>
      </c>
      <c r="F252" s="7">
        <v>53.1</v>
      </c>
      <c r="G252" s="6">
        <v>57917</v>
      </c>
      <c r="H252" s="6">
        <v>27167</v>
      </c>
      <c r="I252" s="6">
        <v>30750</v>
      </c>
      <c r="J252" t="s">
        <v>200</v>
      </c>
    </row>
    <row r="253" spans="1:10" x14ac:dyDescent="0.35">
      <c r="A253">
        <v>252</v>
      </c>
      <c r="B253" t="s">
        <v>774</v>
      </c>
      <c r="C253" t="s">
        <v>775</v>
      </c>
      <c r="D253" s="7">
        <v>46.8</v>
      </c>
      <c r="E253">
        <v>46.843180872804879</v>
      </c>
      <c r="F253" s="7">
        <v>53.2</v>
      </c>
      <c r="G253" s="6">
        <v>55293</v>
      </c>
      <c r="H253" s="6">
        <v>25901</v>
      </c>
      <c r="I253" s="6">
        <v>29392</v>
      </c>
      <c r="J253" t="s">
        <v>200</v>
      </c>
    </row>
    <row r="254" spans="1:10" x14ac:dyDescent="0.35">
      <c r="A254">
        <v>253</v>
      </c>
      <c r="B254" t="s">
        <v>776</v>
      </c>
      <c r="C254" t="s">
        <v>777</v>
      </c>
      <c r="D254" s="7">
        <v>46.8</v>
      </c>
      <c r="E254">
        <v>46.797558455228717</v>
      </c>
      <c r="F254" s="7">
        <v>53.2</v>
      </c>
      <c r="G254" s="6">
        <v>155803</v>
      </c>
      <c r="H254" s="6">
        <v>72912</v>
      </c>
      <c r="I254" s="6">
        <v>82891</v>
      </c>
      <c r="J254" t="s">
        <v>200</v>
      </c>
    </row>
    <row r="255" spans="1:10" x14ac:dyDescent="0.35">
      <c r="A255">
        <v>254</v>
      </c>
      <c r="B255" t="s">
        <v>778</v>
      </c>
      <c r="C255" t="s">
        <v>779</v>
      </c>
      <c r="D255" s="7">
        <v>46.7</v>
      </c>
      <c r="E255">
        <v>46.673288547393753</v>
      </c>
      <c r="F255" s="7">
        <v>53.3</v>
      </c>
      <c r="G255" s="6">
        <v>2360860</v>
      </c>
      <c r="H255" s="6">
        <v>1101891</v>
      </c>
      <c r="I255" s="6">
        <v>1258969</v>
      </c>
      <c r="J255" t="s">
        <v>200</v>
      </c>
    </row>
    <row r="256" spans="1:10" x14ac:dyDescent="0.35">
      <c r="A256">
        <v>255</v>
      </c>
      <c r="B256" t="s">
        <v>780</v>
      </c>
      <c r="C256" t="s">
        <v>781</v>
      </c>
      <c r="D256" s="7">
        <v>46.7</v>
      </c>
      <c r="E256">
        <v>46.657779999444593</v>
      </c>
      <c r="F256" s="7">
        <v>53.3</v>
      </c>
      <c r="G256" s="6">
        <v>36009</v>
      </c>
      <c r="H256" s="6">
        <v>16801</v>
      </c>
      <c r="I256" s="6">
        <v>19208</v>
      </c>
      <c r="J256" t="s">
        <v>200</v>
      </c>
    </row>
    <row r="257" spans="1:10" x14ac:dyDescent="0.35">
      <c r="A257">
        <v>256</v>
      </c>
      <c r="B257" t="s">
        <v>782</v>
      </c>
      <c r="C257" t="s">
        <v>783</v>
      </c>
      <c r="D257" s="7">
        <v>46.6</v>
      </c>
      <c r="E257">
        <v>46.623141281856853</v>
      </c>
      <c r="F257" s="7">
        <v>53.4</v>
      </c>
      <c r="G257" s="6">
        <v>77809</v>
      </c>
      <c r="H257" s="6">
        <v>36277</v>
      </c>
      <c r="I257" s="6">
        <v>41532</v>
      </c>
      <c r="J257" t="s">
        <v>200</v>
      </c>
    </row>
    <row r="258" spans="1:10" x14ac:dyDescent="0.35">
      <c r="A258">
        <v>257</v>
      </c>
      <c r="B258" t="s">
        <v>784</v>
      </c>
      <c r="C258" t="s">
        <v>785</v>
      </c>
      <c r="D258" s="7">
        <v>46.5</v>
      </c>
      <c r="E258">
        <v>46.467712021581519</v>
      </c>
      <c r="F258" s="7">
        <v>53.5</v>
      </c>
      <c r="G258" s="6">
        <v>65241</v>
      </c>
      <c r="H258" s="6">
        <v>30316</v>
      </c>
      <c r="I258" s="6">
        <v>34925</v>
      </c>
      <c r="J258" t="s">
        <v>200</v>
      </c>
    </row>
    <row r="259" spans="1:10" x14ac:dyDescent="0.35">
      <c r="A259">
        <v>258</v>
      </c>
      <c r="B259" t="s">
        <v>786</v>
      </c>
      <c r="C259" t="s">
        <v>787</v>
      </c>
      <c r="D259" s="7">
        <v>46.4</v>
      </c>
      <c r="E259">
        <v>46.439042078787793</v>
      </c>
      <c r="F259" s="7">
        <v>53.6</v>
      </c>
      <c r="G259" s="6">
        <v>259228</v>
      </c>
      <c r="H259" s="6">
        <v>120383</v>
      </c>
      <c r="I259" s="6">
        <v>138845</v>
      </c>
      <c r="J259" t="s">
        <v>200</v>
      </c>
    </row>
    <row r="260" spans="1:10" x14ac:dyDescent="0.35">
      <c r="A260">
        <v>259</v>
      </c>
      <c r="B260" t="s">
        <v>788</v>
      </c>
      <c r="C260" t="s">
        <v>789</v>
      </c>
      <c r="D260" s="7">
        <v>46.4</v>
      </c>
      <c r="E260">
        <v>46.373225832887798</v>
      </c>
      <c r="F260" s="7">
        <v>53.6</v>
      </c>
      <c r="G260" s="6">
        <v>256247</v>
      </c>
      <c r="H260" s="6">
        <v>118830</v>
      </c>
      <c r="I260" s="6">
        <v>137417</v>
      </c>
      <c r="J260" t="s">
        <v>200</v>
      </c>
    </row>
    <row r="261" spans="1:10" x14ac:dyDescent="0.35">
      <c r="A261">
        <v>260</v>
      </c>
      <c r="B261" t="s">
        <v>790</v>
      </c>
      <c r="C261" t="s">
        <v>791</v>
      </c>
      <c r="D261" s="7">
        <v>46.4</v>
      </c>
      <c r="E261">
        <v>46.370138547501497</v>
      </c>
      <c r="F261" s="7">
        <v>53.6</v>
      </c>
      <c r="G261" s="6">
        <v>433281</v>
      </c>
      <c r="H261" s="6">
        <v>200913</v>
      </c>
      <c r="I261" s="6">
        <v>232368</v>
      </c>
      <c r="J261" t="s">
        <v>200</v>
      </c>
    </row>
    <row r="262" spans="1:10" x14ac:dyDescent="0.35">
      <c r="A262">
        <v>261</v>
      </c>
      <c r="B262" t="s">
        <v>792</v>
      </c>
      <c r="C262" t="s">
        <v>793</v>
      </c>
      <c r="D262" s="7">
        <v>46.4</v>
      </c>
      <c r="E262">
        <v>46.363987125204339</v>
      </c>
      <c r="F262" s="7">
        <v>53.6</v>
      </c>
      <c r="G262" s="6">
        <v>196974</v>
      </c>
      <c r="H262" s="6">
        <v>91325</v>
      </c>
      <c r="I262" s="6">
        <v>105649</v>
      </c>
      <c r="J262" t="s">
        <v>200</v>
      </c>
    </row>
    <row r="263" spans="1:10" x14ac:dyDescent="0.35">
      <c r="A263">
        <v>262</v>
      </c>
      <c r="B263" t="s">
        <v>794</v>
      </c>
      <c r="C263" t="s">
        <v>795</v>
      </c>
      <c r="D263" s="7">
        <v>46.3</v>
      </c>
      <c r="E263">
        <v>46.344810913865949</v>
      </c>
      <c r="F263" s="7">
        <v>53.7</v>
      </c>
      <c r="G263" s="6">
        <v>2730105</v>
      </c>
      <c r="H263" s="6">
        <v>1265262</v>
      </c>
      <c r="I263" s="6">
        <v>1464843</v>
      </c>
      <c r="J263" t="s">
        <v>200</v>
      </c>
    </row>
    <row r="264" spans="1:10" x14ac:dyDescent="0.35">
      <c r="A264">
        <v>263</v>
      </c>
      <c r="B264" t="s">
        <v>796</v>
      </c>
      <c r="C264" t="s">
        <v>797</v>
      </c>
      <c r="D264" s="7">
        <v>46.3</v>
      </c>
      <c r="E264">
        <v>46.337887109126967</v>
      </c>
      <c r="F264" s="7">
        <v>53.7</v>
      </c>
      <c r="G264" s="6">
        <v>152767</v>
      </c>
      <c r="H264" s="6">
        <v>70789</v>
      </c>
      <c r="I264" s="6">
        <v>81978</v>
      </c>
      <c r="J264" t="s">
        <v>200</v>
      </c>
    </row>
    <row r="265" spans="1:10" x14ac:dyDescent="0.35">
      <c r="A265">
        <v>264</v>
      </c>
      <c r="B265" t="s">
        <v>798</v>
      </c>
      <c r="C265" t="s">
        <v>799</v>
      </c>
      <c r="D265" s="7">
        <v>46.3</v>
      </c>
      <c r="E265">
        <v>46.330796289428001</v>
      </c>
      <c r="F265" s="7">
        <v>53.7</v>
      </c>
      <c r="G265" s="6">
        <v>946377</v>
      </c>
      <c r="H265" s="6">
        <v>438464</v>
      </c>
      <c r="I265" s="6">
        <v>507913</v>
      </c>
      <c r="J265" t="s">
        <v>200</v>
      </c>
    </row>
    <row r="266" spans="1:10" x14ac:dyDescent="0.35">
      <c r="A266">
        <v>265</v>
      </c>
      <c r="B266" t="s">
        <v>800</v>
      </c>
      <c r="C266" t="s">
        <v>801</v>
      </c>
      <c r="D266" s="7">
        <v>46.3</v>
      </c>
      <c r="E266">
        <v>46.257249101265963</v>
      </c>
      <c r="F266" s="7">
        <v>53.7</v>
      </c>
      <c r="G266" s="6">
        <v>97081</v>
      </c>
      <c r="H266" s="6">
        <v>44907</v>
      </c>
      <c r="I266" s="6">
        <v>52174</v>
      </c>
      <c r="J266" t="s">
        <v>200</v>
      </c>
    </row>
    <row r="267" spans="1:10" x14ac:dyDescent="0.35">
      <c r="A267">
        <v>266</v>
      </c>
      <c r="B267" t="s">
        <v>802</v>
      </c>
      <c r="C267" t="s">
        <v>803</v>
      </c>
      <c r="D267" s="7">
        <v>46.2</v>
      </c>
      <c r="E267">
        <v>46.160635481023832</v>
      </c>
      <c r="F267" s="7">
        <v>53.8</v>
      </c>
      <c r="G267" s="6">
        <v>61182</v>
      </c>
      <c r="H267" s="6">
        <v>28242</v>
      </c>
      <c r="I267" s="6">
        <v>32940</v>
      </c>
      <c r="J267" t="s">
        <v>200</v>
      </c>
    </row>
    <row r="268" spans="1:10" x14ac:dyDescent="0.35">
      <c r="A268">
        <v>267</v>
      </c>
      <c r="B268" t="s">
        <v>804</v>
      </c>
      <c r="C268" t="s">
        <v>805</v>
      </c>
      <c r="D268" s="7">
        <v>46</v>
      </c>
      <c r="E268">
        <v>46.023691538539957</v>
      </c>
      <c r="F268" s="7">
        <v>54</v>
      </c>
      <c r="G268" s="6">
        <v>2765882</v>
      </c>
      <c r="H268" s="6">
        <v>1272961</v>
      </c>
      <c r="I268" s="6">
        <v>1492921</v>
      </c>
      <c r="J268" t="s">
        <v>200</v>
      </c>
    </row>
    <row r="269" spans="1:10" x14ac:dyDescent="0.35">
      <c r="A269">
        <v>268</v>
      </c>
      <c r="B269" t="s">
        <v>806</v>
      </c>
      <c r="C269" t="s">
        <v>807</v>
      </c>
      <c r="D269" s="7">
        <v>46</v>
      </c>
      <c r="E269">
        <v>45.967088461760021</v>
      </c>
      <c r="F269" s="7">
        <v>54</v>
      </c>
      <c r="G269" s="6">
        <v>520790</v>
      </c>
      <c r="H269" s="6">
        <v>239392</v>
      </c>
      <c r="I269" s="6">
        <v>281398</v>
      </c>
      <c r="J269" t="s">
        <v>200</v>
      </c>
    </row>
    <row r="270" spans="1:10" x14ac:dyDescent="0.35">
      <c r="A270">
        <v>269</v>
      </c>
      <c r="B270" t="s">
        <v>808</v>
      </c>
      <c r="C270" t="s">
        <v>809</v>
      </c>
      <c r="D270" s="7">
        <v>45.9</v>
      </c>
      <c r="E270">
        <v>45.943770984911957</v>
      </c>
      <c r="F270" s="7">
        <v>54.1</v>
      </c>
      <c r="G270" s="6">
        <v>331786</v>
      </c>
      <c r="H270" s="6">
        <v>152435</v>
      </c>
      <c r="I270" s="6">
        <v>179351</v>
      </c>
      <c r="J270" t="s">
        <v>200</v>
      </c>
    </row>
    <row r="271" spans="1:10" x14ac:dyDescent="0.35">
      <c r="A271">
        <v>270</v>
      </c>
      <c r="B271" t="s">
        <v>810</v>
      </c>
      <c r="C271" t="s">
        <v>811</v>
      </c>
      <c r="D271" s="7">
        <v>45.9</v>
      </c>
      <c r="E271">
        <v>45.929334611150267</v>
      </c>
      <c r="F271" s="7">
        <v>54.1</v>
      </c>
      <c r="G271" s="6">
        <v>126257</v>
      </c>
      <c r="H271" s="6">
        <v>57989</v>
      </c>
      <c r="I271" s="6">
        <v>68268</v>
      </c>
      <c r="J271" t="s">
        <v>200</v>
      </c>
    </row>
    <row r="272" spans="1:10" x14ac:dyDescent="0.35">
      <c r="A272">
        <v>271</v>
      </c>
      <c r="B272" t="s">
        <v>812</v>
      </c>
      <c r="C272" t="s">
        <v>813</v>
      </c>
      <c r="D272" s="7">
        <v>45.8</v>
      </c>
      <c r="E272">
        <v>45.816815963588539</v>
      </c>
      <c r="F272" s="7">
        <v>54.2</v>
      </c>
      <c r="G272" s="6">
        <v>1840739</v>
      </c>
      <c r="H272" s="6">
        <v>843368</v>
      </c>
      <c r="I272" s="6">
        <v>997371</v>
      </c>
      <c r="J272" t="s">
        <v>200</v>
      </c>
    </row>
    <row r="273" spans="1:10" x14ac:dyDescent="0.35">
      <c r="A273">
        <v>272</v>
      </c>
      <c r="B273" t="s">
        <v>814</v>
      </c>
      <c r="C273" t="s">
        <v>815</v>
      </c>
      <c r="D273" s="7">
        <v>45.8</v>
      </c>
      <c r="E273">
        <v>45.803114763519339</v>
      </c>
      <c r="F273" s="7">
        <v>54.2</v>
      </c>
      <c r="G273" s="6">
        <v>87005</v>
      </c>
      <c r="H273" s="6">
        <v>39851</v>
      </c>
      <c r="I273" s="6">
        <v>47154</v>
      </c>
      <c r="J273" t="s">
        <v>200</v>
      </c>
    </row>
    <row r="274" spans="1:10" x14ac:dyDescent="0.35">
      <c r="A274">
        <v>273</v>
      </c>
      <c r="B274" t="s">
        <v>816</v>
      </c>
      <c r="C274" t="s">
        <v>817</v>
      </c>
      <c r="D274" s="7">
        <v>45.7</v>
      </c>
      <c r="E274">
        <v>45.730192408827953</v>
      </c>
      <c r="F274" s="7">
        <v>54.3</v>
      </c>
      <c r="G274" s="6">
        <v>55143</v>
      </c>
      <c r="H274" s="6">
        <v>25217</v>
      </c>
      <c r="I274" s="6">
        <v>29926</v>
      </c>
      <c r="J274" t="s">
        <v>200</v>
      </c>
    </row>
    <row r="275" spans="1:10" x14ac:dyDescent="0.35">
      <c r="A275">
        <v>274</v>
      </c>
      <c r="B275" t="s">
        <v>818</v>
      </c>
      <c r="C275" t="s">
        <v>819</v>
      </c>
      <c r="D275" s="7">
        <v>45.7</v>
      </c>
      <c r="E275">
        <v>45.712362161068043</v>
      </c>
      <c r="F275" s="7">
        <v>54.3</v>
      </c>
      <c r="G275" s="6">
        <v>227258</v>
      </c>
      <c r="H275" s="6">
        <v>103885</v>
      </c>
      <c r="I275" s="6">
        <v>123373</v>
      </c>
      <c r="J275" t="s">
        <v>200</v>
      </c>
    </row>
    <row r="276" spans="1:10" x14ac:dyDescent="0.35">
      <c r="A276">
        <v>275</v>
      </c>
      <c r="B276" t="s">
        <v>820</v>
      </c>
      <c r="C276" t="s">
        <v>821</v>
      </c>
      <c r="D276" s="7">
        <v>45.7</v>
      </c>
      <c r="E276">
        <v>45.665599268069528</v>
      </c>
      <c r="F276" s="7">
        <v>54.3</v>
      </c>
      <c r="G276" s="6">
        <v>52464</v>
      </c>
      <c r="H276" s="6">
        <v>23958</v>
      </c>
      <c r="I276" s="6">
        <v>28506</v>
      </c>
      <c r="J276" t="s">
        <v>200</v>
      </c>
    </row>
    <row r="277" spans="1:10" x14ac:dyDescent="0.35">
      <c r="A277">
        <v>276</v>
      </c>
      <c r="B277" t="s">
        <v>822</v>
      </c>
      <c r="C277" t="s">
        <v>823</v>
      </c>
      <c r="D277" s="7">
        <v>45.5</v>
      </c>
      <c r="E277">
        <v>45.541717827281772</v>
      </c>
      <c r="F277" s="7">
        <v>54.5</v>
      </c>
      <c r="G277" s="6">
        <v>34206</v>
      </c>
      <c r="H277" s="6">
        <v>15578</v>
      </c>
      <c r="I277" s="6">
        <v>18628</v>
      </c>
      <c r="J277" t="s">
        <v>200</v>
      </c>
    </row>
    <row r="278" spans="1:10" x14ac:dyDescent="0.35">
      <c r="A278">
        <v>277</v>
      </c>
      <c r="B278" t="s">
        <v>824</v>
      </c>
      <c r="C278" t="s">
        <v>825</v>
      </c>
      <c r="D278" s="7">
        <v>45.5</v>
      </c>
      <c r="E278">
        <v>45.519954632451977</v>
      </c>
      <c r="F278" s="7">
        <v>54.5</v>
      </c>
      <c r="G278" s="6">
        <v>141070</v>
      </c>
      <c r="H278" s="6">
        <v>64215</v>
      </c>
      <c r="I278" s="6">
        <v>76855</v>
      </c>
      <c r="J278" t="s">
        <v>200</v>
      </c>
    </row>
    <row r="279" spans="1:10" x14ac:dyDescent="0.35">
      <c r="A279">
        <v>278</v>
      </c>
      <c r="B279" t="s">
        <v>826</v>
      </c>
      <c r="C279" t="s">
        <v>827</v>
      </c>
      <c r="D279" s="7">
        <v>45.5</v>
      </c>
      <c r="E279">
        <v>45.513275033483019</v>
      </c>
      <c r="F279" s="7">
        <v>54.5</v>
      </c>
      <c r="G279" s="6">
        <v>38079</v>
      </c>
      <c r="H279" s="6">
        <v>17331</v>
      </c>
      <c r="I279" s="6">
        <v>20748</v>
      </c>
      <c r="J279" t="s">
        <v>200</v>
      </c>
    </row>
    <row r="280" spans="1:10" x14ac:dyDescent="0.35">
      <c r="A280">
        <v>279</v>
      </c>
      <c r="B280" t="s">
        <v>828</v>
      </c>
      <c r="C280" t="s">
        <v>829</v>
      </c>
      <c r="D280" s="7">
        <v>45.5</v>
      </c>
      <c r="E280">
        <v>45.49354452831745</v>
      </c>
      <c r="F280" s="7">
        <v>54.5</v>
      </c>
      <c r="G280" s="6">
        <v>145458</v>
      </c>
      <c r="H280" s="6">
        <v>66174</v>
      </c>
      <c r="I280" s="6">
        <v>79284</v>
      </c>
      <c r="J280" t="s">
        <v>200</v>
      </c>
    </row>
    <row r="281" spans="1:10" x14ac:dyDescent="0.35">
      <c r="A281">
        <v>280</v>
      </c>
      <c r="B281" t="s">
        <v>830</v>
      </c>
      <c r="C281" t="s">
        <v>831</v>
      </c>
      <c r="D281" s="7">
        <v>45.4</v>
      </c>
      <c r="E281">
        <v>45.427796082116068</v>
      </c>
      <c r="F281" s="7">
        <v>54.6</v>
      </c>
      <c r="G281" s="6">
        <v>161771</v>
      </c>
      <c r="H281" s="6">
        <v>73489</v>
      </c>
      <c r="I281" s="6">
        <v>88282</v>
      </c>
      <c r="J281" t="s">
        <v>200</v>
      </c>
    </row>
    <row r="282" spans="1:10" x14ac:dyDescent="0.35">
      <c r="A282">
        <v>281</v>
      </c>
      <c r="B282" t="s">
        <v>832</v>
      </c>
      <c r="C282" t="s">
        <v>833</v>
      </c>
      <c r="D282" s="7">
        <v>45.4</v>
      </c>
      <c r="E282">
        <v>45.420232196794338</v>
      </c>
      <c r="F282" s="7">
        <v>54.6</v>
      </c>
      <c r="G282" s="6">
        <v>436354</v>
      </c>
      <c r="H282" s="6">
        <v>198193</v>
      </c>
      <c r="I282" s="6">
        <v>238161</v>
      </c>
      <c r="J282" t="s">
        <v>200</v>
      </c>
    </row>
    <row r="283" spans="1:10" x14ac:dyDescent="0.35">
      <c r="A283">
        <v>282</v>
      </c>
      <c r="B283" t="s">
        <v>834</v>
      </c>
      <c r="C283" t="s">
        <v>835</v>
      </c>
      <c r="D283" s="7">
        <v>45.3</v>
      </c>
      <c r="E283">
        <v>45.326892513116142</v>
      </c>
      <c r="F283" s="7">
        <v>54.7</v>
      </c>
      <c r="G283" s="6">
        <v>351094</v>
      </c>
      <c r="H283" s="6">
        <v>159140</v>
      </c>
      <c r="I283" s="6">
        <v>191954</v>
      </c>
      <c r="J283" t="s">
        <v>200</v>
      </c>
    </row>
    <row r="284" spans="1:10" x14ac:dyDescent="0.35">
      <c r="A284">
        <v>283</v>
      </c>
      <c r="B284" t="s">
        <v>836</v>
      </c>
      <c r="C284" t="s">
        <v>837</v>
      </c>
      <c r="D284" s="7">
        <v>45.3</v>
      </c>
      <c r="E284">
        <v>45.30938515776139</v>
      </c>
      <c r="F284" s="7">
        <v>54.7</v>
      </c>
      <c r="G284" s="6">
        <v>101831</v>
      </c>
      <c r="H284" s="6">
        <v>46139</v>
      </c>
      <c r="I284" s="6">
        <v>55692</v>
      </c>
      <c r="J284" t="s">
        <v>200</v>
      </c>
    </row>
    <row r="285" spans="1:10" x14ac:dyDescent="0.35">
      <c r="A285">
        <v>284</v>
      </c>
      <c r="B285" t="s">
        <v>838</v>
      </c>
      <c r="C285" t="s">
        <v>839</v>
      </c>
      <c r="D285" s="7">
        <v>45.2</v>
      </c>
      <c r="E285">
        <v>45.236870411074207</v>
      </c>
      <c r="F285" s="7">
        <v>54.8</v>
      </c>
      <c r="G285" s="6">
        <v>64149</v>
      </c>
      <c r="H285" s="6">
        <v>29019</v>
      </c>
      <c r="I285" s="6">
        <v>35130</v>
      </c>
      <c r="J285" t="s">
        <v>200</v>
      </c>
    </row>
    <row r="286" spans="1:10" x14ac:dyDescent="0.35">
      <c r="A286">
        <v>285</v>
      </c>
      <c r="B286" t="s">
        <v>840</v>
      </c>
      <c r="C286" t="s">
        <v>841</v>
      </c>
      <c r="D286" s="7">
        <v>45.2</v>
      </c>
      <c r="E286">
        <v>45.231508718346703</v>
      </c>
      <c r="F286" s="7">
        <v>54.8</v>
      </c>
      <c r="G286" s="6">
        <v>159778</v>
      </c>
      <c r="H286" s="6">
        <v>72270</v>
      </c>
      <c r="I286" s="6">
        <v>87508</v>
      </c>
      <c r="J286" t="s">
        <v>200</v>
      </c>
    </row>
    <row r="287" spans="1:10" x14ac:dyDescent="0.35">
      <c r="A287">
        <v>286</v>
      </c>
      <c r="B287" t="s">
        <v>842</v>
      </c>
      <c r="C287" t="s">
        <v>843</v>
      </c>
      <c r="D287" s="7">
        <v>45.2</v>
      </c>
      <c r="E287">
        <v>45.215715344699781</v>
      </c>
      <c r="F287" s="7">
        <v>54.8</v>
      </c>
      <c r="G287" s="6">
        <v>101175</v>
      </c>
      <c r="H287" s="6">
        <v>45747</v>
      </c>
      <c r="I287" s="6">
        <v>55428</v>
      </c>
      <c r="J287" t="s">
        <v>200</v>
      </c>
    </row>
    <row r="288" spans="1:10" x14ac:dyDescent="0.35">
      <c r="A288">
        <v>287</v>
      </c>
      <c r="B288" t="s">
        <v>844</v>
      </c>
      <c r="C288" t="s">
        <v>845</v>
      </c>
      <c r="D288" s="7">
        <v>45.2</v>
      </c>
      <c r="E288">
        <v>45.187528414843342</v>
      </c>
      <c r="F288" s="7">
        <v>54.8</v>
      </c>
      <c r="G288" s="6">
        <v>261747</v>
      </c>
      <c r="H288" s="6">
        <v>118277</v>
      </c>
      <c r="I288" s="6">
        <v>143470</v>
      </c>
      <c r="J288" t="s">
        <v>200</v>
      </c>
    </row>
    <row r="289" spans="1:10" x14ac:dyDescent="0.35">
      <c r="A289">
        <v>288</v>
      </c>
      <c r="B289" t="s">
        <v>846</v>
      </c>
      <c r="C289" t="s">
        <v>847</v>
      </c>
      <c r="D289" s="7">
        <v>45.2</v>
      </c>
      <c r="E289">
        <v>45.171630729238927</v>
      </c>
      <c r="F289" s="7">
        <v>54.8</v>
      </c>
      <c r="G289" s="6">
        <v>1369510</v>
      </c>
      <c r="H289" s="6">
        <v>618630</v>
      </c>
      <c r="I289" s="6">
        <v>750880</v>
      </c>
      <c r="J289" t="s">
        <v>200</v>
      </c>
    </row>
    <row r="290" spans="1:10" x14ac:dyDescent="0.35">
      <c r="A290">
        <v>289</v>
      </c>
      <c r="B290" t="s">
        <v>848</v>
      </c>
      <c r="C290" t="s">
        <v>849</v>
      </c>
      <c r="D290" s="7">
        <v>45.1</v>
      </c>
      <c r="E290">
        <v>45.142829777554297</v>
      </c>
      <c r="F290" s="7">
        <v>54.9</v>
      </c>
      <c r="G290" s="6">
        <v>41763</v>
      </c>
      <c r="H290" s="6">
        <v>18853</v>
      </c>
      <c r="I290" s="6">
        <v>22910</v>
      </c>
      <c r="J290" t="s">
        <v>200</v>
      </c>
    </row>
    <row r="291" spans="1:10" x14ac:dyDescent="0.35">
      <c r="A291">
        <v>290</v>
      </c>
      <c r="B291" t="s">
        <v>850</v>
      </c>
      <c r="C291" t="s">
        <v>851</v>
      </c>
      <c r="D291" s="7">
        <v>45.1</v>
      </c>
      <c r="E291">
        <v>45.136293189898808</v>
      </c>
      <c r="F291" s="7">
        <v>54.9</v>
      </c>
      <c r="G291" s="6">
        <v>32907</v>
      </c>
      <c r="H291" s="6">
        <v>14853</v>
      </c>
      <c r="I291" s="6">
        <v>18054</v>
      </c>
      <c r="J291" t="s">
        <v>200</v>
      </c>
    </row>
    <row r="292" spans="1:10" x14ac:dyDescent="0.35">
      <c r="A292">
        <v>291</v>
      </c>
      <c r="B292" t="s">
        <v>852</v>
      </c>
      <c r="C292" t="s">
        <v>853</v>
      </c>
      <c r="D292" s="7">
        <v>45.1</v>
      </c>
      <c r="E292">
        <v>45.115666643964673</v>
      </c>
      <c r="F292" s="7">
        <v>54.9</v>
      </c>
      <c r="G292" s="6">
        <v>44049</v>
      </c>
      <c r="H292" s="6">
        <v>19873</v>
      </c>
      <c r="I292" s="6">
        <v>24176</v>
      </c>
      <c r="J292" t="s">
        <v>200</v>
      </c>
    </row>
    <row r="293" spans="1:10" x14ac:dyDescent="0.35">
      <c r="A293">
        <v>292</v>
      </c>
      <c r="B293" t="s">
        <v>854</v>
      </c>
      <c r="C293" t="s">
        <v>855</v>
      </c>
      <c r="D293" s="7">
        <v>45.1</v>
      </c>
      <c r="E293">
        <v>45.106699751861044</v>
      </c>
      <c r="F293" s="7">
        <v>54.9</v>
      </c>
      <c r="G293" s="6">
        <v>40300</v>
      </c>
      <c r="H293" s="6">
        <v>18178</v>
      </c>
      <c r="I293" s="6">
        <v>22122</v>
      </c>
      <c r="J293" t="s">
        <v>200</v>
      </c>
    </row>
    <row r="294" spans="1:10" x14ac:dyDescent="0.35">
      <c r="A294">
        <v>293</v>
      </c>
      <c r="B294" t="s">
        <v>856</v>
      </c>
      <c r="C294" t="s">
        <v>857</v>
      </c>
      <c r="D294" s="7">
        <v>45.1</v>
      </c>
      <c r="E294">
        <v>45.087421711899793</v>
      </c>
      <c r="F294" s="7">
        <v>54.9</v>
      </c>
      <c r="G294" s="6">
        <v>30656</v>
      </c>
      <c r="H294" s="6">
        <v>13822</v>
      </c>
      <c r="I294" s="6">
        <v>16834</v>
      </c>
      <c r="J294" t="s">
        <v>200</v>
      </c>
    </row>
    <row r="295" spans="1:10" x14ac:dyDescent="0.35">
      <c r="A295">
        <v>294</v>
      </c>
      <c r="B295" t="s">
        <v>858</v>
      </c>
      <c r="C295" t="s">
        <v>859</v>
      </c>
      <c r="D295" s="7">
        <v>45.1</v>
      </c>
      <c r="E295">
        <v>45.063670411985022</v>
      </c>
      <c r="F295" s="7">
        <v>54.9</v>
      </c>
      <c r="G295" s="6">
        <v>126825</v>
      </c>
      <c r="H295" s="6">
        <v>57152</v>
      </c>
      <c r="I295" s="6">
        <v>69673</v>
      </c>
      <c r="J295" t="s">
        <v>200</v>
      </c>
    </row>
    <row r="296" spans="1:10" x14ac:dyDescent="0.35">
      <c r="A296">
        <v>295</v>
      </c>
      <c r="B296" t="s">
        <v>860</v>
      </c>
      <c r="C296" t="s">
        <v>861</v>
      </c>
      <c r="D296" s="7">
        <v>45</v>
      </c>
      <c r="E296">
        <v>45.043344827282112</v>
      </c>
      <c r="F296" s="7">
        <v>55</v>
      </c>
      <c r="G296" s="6">
        <v>113393</v>
      </c>
      <c r="H296" s="6">
        <v>51076</v>
      </c>
      <c r="I296" s="6">
        <v>62317</v>
      </c>
      <c r="J296" t="s">
        <v>200</v>
      </c>
    </row>
    <row r="297" spans="1:10" x14ac:dyDescent="0.35">
      <c r="A297">
        <v>296</v>
      </c>
      <c r="B297" t="s">
        <v>862</v>
      </c>
      <c r="C297" t="s">
        <v>863</v>
      </c>
      <c r="D297" s="7">
        <v>45</v>
      </c>
      <c r="E297">
        <v>45.037721845945264</v>
      </c>
      <c r="F297" s="7">
        <v>55</v>
      </c>
      <c r="G297" s="6">
        <v>171121</v>
      </c>
      <c r="H297" s="6">
        <v>77069</v>
      </c>
      <c r="I297" s="6">
        <v>94052</v>
      </c>
      <c r="J297" t="s">
        <v>200</v>
      </c>
    </row>
    <row r="298" spans="1:10" x14ac:dyDescent="0.35">
      <c r="A298">
        <v>297</v>
      </c>
      <c r="B298" t="s">
        <v>864</v>
      </c>
      <c r="C298" t="s">
        <v>865</v>
      </c>
      <c r="D298" s="7">
        <v>45</v>
      </c>
      <c r="E298">
        <v>45.013124214338283</v>
      </c>
      <c r="F298" s="7">
        <v>55</v>
      </c>
      <c r="G298" s="6">
        <v>153533</v>
      </c>
      <c r="H298" s="6">
        <v>69110</v>
      </c>
      <c r="I298" s="6">
        <v>84423</v>
      </c>
      <c r="J298" t="s">
        <v>200</v>
      </c>
    </row>
    <row r="299" spans="1:10" x14ac:dyDescent="0.35">
      <c r="A299">
        <v>298</v>
      </c>
      <c r="B299" t="s">
        <v>866</v>
      </c>
      <c r="C299" t="s">
        <v>867</v>
      </c>
      <c r="D299" s="7">
        <v>45</v>
      </c>
      <c r="E299">
        <v>45.012811826201123</v>
      </c>
      <c r="F299" s="7">
        <v>55</v>
      </c>
      <c r="G299" s="6">
        <v>1230894</v>
      </c>
      <c r="H299" s="6">
        <v>554060</v>
      </c>
      <c r="I299" s="6">
        <v>676834</v>
      </c>
      <c r="J299" t="s">
        <v>200</v>
      </c>
    </row>
    <row r="300" spans="1:10" x14ac:dyDescent="0.35">
      <c r="A300">
        <v>299</v>
      </c>
      <c r="B300" t="s">
        <v>868</v>
      </c>
      <c r="C300" t="s">
        <v>869</v>
      </c>
      <c r="D300" s="7">
        <v>45</v>
      </c>
      <c r="E300">
        <v>44.979718284746369</v>
      </c>
      <c r="F300" s="7">
        <v>55</v>
      </c>
      <c r="G300" s="6">
        <v>89736</v>
      </c>
      <c r="H300" s="6">
        <v>40363</v>
      </c>
      <c r="I300" s="6">
        <v>49373</v>
      </c>
      <c r="J300" t="s">
        <v>200</v>
      </c>
    </row>
    <row r="301" spans="1:10" x14ac:dyDescent="0.35">
      <c r="A301">
        <v>300</v>
      </c>
      <c r="B301" t="s">
        <v>870</v>
      </c>
      <c r="C301" t="s">
        <v>871</v>
      </c>
      <c r="D301" s="7">
        <v>44.9</v>
      </c>
      <c r="E301">
        <v>44.85370950888192</v>
      </c>
      <c r="F301" s="7">
        <v>55.1</v>
      </c>
      <c r="G301" s="6">
        <v>26796</v>
      </c>
      <c r="H301" s="6">
        <v>12019</v>
      </c>
      <c r="I301" s="6">
        <v>14777</v>
      </c>
      <c r="J301" t="s">
        <v>200</v>
      </c>
    </row>
    <row r="302" spans="1:10" x14ac:dyDescent="0.35">
      <c r="A302">
        <v>301</v>
      </c>
      <c r="B302" t="s">
        <v>872</v>
      </c>
      <c r="C302" t="s">
        <v>873</v>
      </c>
      <c r="D302" s="7">
        <v>44.9</v>
      </c>
      <c r="E302">
        <v>44.853673647893487</v>
      </c>
      <c r="F302" s="7">
        <v>55.1</v>
      </c>
      <c r="G302" s="6">
        <v>329264</v>
      </c>
      <c r="H302" s="6">
        <v>147687</v>
      </c>
      <c r="I302" s="6">
        <v>181577</v>
      </c>
      <c r="J302" t="s">
        <v>200</v>
      </c>
    </row>
    <row r="303" spans="1:10" x14ac:dyDescent="0.35">
      <c r="A303">
        <v>302</v>
      </c>
      <c r="B303" t="s">
        <v>874</v>
      </c>
      <c r="C303" t="s">
        <v>875</v>
      </c>
      <c r="D303" s="7">
        <v>44.9</v>
      </c>
      <c r="E303">
        <v>44.852612249904404</v>
      </c>
      <c r="F303" s="7">
        <v>55.1</v>
      </c>
      <c r="G303" s="6">
        <v>1108776</v>
      </c>
      <c r="H303" s="6">
        <v>497315</v>
      </c>
      <c r="I303" s="6">
        <v>611461</v>
      </c>
      <c r="J303" t="s">
        <v>200</v>
      </c>
    </row>
    <row r="304" spans="1:10" x14ac:dyDescent="0.35">
      <c r="A304">
        <v>303</v>
      </c>
      <c r="B304" t="s">
        <v>876</v>
      </c>
      <c r="C304" t="s">
        <v>877</v>
      </c>
      <c r="D304" s="7">
        <v>44.8</v>
      </c>
      <c r="E304">
        <v>44.815399070745727</v>
      </c>
      <c r="F304" s="7">
        <v>55.2</v>
      </c>
      <c r="G304" s="6">
        <v>232014</v>
      </c>
      <c r="H304" s="6">
        <v>103978</v>
      </c>
      <c r="I304" s="6">
        <v>128036</v>
      </c>
      <c r="J304" t="s">
        <v>200</v>
      </c>
    </row>
    <row r="305" spans="1:10" x14ac:dyDescent="0.35">
      <c r="A305">
        <v>304</v>
      </c>
      <c r="B305" t="s">
        <v>878</v>
      </c>
      <c r="C305" t="s">
        <v>879</v>
      </c>
      <c r="D305" s="7">
        <v>44.8</v>
      </c>
      <c r="E305">
        <v>44.808902242346853</v>
      </c>
      <c r="F305" s="7">
        <v>55.2</v>
      </c>
      <c r="G305" s="6">
        <v>470623</v>
      </c>
      <c r="H305" s="6">
        <v>210881</v>
      </c>
      <c r="I305" s="6">
        <v>259742</v>
      </c>
      <c r="J305" t="s">
        <v>200</v>
      </c>
    </row>
    <row r="306" spans="1:10" x14ac:dyDescent="0.35">
      <c r="A306">
        <v>305</v>
      </c>
      <c r="B306" t="s">
        <v>880</v>
      </c>
      <c r="C306" t="s">
        <v>881</v>
      </c>
      <c r="D306" s="7">
        <v>44.8</v>
      </c>
      <c r="E306">
        <v>44.786384673538251</v>
      </c>
      <c r="F306" s="7">
        <v>55.2</v>
      </c>
      <c r="G306" s="6">
        <v>54233</v>
      </c>
      <c r="H306" s="6">
        <v>24289</v>
      </c>
      <c r="I306" s="6">
        <v>29944</v>
      </c>
      <c r="J306" t="s">
        <v>200</v>
      </c>
    </row>
    <row r="307" spans="1:10" x14ac:dyDescent="0.35">
      <c r="A307">
        <v>306</v>
      </c>
      <c r="B307" t="s">
        <v>882</v>
      </c>
      <c r="C307" t="s">
        <v>883</v>
      </c>
      <c r="D307" s="7">
        <v>44.7</v>
      </c>
      <c r="E307">
        <v>44.679850960160508</v>
      </c>
      <c r="F307" s="7">
        <v>55.3</v>
      </c>
      <c r="G307" s="6">
        <v>348900</v>
      </c>
      <c r="H307" s="6">
        <v>155888</v>
      </c>
      <c r="I307" s="6">
        <v>193012</v>
      </c>
      <c r="J307" t="s">
        <v>200</v>
      </c>
    </row>
    <row r="308" spans="1:10" x14ac:dyDescent="0.35">
      <c r="A308">
        <v>307</v>
      </c>
      <c r="B308" t="s">
        <v>884</v>
      </c>
      <c r="C308" t="s">
        <v>885</v>
      </c>
      <c r="D308" s="7">
        <v>44.7</v>
      </c>
      <c r="E308">
        <v>44.660022929711623</v>
      </c>
      <c r="F308" s="7">
        <v>55.3</v>
      </c>
      <c r="G308" s="6">
        <v>68034</v>
      </c>
      <c r="H308" s="6">
        <v>30384</v>
      </c>
      <c r="I308" s="6">
        <v>37650</v>
      </c>
      <c r="J308" t="s">
        <v>200</v>
      </c>
    </row>
    <row r="309" spans="1:10" x14ac:dyDescent="0.35">
      <c r="A309">
        <v>308</v>
      </c>
      <c r="B309" t="s">
        <v>886</v>
      </c>
      <c r="C309" t="s">
        <v>887</v>
      </c>
      <c r="D309" s="7">
        <v>44.6</v>
      </c>
      <c r="E309">
        <v>44.635026582327598</v>
      </c>
      <c r="F309" s="7">
        <v>55.4</v>
      </c>
      <c r="G309" s="6">
        <v>77307</v>
      </c>
      <c r="H309" s="6">
        <v>34506</v>
      </c>
      <c r="I309" s="6">
        <v>42801</v>
      </c>
      <c r="J309" t="s">
        <v>200</v>
      </c>
    </row>
    <row r="310" spans="1:10" x14ac:dyDescent="0.35">
      <c r="A310">
        <v>309</v>
      </c>
      <c r="B310" t="s">
        <v>888</v>
      </c>
      <c r="C310" t="s">
        <v>889</v>
      </c>
      <c r="D310" s="7">
        <v>44.6</v>
      </c>
      <c r="E310">
        <v>44.62256209203548</v>
      </c>
      <c r="F310" s="7">
        <v>55.4</v>
      </c>
      <c r="G310" s="6">
        <v>4175455</v>
      </c>
      <c r="H310" s="6">
        <v>1863195</v>
      </c>
      <c r="I310" s="6">
        <v>2312260</v>
      </c>
      <c r="J310" t="s">
        <v>200</v>
      </c>
    </row>
    <row r="311" spans="1:10" x14ac:dyDescent="0.35">
      <c r="A311">
        <v>310</v>
      </c>
      <c r="B311" t="s">
        <v>890</v>
      </c>
      <c r="C311" t="s">
        <v>891</v>
      </c>
      <c r="D311" s="7">
        <v>44.6</v>
      </c>
      <c r="E311">
        <v>44.576983921911101</v>
      </c>
      <c r="F311" s="7">
        <v>55.4</v>
      </c>
      <c r="G311" s="6">
        <v>917211</v>
      </c>
      <c r="H311" s="6">
        <v>408865</v>
      </c>
      <c r="I311" s="6">
        <v>508346</v>
      </c>
      <c r="J311" t="s">
        <v>200</v>
      </c>
    </row>
    <row r="312" spans="1:10" x14ac:dyDescent="0.35">
      <c r="A312">
        <v>311</v>
      </c>
      <c r="B312" t="s">
        <v>892</v>
      </c>
      <c r="C312" t="s">
        <v>893</v>
      </c>
      <c r="D312" s="7">
        <v>44.4</v>
      </c>
      <c r="E312">
        <v>44.422643611230662</v>
      </c>
      <c r="F312" s="7">
        <v>55.6</v>
      </c>
      <c r="G312" s="6">
        <v>78998</v>
      </c>
      <c r="H312" s="6">
        <v>35093</v>
      </c>
      <c r="I312" s="6">
        <v>43905</v>
      </c>
      <c r="J312" t="s">
        <v>200</v>
      </c>
    </row>
    <row r="313" spans="1:10" x14ac:dyDescent="0.35">
      <c r="A313">
        <v>312</v>
      </c>
      <c r="B313" t="s">
        <v>894</v>
      </c>
      <c r="C313" t="s">
        <v>895</v>
      </c>
      <c r="D313" s="7">
        <v>44.4</v>
      </c>
      <c r="E313">
        <v>44.393505694059712</v>
      </c>
      <c r="F313" s="7">
        <v>55.6</v>
      </c>
      <c r="G313" s="6">
        <v>2599200</v>
      </c>
      <c r="H313" s="6">
        <v>1153876</v>
      </c>
      <c r="I313" s="6">
        <v>1445324</v>
      </c>
      <c r="J313" t="s">
        <v>200</v>
      </c>
    </row>
    <row r="314" spans="1:10" x14ac:dyDescent="0.35">
      <c r="A314">
        <v>313</v>
      </c>
      <c r="B314" t="s">
        <v>896</v>
      </c>
      <c r="C314" t="s">
        <v>897</v>
      </c>
      <c r="D314" s="7">
        <v>44.4</v>
      </c>
      <c r="E314">
        <v>44.379729563584377</v>
      </c>
      <c r="F314" s="7">
        <v>55.6</v>
      </c>
      <c r="G314" s="6">
        <v>1244433</v>
      </c>
      <c r="H314" s="6">
        <v>552276</v>
      </c>
      <c r="I314" s="6">
        <v>692157</v>
      </c>
      <c r="J314" t="s">
        <v>200</v>
      </c>
    </row>
    <row r="315" spans="1:10" x14ac:dyDescent="0.35">
      <c r="A315">
        <v>314</v>
      </c>
      <c r="B315" t="s">
        <v>898</v>
      </c>
      <c r="C315" t="s">
        <v>899</v>
      </c>
      <c r="D315" s="7">
        <v>44.4</v>
      </c>
      <c r="E315">
        <v>44.357147346707883</v>
      </c>
      <c r="F315" s="7">
        <v>55.6</v>
      </c>
      <c r="G315" s="6">
        <v>175009</v>
      </c>
      <c r="H315" s="6">
        <v>77629</v>
      </c>
      <c r="I315" s="6">
        <v>97380</v>
      </c>
      <c r="J315" t="s">
        <v>200</v>
      </c>
    </row>
    <row r="316" spans="1:10" x14ac:dyDescent="0.35">
      <c r="A316">
        <v>315</v>
      </c>
      <c r="B316" t="s">
        <v>900</v>
      </c>
      <c r="C316" t="s">
        <v>901</v>
      </c>
      <c r="D316" s="7">
        <v>44.3</v>
      </c>
      <c r="E316">
        <v>44.325996060679358</v>
      </c>
      <c r="F316" s="7">
        <v>55.7</v>
      </c>
      <c r="G316" s="6">
        <v>57878</v>
      </c>
      <c r="H316" s="6">
        <v>25655</v>
      </c>
      <c r="I316" s="6">
        <v>32223</v>
      </c>
      <c r="J316" t="s">
        <v>200</v>
      </c>
    </row>
    <row r="317" spans="1:10" x14ac:dyDescent="0.35">
      <c r="A317">
        <v>316</v>
      </c>
      <c r="B317" t="s">
        <v>902</v>
      </c>
      <c r="C317" t="s">
        <v>903</v>
      </c>
      <c r="D317" s="7">
        <v>44.2</v>
      </c>
      <c r="E317">
        <v>44.194119341959031</v>
      </c>
      <c r="F317" s="7">
        <v>55.8</v>
      </c>
      <c r="G317" s="6">
        <v>72883</v>
      </c>
      <c r="H317" s="6">
        <v>32210</v>
      </c>
      <c r="I317" s="6">
        <v>40673</v>
      </c>
      <c r="J317" t="s">
        <v>200</v>
      </c>
    </row>
    <row r="318" spans="1:10" x14ac:dyDescent="0.35">
      <c r="A318">
        <v>317</v>
      </c>
      <c r="B318" t="s">
        <v>904</v>
      </c>
      <c r="C318" t="s">
        <v>905</v>
      </c>
      <c r="D318" s="7">
        <v>44.2</v>
      </c>
      <c r="E318">
        <v>44.180702234644919</v>
      </c>
      <c r="F318" s="7">
        <v>55.8</v>
      </c>
      <c r="G318" s="6">
        <v>138814</v>
      </c>
      <c r="H318" s="6">
        <v>61329</v>
      </c>
      <c r="I318" s="6">
        <v>77485</v>
      </c>
      <c r="J318" t="s">
        <v>200</v>
      </c>
    </row>
    <row r="319" spans="1:10" x14ac:dyDescent="0.35">
      <c r="A319">
        <v>318</v>
      </c>
      <c r="B319" t="s">
        <v>906</v>
      </c>
      <c r="C319" t="s">
        <v>907</v>
      </c>
      <c r="D319" s="7">
        <v>44.2</v>
      </c>
      <c r="E319">
        <v>44.152450487133287</v>
      </c>
      <c r="F319" s="7">
        <v>55.8</v>
      </c>
      <c r="G319" s="6">
        <v>128199</v>
      </c>
      <c r="H319" s="6">
        <v>56603</v>
      </c>
      <c r="I319" s="6">
        <v>71596</v>
      </c>
      <c r="J319" t="s">
        <v>200</v>
      </c>
    </row>
    <row r="320" spans="1:10" x14ac:dyDescent="0.35">
      <c r="A320">
        <v>319</v>
      </c>
      <c r="B320" t="s">
        <v>908</v>
      </c>
      <c r="C320" t="s">
        <v>909</v>
      </c>
      <c r="D320" s="7">
        <v>44.1</v>
      </c>
      <c r="E320">
        <v>44.141719357792518</v>
      </c>
      <c r="F320" s="7">
        <v>55.9</v>
      </c>
      <c r="G320" s="6">
        <v>990521</v>
      </c>
      <c r="H320" s="6">
        <v>437233</v>
      </c>
      <c r="I320" s="6">
        <v>553288</v>
      </c>
      <c r="J320" t="s">
        <v>200</v>
      </c>
    </row>
    <row r="321" spans="1:10" x14ac:dyDescent="0.35">
      <c r="A321">
        <v>320</v>
      </c>
      <c r="B321" t="s">
        <v>910</v>
      </c>
      <c r="C321" t="s">
        <v>911</v>
      </c>
      <c r="D321" s="7">
        <v>44.1</v>
      </c>
      <c r="E321">
        <v>44.119428749102063</v>
      </c>
      <c r="F321" s="7">
        <v>55.9</v>
      </c>
      <c r="G321" s="6">
        <v>373076</v>
      </c>
      <c r="H321" s="6">
        <v>164599</v>
      </c>
      <c r="I321" s="6">
        <v>208477</v>
      </c>
      <c r="J321" t="s">
        <v>200</v>
      </c>
    </row>
    <row r="322" spans="1:10" x14ac:dyDescent="0.35">
      <c r="A322">
        <v>321</v>
      </c>
      <c r="B322" t="s">
        <v>912</v>
      </c>
      <c r="C322" t="s">
        <v>913</v>
      </c>
      <c r="D322" s="7">
        <v>44.1</v>
      </c>
      <c r="E322">
        <v>44.057769050484573</v>
      </c>
      <c r="F322" s="7">
        <v>55.9</v>
      </c>
      <c r="G322" s="6">
        <v>78935</v>
      </c>
      <c r="H322" s="6">
        <v>34777</v>
      </c>
      <c r="I322" s="6">
        <v>44158</v>
      </c>
      <c r="J322" t="s">
        <v>200</v>
      </c>
    </row>
    <row r="323" spans="1:10" x14ac:dyDescent="0.35">
      <c r="A323">
        <v>322</v>
      </c>
      <c r="B323" t="s">
        <v>914</v>
      </c>
      <c r="C323" t="s">
        <v>915</v>
      </c>
      <c r="D323" s="7">
        <v>44</v>
      </c>
      <c r="E323">
        <v>44.018097597759343</v>
      </c>
      <c r="F323" s="7">
        <v>56</v>
      </c>
      <c r="G323" s="6">
        <v>232075</v>
      </c>
      <c r="H323" s="6">
        <v>102155</v>
      </c>
      <c r="I323" s="6">
        <v>129920</v>
      </c>
      <c r="J323" t="s">
        <v>200</v>
      </c>
    </row>
    <row r="324" spans="1:10" x14ac:dyDescent="0.35">
      <c r="A324">
        <v>323</v>
      </c>
      <c r="B324" t="s">
        <v>916</v>
      </c>
      <c r="C324" t="s">
        <v>917</v>
      </c>
      <c r="D324" s="7">
        <v>44</v>
      </c>
      <c r="E324">
        <v>44.0042872454448</v>
      </c>
      <c r="F324" s="7">
        <v>56</v>
      </c>
      <c r="G324" s="6">
        <v>303225</v>
      </c>
      <c r="H324" s="6">
        <v>133432</v>
      </c>
      <c r="I324" s="6">
        <v>169793</v>
      </c>
      <c r="J324" t="s">
        <v>200</v>
      </c>
    </row>
    <row r="325" spans="1:10" x14ac:dyDescent="0.35">
      <c r="A325">
        <v>324</v>
      </c>
      <c r="B325" t="s">
        <v>918</v>
      </c>
      <c r="C325" t="s">
        <v>919</v>
      </c>
      <c r="D325" s="7">
        <v>43.9</v>
      </c>
      <c r="E325">
        <v>43.908829863603742</v>
      </c>
      <c r="F325" s="7">
        <v>56.1</v>
      </c>
      <c r="G325" s="6">
        <v>111440</v>
      </c>
      <c r="H325" s="6">
        <v>48932</v>
      </c>
      <c r="I325" s="6">
        <v>62508</v>
      </c>
      <c r="J325" t="s">
        <v>200</v>
      </c>
    </row>
    <row r="326" spans="1:10" x14ac:dyDescent="0.35">
      <c r="A326">
        <v>325</v>
      </c>
      <c r="B326" t="s">
        <v>920</v>
      </c>
      <c r="C326" t="s">
        <v>921</v>
      </c>
      <c r="D326" s="7">
        <v>43.9</v>
      </c>
      <c r="E326">
        <v>43.890615915387563</v>
      </c>
      <c r="F326" s="7">
        <v>56.1</v>
      </c>
      <c r="G326" s="6">
        <v>1845497</v>
      </c>
      <c r="H326" s="6">
        <v>810000</v>
      </c>
      <c r="I326" s="6">
        <v>1035497</v>
      </c>
      <c r="J326" t="s">
        <v>200</v>
      </c>
    </row>
    <row r="327" spans="1:10" x14ac:dyDescent="0.35">
      <c r="A327">
        <v>326</v>
      </c>
      <c r="B327" t="s">
        <v>922</v>
      </c>
      <c r="C327" t="s">
        <v>923</v>
      </c>
      <c r="D327" s="7">
        <v>43.8</v>
      </c>
      <c r="E327">
        <v>43.834899122131517</v>
      </c>
      <c r="F327" s="7">
        <v>56.2</v>
      </c>
      <c r="G327" s="6">
        <v>97395</v>
      </c>
      <c r="H327" s="6">
        <v>42693</v>
      </c>
      <c r="I327" s="6">
        <v>54702</v>
      </c>
      <c r="J327" t="s">
        <v>200</v>
      </c>
    </row>
    <row r="328" spans="1:10" x14ac:dyDescent="0.35">
      <c r="A328">
        <v>327</v>
      </c>
      <c r="B328" t="s">
        <v>924</v>
      </c>
      <c r="C328" t="s">
        <v>925</v>
      </c>
      <c r="D328" s="7">
        <v>43.8</v>
      </c>
      <c r="E328">
        <v>43.819131657102687</v>
      </c>
      <c r="F328" s="7">
        <v>56.2</v>
      </c>
      <c r="G328" s="6">
        <v>233341</v>
      </c>
      <c r="H328" s="6">
        <v>102248</v>
      </c>
      <c r="I328" s="6">
        <v>131093</v>
      </c>
      <c r="J328" t="s">
        <v>200</v>
      </c>
    </row>
    <row r="329" spans="1:10" x14ac:dyDescent="0.35">
      <c r="A329">
        <v>328</v>
      </c>
      <c r="B329" t="s">
        <v>926</v>
      </c>
      <c r="C329" t="s">
        <v>927</v>
      </c>
      <c r="D329" s="7">
        <v>43.8</v>
      </c>
      <c r="E329">
        <v>43.794791120433487</v>
      </c>
      <c r="F329" s="7">
        <v>56.2</v>
      </c>
      <c r="G329" s="6">
        <v>320376</v>
      </c>
      <c r="H329" s="6">
        <v>140308</v>
      </c>
      <c r="I329" s="6">
        <v>180068</v>
      </c>
      <c r="J329" t="s">
        <v>200</v>
      </c>
    </row>
    <row r="330" spans="1:10" x14ac:dyDescent="0.35">
      <c r="A330">
        <v>329</v>
      </c>
      <c r="B330" t="s">
        <v>928</v>
      </c>
      <c r="C330" t="s">
        <v>929</v>
      </c>
      <c r="D330" s="7">
        <v>43.7</v>
      </c>
      <c r="E330">
        <v>43.705152018770157</v>
      </c>
      <c r="F330" s="7">
        <v>56.3</v>
      </c>
      <c r="G330" s="6">
        <v>358015</v>
      </c>
      <c r="H330" s="6">
        <v>156471</v>
      </c>
      <c r="I330" s="6">
        <v>201544</v>
      </c>
      <c r="J330" t="s">
        <v>200</v>
      </c>
    </row>
    <row r="331" spans="1:10" x14ac:dyDescent="0.35">
      <c r="A331">
        <v>330</v>
      </c>
      <c r="B331" t="s">
        <v>930</v>
      </c>
      <c r="C331" t="s">
        <v>931</v>
      </c>
      <c r="D331" s="7">
        <v>43.4</v>
      </c>
      <c r="E331">
        <v>43.43809857633984</v>
      </c>
      <c r="F331" s="7">
        <v>56.6</v>
      </c>
      <c r="G331" s="6">
        <v>564882</v>
      </c>
      <c r="H331" s="6">
        <v>245374</v>
      </c>
      <c r="I331" s="6">
        <v>319508</v>
      </c>
      <c r="J331" t="s">
        <v>200</v>
      </c>
    </row>
    <row r="332" spans="1:10" x14ac:dyDescent="0.35">
      <c r="A332">
        <v>331</v>
      </c>
      <c r="B332" t="s">
        <v>932</v>
      </c>
      <c r="C332" t="s">
        <v>933</v>
      </c>
      <c r="D332" s="7">
        <v>43.4</v>
      </c>
      <c r="E332">
        <v>43.419073548731028</v>
      </c>
      <c r="F332" s="7">
        <v>56.6</v>
      </c>
      <c r="G332" s="6">
        <v>52523</v>
      </c>
      <c r="H332" s="6">
        <v>22805</v>
      </c>
      <c r="I332" s="6">
        <v>29718</v>
      </c>
      <c r="J332" t="s">
        <v>200</v>
      </c>
    </row>
    <row r="333" spans="1:10" x14ac:dyDescent="0.35">
      <c r="A333">
        <v>332</v>
      </c>
      <c r="B333" t="s">
        <v>934</v>
      </c>
      <c r="C333" t="s">
        <v>935</v>
      </c>
      <c r="D333" s="7">
        <v>43.2</v>
      </c>
      <c r="E333">
        <v>43.181133248822022</v>
      </c>
      <c r="F333" s="7">
        <v>56.8</v>
      </c>
      <c r="G333" s="6">
        <v>209045</v>
      </c>
      <c r="H333" s="6">
        <v>90268</v>
      </c>
      <c r="I333" s="6">
        <v>118777</v>
      </c>
      <c r="J333" t="s">
        <v>200</v>
      </c>
    </row>
    <row r="334" spans="1:10" x14ac:dyDescent="0.35">
      <c r="A334">
        <v>333</v>
      </c>
      <c r="B334" t="s">
        <v>936</v>
      </c>
      <c r="C334" t="s">
        <v>937</v>
      </c>
      <c r="D334" s="7">
        <v>43.1</v>
      </c>
      <c r="E334">
        <v>43.097070960518799</v>
      </c>
      <c r="F334" s="7">
        <v>56.9</v>
      </c>
      <c r="G334" s="6">
        <v>2567019</v>
      </c>
      <c r="H334" s="6">
        <v>1106310</v>
      </c>
      <c r="I334" s="6">
        <v>1460709</v>
      </c>
      <c r="J334" t="s">
        <v>200</v>
      </c>
    </row>
    <row r="335" spans="1:10" x14ac:dyDescent="0.35">
      <c r="A335">
        <v>334</v>
      </c>
      <c r="B335" t="s">
        <v>938</v>
      </c>
      <c r="C335" t="s">
        <v>939</v>
      </c>
      <c r="D335" s="7">
        <v>43.1</v>
      </c>
      <c r="E335">
        <v>43.060041216818917</v>
      </c>
      <c r="F335" s="7">
        <v>56.9</v>
      </c>
      <c r="G335" s="6">
        <v>130044</v>
      </c>
      <c r="H335" s="6">
        <v>55997</v>
      </c>
      <c r="I335" s="6">
        <v>74047</v>
      </c>
      <c r="J335" t="s">
        <v>200</v>
      </c>
    </row>
    <row r="336" spans="1:10" x14ac:dyDescent="0.35">
      <c r="A336">
        <v>335</v>
      </c>
      <c r="B336" t="s">
        <v>940</v>
      </c>
      <c r="C336" t="s">
        <v>941</v>
      </c>
      <c r="D336" s="7">
        <v>43</v>
      </c>
      <c r="E336">
        <v>43.024019649844341</v>
      </c>
      <c r="F336" s="7">
        <v>57</v>
      </c>
      <c r="G336" s="6">
        <v>35013</v>
      </c>
      <c r="H336" s="6">
        <v>15064</v>
      </c>
      <c r="I336" s="6">
        <v>19949</v>
      </c>
      <c r="J336" t="s">
        <v>200</v>
      </c>
    </row>
    <row r="337" spans="1:10" x14ac:dyDescent="0.35">
      <c r="A337">
        <v>336</v>
      </c>
      <c r="B337" t="s">
        <v>942</v>
      </c>
      <c r="C337" t="s">
        <v>943</v>
      </c>
      <c r="D337" s="7">
        <v>43</v>
      </c>
      <c r="E337">
        <v>42.971563981042657</v>
      </c>
      <c r="F337" s="7">
        <v>57</v>
      </c>
      <c r="G337" s="6">
        <v>42200</v>
      </c>
      <c r="H337" s="6">
        <v>18134</v>
      </c>
      <c r="I337" s="6">
        <v>24066</v>
      </c>
      <c r="J337" t="s">
        <v>200</v>
      </c>
    </row>
    <row r="338" spans="1:10" x14ac:dyDescent="0.35">
      <c r="A338">
        <v>337</v>
      </c>
      <c r="B338" t="s">
        <v>944</v>
      </c>
      <c r="C338" t="s">
        <v>945</v>
      </c>
      <c r="D338" s="7">
        <v>42.9</v>
      </c>
      <c r="E338">
        <v>42.888297833150368</v>
      </c>
      <c r="F338" s="7">
        <v>57.1</v>
      </c>
      <c r="G338" s="6">
        <v>135727</v>
      </c>
      <c r="H338" s="6">
        <v>58211</v>
      </c>
      <c r="I338" s="6">
        <v>77516</v>
      </c>
      <c r="J338" t="s">
        <v>200</v>
      </c>
    </row>
    <row r="339" spans="1:10" x14ac:dyDescent="0.35">
      <c r="A339">
        <v>338</v>
      </c>
      <c r="B339" t="s">
        <v>946</v>
      </c>
      <c r="C339" t="s">
        <v>947</v>
      </c>
      <c r="D339" s="7">
        <v>42.8</v>
      </c>
      <c r="E339">
        <v>42.791045635034813</v>
      </c>
      <c r="F339" s="7">
        <v>57.2</v>
      </c>
      <c r="G339" s="6">
        <v>86885</v>
      </c>
      <c r="H339" s="6">
        <v>37179</v>
      </c>
      <c r="I339" s="6">
        <v>49706</v>
      </c>
      <c r="J339" t="s">
        <v>200</v>
      </c>
    </row>
    <row r="340" spans="1:10" x14ac:dyDescent="0.35">
      <c r="A340">
        <v>339</v>
      </c>
      <c r="B340" t="s">
        <v>948</v>
      </c>
      <c r="C340" t="s">
        <v>949</v>
      </c>
      <c r="D340" s="7">
        <v>42.7</v>
      </c>
      <c r="E340">
        <v>42.718390508775123</v>
      </c>
      <c r="F340" s="7">
        <v>57.3</v>
      </c>
      <c r="G340" s="6">
        <v>951953</v>
      </c>
      <c r="H340" s="6">
        <v>406659</v>
      </c>
      <c r="I340" s="6">
        <v>545294</v>
      </c>
      <c r="J340" t="s">
        <v>200</v>
      </c>
    </row>
    <row r="341" spans="1:10" x14ac:dyDescent="0.35">
      <c r="A341">
        <v>340</v>
      </c>
      <c r="B341" t="s">
        <v>950</v>
      </c>
      <c r="C341" t="s">
        <v>951</v>
      </c>
      <c r="D341" s="7">
        <v>42.6</v>
      </c>
      <c r="E341">
        <v>42.600025520863298</v>
      </c>
      <c r="F341" s="7">
        <v>57.4</v>
      </c>
      <c r="G341" s="6">
        <v>1998365</v>
      </c>
      <c r="H341" s="6">
        <v>851304</v>
      </c>
      <c r="I341" s="6">
        <v>1147061</v>
      </c>
      <c r="J341" t="s">
        <v>200</v>
      </c>
    </row>
    <row r="342" spans="1:10" x14ac:dyDescent="0.35">
      <c r="A342">
        <v>341</v>
      </c>
      <c r="B342" t="s">
        <v>952</v>
      </c>
      <c r="C342" t="s">
        <v>953</v>
      </c>
      <c r="D342" s="7">
        <v>42.5</v>
      </c>
      <c r="E342">
        <v>42.548277574932023</v>
      </c>
      <c r="F342" s="7">
        <v>57.5</v>
      </c>
      <c r="G342" s="6">
        <v>195277</v>
      </c>
      <c r="H342" s="6">
        <v>83087</v>
      </c>
      <c r="I342" s="6">
        <v>112190</v>
      </c>
      <c r="J342" t="s">
        <v>200</v>
      </c>
    </row>
    <row r="343" spans="1:10" x14ac:dyDescent="0.35">
      <c r="A343">
        <v>342</v>
      </c>
      <c r="B343" t="s">
        <v>954</v>
      </c>
      <c r="C343" t="s">
        <v>955</v>
      </c>
      <c r="D343" s="7">
        <v>42.5</v>
      </c>
      <c r="E343">
        <v>42.492400485407728</v>
      </c>
      <c r="F343" s="7">
        <v>57.5</v>
      </c>
      <c r="G343" s="6">
        <v>249687</v>
      </c>
      <c r="H343" s="6">
        <v>106098</v>
      </c>
      <c r="I343" s="6">
        <v>143589</v>
      </c>
      <c r="J343" t="s">
        <v>200</v>
      </c>
    </row>
    <row r="344" spans="1:10" x14ac:dyDescent="0.35">
      <c r="A344">
        <v>343</v>
      </c>
      <c r="B344" t="s">
        <v>956</v>
      </c>
      <c r="C344" t="s">
        <v>957</v>
      </c>
      <c r="D344" s="7">
        <v>42.4</v>
      </c>
      <c r="E344">
        <v>42.388180348482123</v>
      </c>
      <c r="F344" s="7">
        <v>57.6</v>
      </c>
      <c r="G344" s="6">
        <v>89072</v>
      </c>
      <c r="H344" s="6">
        <v>37756</v>
      </c>
      <c r="I344" s="6">
        <v>51316</v>
      </c>
      <c r="J344" t="s">
        <v>200</v>
      </c>
    </row>
    <row r="345" spans="1:10" x14ac:dyDescent="0.35">
      <c r="A345">
        <v>344</v>
      </c>
      <c r="B345" t="s">
        <v>958</v>
      </c>
      <c r="C345" t="s">
        <v>959</v>
      </c>
      <c r="D345" s="7">
        <v>42.4</v>
      </c>
      <c r="E345">
        <v>42.387167846174393</v>
      </c>
      <c r="F345" s="7">
        <v>57.6</v>
      </c>
      <c r="G345" s="6">
        <v>59912</v>
      </c>
      <c r="H345" s="6">
        <v>25395</v>
      </c>
      <c r="I345" s="6">
        <v>34517</v>
      </c>
      <c r="J345" t="s">
        <v>200</v>
      </c>
    </row>
    <row r="346" spans="1:10" x14ac:dyDescent="0.35">
      <c r="A346">
        <v>345</v>
      </c>
      <c r="B346" t="s">
        <v>960</v>
      </c>
      <c r="C346" t="s">
        <v>961</v>
      </c>
      <c r="D346" s="7">
        <v>42.4</v>
      </c>
      <c r="E346">
        <v>42.371853671429243</v>
      </c>
      <c r="F346" s="7">
        <v>57.6</v>
      </c>
      <c r="G346" s="6">
        <v>64321</v>
      </c>
      <c r="H346" s="6">
        <v>27254</v>
      </c>
      <c r="I346" s="6">
        <v>37067</v>
      </c>
      <c r="J346" t="s">
        <v>200</v>
      </c>
    </row>
    <row r="347" spans="1:10" x14ac:dyDescent="0.35">
      <c r="A347">
        <v>346</v>
      </c>
      <c r="B347" t="s">
        <v>962</v>
      </c>
      <c r="C347" t="s">
        <v>963</v>
      </c>
      <c r="D347" s="7">
        <v>42.4</v>
      </c>
      <c r="E347">
        <v>42.369838420107719</v>
      </c>
      <c r="F347" s="7">
        <v>57.6</v>
      </c>
      <c r="G347" s="6">
        <v>74638</v>
      </c>
      <c r="H347" s="6">
        <v>31624</v>
      </c>
      <c r="I347" s="6">
        <v>43014</v>
      </c>
      <c r="J347" t="s">
        <v>200</v>
      </c>
    </row>
    <row r="348" spans="1:10" x14ac:dyDescent="0.35">
      <c r="A348">
        <v>347</v>
      </c>
      <c r="B348" t="s">
        <v>964</v>
      </c>
      <c r="C348" t="s">
        <v>965</v>
      </c>
      <c r="D348" s="7">
        <v>42.4</v>
      </c>
      <c r="E348">
        <v>42.3658561481761</v>
      </c>
      <c r="F348" s="7">
        <v>57.6</v>
      </c>
      <c r="G348" s="6">
        <v>646582</v>
      </c>
      <c r="H348" s="6">
        <v>273930</v>
      </c>
      <c r="I348" s="6">
        <v>372652</v>
      </c>
      <c r="J348" t="s">
        <v>200</v>
      </c>
    </row>
    <row r="349" spans="1:10" x14ac:dyDescent="0.35">
      <c r="A349">
        <v>348</v>
      </c>
      <c r="B349" t="s">
        <v>966</v>
      </c>
      <c r="C349" t="s">
        <v>967</v>
      </c>
      <c r="D349" s="7">
        <v>42.1</v>
      </c>
      <c r="E349">
        <v>42.149128685645039</v>
      </c>
      <c r="F349" s="7">
        <v>57.9</v>
      </c>
      <c r="G349" s="6">
        <v>3439459</v>
      </c>
      <c r="H349" s="6">
        <v>1449702</v>
      </c>
      <c r="I349" s="6">
        <v>1989757</v>
      </c>
      <c r="J349" t="s">
        <v>200</v>
      </c>
    </row>
    <row r="350" spans="1:10" x14ac:dyDescent="0.35">
      <c r="A350">
        <v>349</v>
      </c>
      <c r="B350" t="s">
        <v>968</v>
      </c>
      <c r="C350" t="s">
        <v>969</v>
      </c>
      <c r="D350" s="7">
        <v>42.1</v>
      </c>
      <c r="E350">
        <v>42.143976595966983</v>
      </c>
      <c r="F350" s="7">
        <v>57.9</v>
      </c>
      <c r="G350" s="6">
        <v>47855</v>
      </c>
      <c r="H350" s="6">
        <v>20168</v>
      </c>
      <c r="I350" s="6">
        <v>27687</v>
      </c>
      <c r="J350" t="s">
        <v>200</v>
      </c>
    </row>
    <row r="351" spans="1:10" x14ac:dyDescent="0.35">
      <c r="A351">
        <v>350</v>
      </c>
      <c r="B351" t="s">
        <v>970</v>
      </c>
      <c r="C351" t="s">
        <v>971</v>
      </c>
      <c r="D351" s="7">
        <v>42.1</v>
      </c>
      <c r="E351">
        <v>42.121327575629273</v>
      </c>
      <c r="F351" s="7">
        <v>57.9</v>
      </c>
      <c r="G351" s="6">
        <v>1178479</v>
      </c>
      <c r="H351" s="6">
        <v>496391</v>
      </c>
      <c r="I351" s="6">
        <v>682088</v>
      </c>
      <c r="J351" t="s">
        <v>200</v>
      </c>
    </row>
    <row r="352" spans="1:10" x14ac:dyDescent="0.35">
      <c r="A352">
        <v>351</v>
      </c>
      <c r="B352" t="s">
        <v>972</v>
      </c>
      <c r="C352" t="s">
        <v>973</v>
      </c>
      <c r="D352" s="7">
        <v>42</v>
      </c>
      <c r="E352">
        <v>42.026292562828083</v>
      </c>
      <c r="F352" s="7">
        <v>58</v>
      </c>
      <c r="G352" s="6">
        <v>64581</v>
      </c>
      <c r="H352" s="6">
        <v>27141</v>
      </c>
      <c r="I352" s="6">
        <v>37440</v>
      </c>
      <c r="J352" t="s">
        <v>200</v>
      </c>
    </row>
    <row r="353" spans="1:10" x14ac:dyDescent="0.35">
      <c r="A353">
        <v>352</v>
      </c>
      <c r="B353" t="s">
        <v>974</v>
      </c>
      <c r="C353" t="s">
        <v>975</v>
      </c>
      <c r="D353" s="7">
        <v>42</v>
      </c>
      <c r="E353">
        <v>41.975752093089262</v>
      </c>
      <c r="F353" s="7">
        <v>58</v>
      </c>
      <c r="G353" s="6">
        <v>676512</v>
      </c>
      <c r="H353" s="6">
        <v>283971</v>
      </c>
      <c r="I353" s="6">
        <v>392541</v>
      </c>
      <c r="J353" t="s">
        <v>200</v>
      </c>
    </row>
    <row r="354" spans="1:10" x14ac:dyDescent="0.35">
      <c r="A354">
        <v>353</v>
      </c>
      <c r="B354" t="s">
        <v>976</v>
      </c>
      <c r="C354" t="s">
        <v>977</v>
      </c>
      <c r="D354" s="7">
        <v>42</v>
      </c>
      <c r="E354">
        <v>41.959942486415812</v>
      </c>
      <c r="F354" s="7">
        <v>58</v>
      </c>
      <c r="G354" s="6">
        <v>544567</v>
      </c>
      <c r="H354" s="6">
        <v>228500</v>
      </c>
      <c r="I354" s="6">
        <v>316067</v>
      </c>
      <c r="J354" t="s">
        <v>200</v>
      </c>
    </row>
    <row r="355" spans="1:10" x14ac:dyDescent="0.35">
      <c r="A355">
        <v>354</v>
      </c>
      <c r="B355" t="s">
        <v>978</v>
      </c>
      <c r="C355" t="s">
        <v>979</v>
      </c>
      <c r="D355" s="7">
        <v>41.9</v>
      </c>
      <c r="E355">
        <v>41.906254175320967</v>
      </c>
      <c r="F355" s="7">
        <v>58.1</v>
      </c>
      <c r="G355" s="6">
        <v>82329</v>
      </c>
      <c r="H355" s="6">
        <v>34501</v>
      </c>
      <c r="I355" s="6">
        <v>47828</v>
      </c>
      <c r="J355" t="s">
        <v>200</v>
      </c>
    </row>
    <row r="356" spans="1:10" x14ac:dyDescent="0.35">
      <c r="A356">
        <v>355</v>
      </c>
      <c r="B356" t="s">
        <v>980</v>
      </c>
      <c r="C356" t="s">
        <v>981</v>
      </c>
      <c r="D356" s="7">
        <v>41.8</v>
      </c>
      <c r="E356">
        <v>41.790289129561657</v>
      </c>
      <c r="F356" s="7">
        <v>58.2</v>
      </c>
      <c r="G356" s="6">
        <v>1003391</v>
      </c>
      <c r="H356" s="6">
        <v>419320</v>
      </c>
      <c r="I356" s="6">
        <v>584071</v>
      </c>
      <c r="J356" t="s">
        <v>200</v>
      </c>
    </row>
    <row r="357" spans="1:10" x14ac:dyDescent="0.35">
      <c r="A357">
        <v>356</v>
      </c>
      <c r="B357" t="s">
        <v>982</v>
      </c>
      <c r="C357" t="s">
        <v>983</v>
      </c>
      <c r="D357" s="7">
        <v>41.8</v>
      </c>
      <c r="E357">
        <v>41.755264980243602</v>
      </c>
      <c r="F357" s="7">
        <v>58.2</v>
      </c>
      <c r="G357" s="6">
        <v>98196</v>
      </c>
      <c r="H357" s="6">
        <v>41002</v>
      </c>
      <c r="I357" s="6">
        <v>57194</v>
      </c>
      <c r="J357" t="s">
        <v>200</v>
      </c>
    </row>
    <row r="358" spans="1:10" x14ac:dyDescent="0.35">
      <c r="A358">
        <v>357</v>
      </c>
      <c r="B358" t="s">
        <v>984</v>
      </c>
      <c r="C358" t="s">
        <v>985</v>
      </c>
      <c r="D358" s="7">
        <v>41.4</v>
      </c>
      <c r="E358">
        <v>41.420390147940672</v>
      </c>
      <c r="F358" s="7">
        <v>58.6</v>
      </c>
      <c r="G358" s="6">
        <v>200283</v>
      </c>
      <c r="H358" s="6">
        <v>82958</v>
      </c>
      <c r="I358" s="6">
        <v>117325</v>
      </c>
      <c r="J358" t="s">
        <v>200</v>
      </c>
    </row>
    <row r="359" spans="1:10" x14ac:dyDescent="0.35">
      <c r="A359">
        <v>358</v>
      </c>
      <c r="B359" t="s">
        <v>986</v>
      </c>
      <c r="C359" t="s">
        <v>987</v>
      </c>
      <c r="D359" s="7">
        <v>41.4</v>
      </c>
      <c r="E359">
        <v>41.413506800808882</v>
      </c>
      <c r="F359" s="7">
        <v>58.6</v>
      </c>
      <c r="G359" s="6">
        <v>953416</v>
      </c>
      <c r="H359" s="6">
        <v>394843</v>
      </c>
      <c r="I359" s="6">
        <v>558573</v>
      </c>
      <c r="J359" t="s">
        <v>200</v>
      </c>
    </row>
    <row r="360" spans="1:10" x14ac:dyDescent="0.35">
      <c r="A360">
        <v>359</v>
      </c>
      <c r="B360" t="s">
        <v>988</v>
      </c>
      <c r="C360" t="s">
        <v>989</v>
      </c>
      <c r="D360" s="7">
        <v>41.3</v>
      </c>
      <c r="E360">
        <v>41.334469839633677</v>
      </c>
      <c r="F360" s="7">
        <v>58.7</v>
      </c>
      <c r="G360" s="6">
        <v>50447</v>
      </c>
      <c r="H360" s="6">
        <v>20852</v>
      </c>
      <c r="I360" s="6">
        <v>29595</v>
      </c>
      <c r="J360" t="s">
        <v>200</v>
      </c>
    </row>
    <row r="361" spans="1:10" x14ac:dyDescent="0.35">
      <c r="A361">
        <v>360</v>
      </c>
      <c r="B361" t="s">
        <v>990</v>
      </c>
      <c r="C361" t="s">
        <v>991</v>
      </c>
      <c r="D361" s="7">
        <v>41.1</v>
      </c>
      <c r="E361">
        <v>41.092189539507643</v>
      </c>
      <c r="F361" s="7">
        <v>58.9</v>
      </c>
      <c r="G361" s="6">
        <v>230601</v>
      </c>
      <c r="H361" s="6">
        <v>94759</v>
      </c>
      <c r="I361" s="6">
        <v>135842</v>
      </c>
      <c r="J361" t="s">
        <v>200</v>
      </c>
    </row>
    <row r="362" spans="1:10" x14ac:dyDescent="0.35">
      <c r="A362">
        <v>361</v>
      </c>
      <c r="B362" t="s">
        <v>992</v>
      </c>
      <c r="C362" t="s">
        <v>993</v>
      </c>
      <c r="D362" s="7">
        <v>41</v>
      </c>
      <c r="E362">
        <v>40.975635537233757</v>
      </c>
      <c r="F362" s="7">
        <v>59</v>
      </c>
      <c r="G362" s="6">
        <v>75684</v>
      </c>
      <c r="H362" s="6">
        <v>31012</v>
      </c>
      <c r="I362" s="6">
        <v>44672</v>
      </c>
      <c r="J362" t="s">
        <v>200</v>
      </c>
    </row>
    <row r="363" spans="1:10" x14ac:dyDescent="0.35">
      <c r="A363">
        <v>362</v>
      </c>
      <c r="B363" t="s">
        <v>994</v>
      </c>
      <c r="C363" t="s">
        <v>995</v>
      </c>
      <c r="D363" s="7">
        <v>40.9</v>
      </c>
      <c r="E363">
        <v>40.927689937291689</v>
      </c>
      <c r="F363" s="7">
        <v>59.1</v>
      </c>
      <c r="G363" s="6">
        <v>946286</v>
      </c>
      <c r="H363" s="6">
        <v>387293</v>
      </c>
      <c r="I363" s="6">
        <v>558993</v>
      </c>
      <c r="J363" t="s">
        <v>200</v>
      </c>
    </row>
    <row r="364" spans="1:10" x14ac:dyDescent="0.35">
      <c r="A364">
        <v>363</v>
      </c>
      <c r="B364" t="s">
        <v>996</v>
      </c>
      <c r="C364" t="s">
        <v>997</v>
      </c>
      <c r="D364" s="7">
        <v>40.9</v>
      </c>
      <c r="E364">
        <v>40.893376768099962</v>
      </c>
      <c r="F364" s="7">
        <v>59.1</v>
      </c>
      <c r="G364" s="6">
        <v>350871</v>
      </c>
      <c r="H364" s="6">
        <v>143483</v>
      </c>
      <c r="I364" s="6">
        <v>207388</v>
      </c>
      <c r="J364" t="s">
        <v>200</v>
      </c>
    </row>
    <row r="365" spans="1:10" x14ac:dyDescent="0.35">
      <c r="A365">
        <v>364</v>
      </c>
      <c r="B365" t="s">
        <v>998</v>
      </c>
      <c r="C365" t="s">
        <v>999</v>
      </c>
      <c r="D365" s="7">
        <v>40.799999999999997</v>
      </c>
      <c r="E365">
        <v>40.760245878356123</v>
      </c>
      <c r="F365" s="7">
        <v>59.2</v>
      </c>
      <c r="G365" s="6">
        <v>352044</v>
      </c>
      <c r="H365" s="6">
        <v>143494</v>
      </c>
      <c r="I365" s="6">
        <v>208550</v>
      </c>
      <c r="J365" t="s">
        <v>200</v>
      </c>
    </row>
    <row r="366" spans="1:10" x14ac:dyDescent="0.35">
      <c r="A366">
        <v>365</v>
      </c>
      <c r="B366" t="s">
        <v>1000</v>
      </c>
      <c r="C366" t="s">
        <v>1001</v>
      </c>
      <c r="D366" s="7">
        <v>40.6</v>
      </c>
      <c r="E366">
        <v>40.553954867610251</v>
      </c>
      <c r="F366" s="7">
        <v>59.4</v>
      </c>
      <c r="G366" s="6">
        <v>47549</v>
      </c>
      <c r="H366" s="6">
        <v>19283</v>
      </c>
      <c r="I366" s="6">
        <v>28266</v>
      </c>
      <c r="J366" t="s">
        <v>200</v>
      </c>
    </row>
    <row r="367" spans="1:10" x14ac:dyDescent="0.35">
      <c r="A367">
        <v>366</v>
      </c>
      <c r="B367" t="s">
        <v>1002</v>
      </c>
      <c r="C367" t="s">
        <v>1003</v>
      </c>
      <c r="D367" s="7">
        <v>40.5</v>
      </c>
      <c r="E367">
        <v>40.500487912516377</v>
      </c>
      <c r="F367" s="7">
        <v>59.5</v>
      </c>
      <c r="G367" s="6">
        <v>933569</v>
      </c>
      <c r="H367" s="6">
        <v>378100</v>
      </c>
      <c r="I367" s="6">
        <v>555469</v>
      </c>
      <c r="J367" t="s">
        <v>200</v>
      </c>
    </row>
    <row r="368" spans="1:10" x14ac:dyDescent="0.35">
      <c r="A368">
        <v>367</v>
      </c>
      <c r="B368" t="s">
        <v>1004</v>
      </c>
      <c r="C368" t="s">
        <v>1005</v>
      </c>
      <c r="D368" s="7">
        <v>40.4</v>
      </c>
      <c r="E368">
        <v>40.439686684073109</v>
      </c>
      <c r="F368" s="7">
        <v>59.6</v>
      </c>
      <c r="G368" s="6">
        <v>95750</v>
      </c>
      <c r="H368" s="6">
        <v>38721</v>
      </c>
      <c r="I368" s="6">
        <v>57029</v>
      </c>
      <c r="J368" t="s">
        <v>200</v>
      </c>
    </row>
    <row r="369" spans="1:10" x14ac:dyDescent="0.35">
      <c r="A369">
        <v>368</v>
      </c>
      <c r="B369" t="s">
        <v>1006</v>
      </c>
      <c r="C369" t="s">
        <v>1007</v>
      </c>
      <c r="D369" s="7">
        <v>40.200000000000003</v>
      </c>
      <c r="E369">
        <v>40.218320349703291</v>
      </c>
      <c r="F369" s="7">
        <v>59.8</v>
      </c>
      <c r="G369" s="6">
        <v>40949</v>
      </c>
      <c r="H369" s="6">
        <v>16469</v>
      </c>
      <c r="I369" s="6">
        <v>24480</v>
      </c>
      <c r="J369" t="s">
        <v>200</v>
      </c>
    </row>
    <row r="370" spans="1:10" x14ac:dyDescent="0.35">
      <c r="A370">
        <v>369</v>
      </c>
      <c r="B370" t="s">
        <v>1008</v>
      </c>
      <c r="C370" t="s">
        <v>1009</v>
      </c>
      <c r="D370" s="7">
        <v>40.1</v>
      </c>
      <c r="E370">
        <v>40.145713220319543</v>
      </c>
      <c r="F370" s="7">
        <v>59.9</v>
      </c>
      <c r="G370" s="6">
        <v>34863</v>
      </c>
      <c r="H370" s="6">
        <v>13996</v>
      </c>
      <c r="I370" s="6">
        <v>20867</v>
      </c>
      <c r="J370" t="s">
        <v>200</v>
      </c>
    </row>
    <row r="371" spans="1:10" x14ac:dyDescent="0.35">
      <c r="A371">
        <v>370</v>
      </c>
      <c r="B371" t="s">
        <v>1010</v>
      </c>
      <c r="C371" t="s">
        <v>1011</v>
      </c>
      <c r="D371" s="7">
        <v>40</v>
      </c>
      <c r="E371">
        <v>40.042299781779732</v>
      </c>
      <c r="F371" s="7">
        <v>60</v>
      </c>
      <c r="G371" s="6">
        <v>223169</v>
      </c>
      <c r="H371" s="6">
        <v>89362</v>
      </c>
      <c r="I371" s="6">
        <v>133807</v>
      </c>
      <c r="J371" t="s">
        <v>200</v>
      </c>
    </row>
    <row r="372" spans="1:10" x14ac:dyDescent="0.35">
      <c r="A372">
        <v>371</v>
      </c>
      <c r="B372" t="s">
        <v>1012</v>
      </c>
      <c r="C372" t="s">
        <v>1013</v>
      </c>
      <c r="D372" s="7">
        <v>39.9</v>
      </c>
      <c r="E372">
        <v>39.878879300783069</v>
      </c>
      <c r="F372" s="7">
        <v>60.1</v>
      </c>
      <c r="G372" s="6">
        <v>90158</v>
      </c>
      <c r="H372" s="6">
        <v>35954</v>
      </c>
      <c r="I372" s="6">
        <v>54204</v>
      </c>
      <c r="J372" t="s">
        <v>200</v>
      </c>
    </row>
    <row r="373" spans="1:10" x14ac:dyDescent="0.35">
      <c r="A373">
        <v>372</v>
      </c>
      <c r="B373" t="s">
        <v>1014</v>
      </c>
      <c r="C373" t="s">
        <v>1015</v>
      </c>
      <c r="D373" s="7">
        <v>39.799999999999997</v>
      </c>
      <c r="E373">
        <v>39.838632660863659</v>
      </c>
      <c r="F373" s="7">
        <v>60.2</v>
      </c>
      <c r="G373" s="6">
        <v>630363</v>
      </c>
      <c r="H373" s="6">
        <v>251128</v>
      </c>
      <c r="I373" s="6">
        <v>379235</v>
      </c>
      <c r="J373" t="s">
        <v>200</v>
      </c>
    </row>
    <row r="374" spans="1:10" x14ac:dyDescent="0.35">
      <c r="A374">
        <v>373</v>
      </c>
      <c r="B374" t="s">
        <v>1016</v>
      </c>
      <c r="C374" t="s">
        <v>1017</v>
      </c>
      <c r="D374" s="7">
        <v>39.200000000000003</v>
      </c>
      <c r="E374">
        <v>39.193452517031687</v>
      </c>
      <c r="F374" s="7">
        <v>60.8</v>
      </c>
      <c r="G374" s="6">
        <v>43742</v>
      </c>
      <c r="H374" s="6">
        <v>17144</v>
      </c>
      <c r="I374" s="6">
        <v>26598</v>
      </c>
      <c r="J374" t="s">
        <v>200</v>
      </c>
    </row>
    <row r="375" spans="1:10" x14ac:dyDescent="0.35">
      <c r="A375">
        <v>374</v>
      </c>
      <c r="B375" t="s">
        <v>1018</v>
      </c>
      <c r="C375" t="s">
        <v>1019</v>
      </c>
      <c r="D375" s="7">
        <v>39.1</v>
      </c>
      <c r="E375">
        <v>39.114616461010051</v>
      </c>
      <c r="F375" s="7">
        <v>60.9</v>
      </c>
      <c r="G375" s="6">
        <v>39305</v>
      </c>
      <c r="H375" s="6">
        <v>15374</v>
      </c>
      <c r="I375" s="6">
        <v>23931</v>
      </c>
      <c r="J375" t="s">
        <v>200</v>
      </c>
    </row>
    <row r="376" spans="1:10" x14ac:dyDescent="0.35">
      <c r="A376">
        <v>375</v>
      </c>
      <c r="B376" t="s">
        <v>1020</v>
      </c>
      <c r="C376" t="s">
        <v>1021</v>
      </c>
      <c r="D376" s="7">
        <v>38.700000000000003</v>
      </c>
      <c r="E376">
        <v>38.723890888298413</v>
      </c>
      <c r="F376" s="7">
        <v>61.3</v>
      </c>
      <c r="G376" s="6">
        <v>29731</v>
      </c>
      <c r="H376" s="6">
        <v>11513</v>
      </c>
      <c r="I376" s="6">
        <v>18218</v>
      </c>
      <c r="J376" t="s">
        <v>200</v>
      </c>
    </row>
    <row r="377" spans="1:10" x14ac:dyDescent="0.35">
      <c r="A377">
        <v>376</v>
      </c>
      <c r="B377" t="s">
        <v>1022</v>
      </c>
      <c r="C377" t="s">
        <v>1023</v>
      </c>
      <c r="D377" s="7">
        <v>38.6</v>
      </c>
      <c r="E377">
        <v>38.618792264740421</v>
      </c>
      <c r="F377" s="7">
        <v>61.4</v>
      </c>
      <c r="G377" s="6">
        <v>1192927</v>
      </c>
      <c r="H377" s="6">
        <v>460694</v>
      </c>
      <c r="I377" s="6">
        <v>732233</v>
      </c>
      <c r="J377" t="s">
        <v>200</v>
      </c>
    </row>
    <row r="378" spans="1:10" x14ac:dyDescent="0.35">
      <c r="A378">
        <v>377</v>
      </c>
      <c r="B378" t="s">
        <v>1024</v>
      </c>
      <c r="C378" t="s">
        <v>1025</v>
      </c>
      <c r="D378" s="7">
        <v>38.6</v>
      </c>
      <c r="E378">
        <v>38.594434609048719</v>
      </c>
      <c r="F378" s="7">
        <v>61.4</v>
      </c>
      <c r="G378" s="6">
        <v>292594</v>
      </c>
      <c r="H378" s="6">
        <v>112925</v>
      </c>
      <c r="I378" s="6">
        <v>179669</v>
      </c>
      <c r="J378" t="s">
        <v>200</v>
      </c>
    </row>
    <row r="379" spans="1:10" x14ac:dyDescent="0.35">
      <c r="A379">
        <v>378</v>
      </c>
      <c r="B379" t="s">
        <v>1026</v>
      </c>
      <c r="C379" t="s">
        <v>1027</v>
      </c>
      <c r="D379" s="7">
        <v>38.4</v>
      </c>
      <c r="E379">
        <v>38.394818125405273</v>
      </c>
      <c r="F379" s="7">
        <v>61.6</v>
      </c>
      <c r="G379" s="6">
        <v>143423</v>
      </c>
      <c r="H379" s="6">
        <v>55067</v>
      </c>
      <c r="I379" s="6">
        <v>88356</v>
      </c>
      <c r="J379" t="s">
        <v>200</v>
      </c>
    </row>
    <row r="380" spans="1:10" x14ac:dyDescent="0.35">
      <c r="A380">
        <v>379</v>
      </c>
      <c r="B380" t="s">
        <v>1028</v>
      </c>
      <c r="C380" t="s">
        <v>1029</v>
      </c>
      <c r="D380" s="7">
        <v>38.1</v>
      </c>
      <c r="E380">
        <v>38.069039913700109</v>
      </c>
      <c r="F380" s="7">
        <v>61.9</v>
      </c>
      <c r="G380" s="6">
        <v>55620</v>
      </c>
      <c r="H380" s="6">
        <v>21174</v>
      </c>
      <c r="I380" s="6">
        <v>34446</v>
      </c>
      <c r="J380" t="s">
        <v>200</v>
      </c>
    </row>
    <row r="381" spans="1:10" x14ac:dyDescent="0.35">
      <c r="A381">
        <v>380</v>
      </c>
      <c r="B381" t="s">
        <v>1030</v>
      </c>
      <c r="C381" t="s">
        <v>1031</v>
      </c>
      <c r="D381" s="7">
        <v>37.6</v>
      </c>
      <c r="E381">
        <v>37.623695725345002</v>
      </c>
      <c r="F381" s="7">
        <v>62.4</v>
      </c>
      <c r="G381" s="6">
        <v>14855</v>
      </c>
      <c r="H381" s="6">
        <v>5589</v>
      </c>
      <c r="I381" s="6">
        <v>9266</v>
      </c>
      <c r="J381" t="s">
        <v>200</v>
      </c>
    </row>
    <row r="382" spans="1:10" x14ac:dyDescent="0.35">
      <c r="A382">
        <v>381</v>
      </c>
      <c r="B382" t="s">
        <v>1032</v>
      </c>
      <c r="C382" t="s">
        <v>1033</v>
      </c>
      <c r="D382" s="7">
        <v>37.6</v>
      </c>
      <c r="E382">
        <v>37.588162079933618</v>
      </c>
      <c r="F382" s="7">
        <v>62.4</v>
      </c>
      <c r="G382" s="6">
        <v>151851</v>
      </c>
      <c r="H382" s="6">
        <v>57078</v>
      </c>
      <c r="I382" s="6">
        <v>94773</v>
      </c>
      <c r="J382" t="s">
        <v>200</v>
      </c>
    </row>
    <row r="383" spans="1:10" x14ac:dyDescent="0.35">
      <c r="A383">
        <v>382</v>
      </c>
      <c r="B383" t="s">
        <v>1034</v>
      </c>
      <c r="C383" t="s">
        <v>1035</v>
      </c>
      <c r="D383" s="7">
        <v>37.6</v>
      </c>
      <c r="E383">
        <v>37.564971516487169</v>
      </c>
      <c r="F383" s="7">
        <v>62.4</v>
      </c>
      <c r="G383" s="6">
        <v>48098</v>
      </c>
      <c r="H383" s="6">
        <v>18068</v>
      </c>
      <c r="I383" s="6">
        <v>30030</v>
      </c>
      <c r="J383" t="s">
        <v>200</v>
      </c>
    </row>
    <row r="384" spans="1:10" x14ac:dyDescent="0.35">
      <c r="A384">
        <v>383</v>
      </c>
      <c r="B384" t="s">
        <v>1036</v>
      </c>
      <c r="C384" t="s">
        <v>1037</v>
      </c>
      <c r="D384" s="7">
        <v>37.5</v>
      </c>
      <c r="E384">
        <v>37.492309044563591</v>
      </c>
      <c r="F384" s="7">
        <v>62.5</v>
      </c>
      <c r="G384" s="6">
        <v>45508</v>
      </c>
      <c r="H384" s="6">
        <v>17062</v>
      </c>
      <c r="I384" s="6">
        <v>28446</v>
      </c>
      <c r="J384" t="s">
        <v>200</v>
      </c>
    </row>
    <row r="385" spans="1:10" x14ac:dyDescent="0.35">
      <c r="A385">
        <v>384</v>
      </c>
      <c r="B385" t="s">
        <v>1038</v>
      </c>
      <c r="C385" t="s">
        <v>1039</v>
      </c>
      <c r="D385" s="7">
        <v>37</v>
      </c>
      <c r="E385">
        <v>36.993175064095468</v>
      </c>
      <c r="F385" s="7">
        <v>63</v>
      </c>
      <c r="G385" s="6">
        <v>1147117</v>
      </c>
      <c r="H385" s="6">
        <v>424355</v>
      </c>
      <c r="I385" s="6">
        <v>722762</v>
      </c>
      <c r="J385" t="s">
        <v>200</v>
      </c>
    </row>
    <row r="386" spans="1:10" x14ac:dyDescent="0.35">
      <c r="A386">
        <v>385</v>
      </c>
      <c r="B386" t="s">
        <v>1040</v>
      </c>
      <c r="C386" t="s">
        <v>1041</v>
      </c>
      <c r="D386" s="7">
        <v>37</v>
      </c>
      <c r="E386">
        <v>36.98342127112516</v>
      </c>
      <c r="F386" s="7">
        <v>63</v>
      </c>
      <c r="G386" s="6">
        <v>74674</v>
      </c>
      <c r="H386" s="6">
        <v>27617</v>
      </c>
      <c r="I386" s="6">
        <v>47057</v>
      </c>
      <c r="J386" t="s">
        <v>200</v>
      </c>
    </row>
    <row r="387" spans="1:10" x14ac:dyDescent="0.35">
      <c r="A387">
        <v>386</v>
      </c>
      <c r="B387" t="s">
        <v>1042</v>
      </c>
      <c r="C387" t="s">
        <v>1043</v>
      </c>
      <c r="D387" s="7">
        <v>35.9</v>
      </c>
      <c r="E387">
        <v>35.891445003594526</v>
      </c>
      <c r="F387" s="7">
        <v>64.099999999999994</v>
      </c>
      <c r="G387" s="6">
        <v>294892</v>
      </c>
      <c r="H387" s="6">
        <v>105841</v>
      </c>
      <c r="I387" s="6">
        <v>189051</v>
      </c>
      <c r="J387" t="s">
        <v>200</v>
      </c>
    </row>
    <row r="388" spans="1:10" x14ac:dyDescent="0.35">
      <c r="A388">
        <v>387</v>
      </c>
      <c r="B388" t="s">
        <v>1044</v>
      </c>
      <c r="C388" t="s">
        <v>1045</v>
      </c>
      <c r="D388" s="7">
        <v>35.700000000000003</v>
      </c>
      <c r="E388">
        <v>35.678273332771269</v>
      </c>
      <c r="F388" s="7">
        <v>64.3</v>
      </c>
      <c r="G388" s="6">
        <v>118610</v>
      </c>
      <c r="H388" s="6">
        <v>42318</v>
      </c>
      <c r="I388" s="6">
        <v>76292</v>
      </c>
      <c r="J388" t="s">
        <v>200</v>
      </c>
    </row>
    <row r="390" spans="1:10" ht="48" customHeight="1" x14ac:dyDescent="0.35">
      <c r="A390" t="s">
        <v>1046</v>
      </c>
      <c r="B390" s="38" t="s">
        <v>1047</v>
      </c>
      <c r="C390" s="34"/>
      <c r="D390" s="34"/>
      <c r="E390" s="34"/>
      <c r="F390" s="34"/>
      <c r="G390" s="34"/>
      <c r="H390" s="34"/>
      <c r="I390" s="34"/>
      <c r="J390" s="34"/>
    </row>
  </sheetData>
  <autoFilter ref="A1:J390" xr:uid="{00000000-0009-0000-0000-000005000000}"/>
  <mergeCells count="1">
    <mergeCell ref="B390:J39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48" customWidth="1"/>
    <col min="3" max="3" width="12" customWidth="1"/>
    <col min="4" max="4" width="14" customWidth="1"/>
    <col min="5" max="5" width="24" customWidth="1"/>
    <col min="6" max="6" width="14" customWidth="1"/>
    <col min="7" max="9" width="16" customWidth="1"/>
    <col min="10" max="10" width="55" customWidth="1"/>
  </cols>
  <sheetData>
    <row r="1" spans="1:10" ht="29" customHeight="1" x14ac:dyDescent="0.35">
      <c r="A1" s="3" t="s">
        <v>1048</v>
      </c>
      <c r="B1" s="3" t="s">
        <v>1049</v>
      </c>
      <c r="C1" s="3" t="s">
        <v>271</v>
      </c>
      <c r="D1" s="3" t="s">
        <v>223</v>
      </c>
      <c r="E1" s="3" t="s">
        <v>225</v>
      </c>
      <c r="F1" s="3" t="s">
        <v>224</v>
      </c>
      <c r="G1" s="3" t="s">
        <v>222</v>
      </c>
      <c r="H1" s="3" t="s">
        <v>220</v>
      </c>
      <c r="I1" s="3" t="s">
        <v>221</v>
      </c>
      <c r="J1" s="3" t="s">
        <v>227</v>
      </c>
    </row>
    <row r="2" spans="1:10" x14ac:dyDescent="0.35">
      <c r="A2" t="s">
        <v>1050</v>
      </c>
      <c r="B2" t="s">
        <v>272</v>
      </c>
      <c r="C2" t="s">
        <v>273</v>
      </c>
      <c r="D2" s="7">
        <v>74.599999999999994</v>
      </c>
      <c r="E2">
        <v>74.585723673694119</v>
      </c>
      <c r="F2" s="7">
        <v>25.4</v>
      </c>
      <c r="G2" s="6">
        <v>56303</v>
      </c>
      <c r="H2" s="6">
        <v>41994</v>
      </c>
      <c r="I2" s="6">
        <v>14309</v>
      </c>
      <c r="J2" t="s">
        <v>200</v>
      </c>
    </row>
    <row r="3" spans="1:10" x14ac:dyDescent="0.35">
      <c r="A3" t="s">
        <v>1050</v>
      </c>
      <c r="B3" t="s">
        <v>274</v>
      </c>
      <c r="C3" t="s">
        <v>275</v>
      </c>
      <c r="D3" s="7">
        <v>70.099999999999994</v>
      </c>
      <c r="E3">
        <v>70.076065940775408</v>
      </c>
      <c r="F3" s="7">
        <v>29.9</v>
      </c>
      <c r="G3" s="6">
        <v>78616</v>
      </c>
      <c r="H3" s="6">
        <v>55091</v>
      </c>
      <c r="I3" s="6">
        <v>23525</v>
      </c>
      <c r="J3" t="s">
        <v>200</v>
      </c>
    </row>
    <row r="4" spans="1:10" x14ac:dyDescent="0.35">
      <c r="A4" t="s">
        <v>1050</v>
      </c>
      <c r="B4" t="s">
        <v>276</v>
      </c>
      <c r="C4" t="s">
        <v>277</v>
      </c>
      <c r="D4" s="7">
        <v>69.400000000000006</v>
      </c>
      <c r="E4">
        <v>69.360692032045279</v>
      </c>
      <c r="F4" s="7">
        <v>30.6</v>
      </c>
      <c r="G4" s="6">
        <v>43813</v>
      </c>
      <c r="H4" s="6">
        <v>30389</v>
      </c>
      <c r="I4" s="6">
        <v>13424</v>
      </c>
      <c r="J4" t="s">
        <v>200</v>
      </c>
    </row>
    <row r="5" spans="1:10" x14ac:dyDescent="0.35">
      <c r="A5" t="s">
        <v>1050</v>
      </c>
      <c r="B5" t="s">
        <v>278</v>
      </c>
      <c r="C5" t="s">
        <v>279</v>
      </c>
      <c r="D5" s="7">
        <v>69.2</v>
      </c>
      <c r="E5">
        <v>69.233408928145138</v>
      </c>
      <c r="F5" s="7">
        <v>30.8</v>
      </c>
      <c r="G5" s="6">
        <v>67024</v>
      </c>
      <c r="H5" s="6">
        <v>46403</v>
      </c>
      <c r="I5" s="6">
        <v>20621</v>
      </c>
      <c r="J5" t="s">
        <v>200</v>
      </c>
    </row>
    <row r="6" spans="1:10" x14ac:dyDescent="0.35">
      <c r="A6" t="s">
        <v>1050</v>
      </c>
      <c r="B6" t="s">
        <v>280</v>
      </c>
      <c r="C6" t="s">
        <v>281</v>
      </c>
      <c r="D6" s="7">
        <v>68.099999999999994</v>
      </c>
      <c r="E6">
        <v>68.144956441567729</v>
      </c>
      <c r="F6" s="7">
        <v>31.9</v>
      </c>
      <c r="G6" s="6">
        <v>53147</v>
      </c>
      <c r="H6" s="6">
        <v>36217</v>
      </c>
      <c r="I6" s="6">
        <v>16930</v>
      </c>
      <c r="J6" t="s">
        <v>200</v>
      </c>
    </row>
    <row r="7" spans="1:10" x14ac:dyDescent="0.35">
      <c r="A7" t="s">
        <v>1050</v>
      </c>
      <c r="B7" t="s">
        <v>282</v>
      </c>
      <c r="C7" t="s">
        <v>283</v>
      </c>
      <c r="D7" s="7">
        <v>68</v>
      </c>
      <c r="E7">
        <v>67.957741997072489</v>
      </c>
      <c r="F7" s="7">
        <v>32</v>
      </c>
      <c r="G7" s="6">
        <v>78565</v>
      </c>
      <c r="H7" s="6">
        <v>53391</v>
      </c>
      <c r="I7" s="6">
        <v>25174</v>
      </c>
      <c r="J7" t="s">
        <v>200</v>
      </c>
    </row>
    <row r="8" spans="1:10" x14ac:dyDescent="0.35">
      <c r="A8" t="s">
        <v>1050</v>
      </c>
      <c r="B8" t="s">
        <v>284</v>
      </c>
      <c r="C8" t="s">
        <v>285</v>
      </c>
      <c r="D8" s="7">
        <v>67.900000000000006</v>
      </c>
      <c r="E8">
        <v>67.850121429397475</v>
      </c>
      <c r="F8" s="7">
        <v>32.1</v>
      </c>
      <c r="G8" s="6">
        <v>25941</v>
      </c>
      <c r="H8" s="6">
        <v>17601</v>
      </c>
      <c r="I8" s="6">
        <v>8340</v>
      </c>
      <c r="J8" t="s">
        <v>200</v>
      </c>
    </row>
    <row r="9" spans="1:10" x14ac:dyDescent="0.35">
      <c r="A9" t="s">
        <v>1050</v>
      </c>
      <c r="B9" t="s">
        <v>286</v>
      </c>
      <c r="C9" t="s">
        <v>287</v>
      </c>
      <c r="D9" s="7">
        <v>67.8</v>
      </c>
      <c r="E9">
        <v>67.799038031907898</v>
      </c>
      <c r="F9" s="7">
        <v>32.200000000000003</v>
      </c>
      <c r="G9" s="6">
        <v>76094</v>
      </c>
      <c r="H9" s="6">
        <v>51591</v>
      </c>
      <c r="I9" s="6">
        <v>24503</v>
      </c>
      <c r="J9" t="s">
        <v>200</v>
      </c>
    </row>
    <row r="10" spans="1:10" x14ac:dyDescent="0.35">
      <c r="A10" t="s">
        <v>1050</v>
      </c>
      <c r="B10" t="s">
        <v>288</v>
      </c>
      <c r="C10" t="s">
        <v>289</v>
      </c>
      <c r="D10" s="7">
        <v>66.7</v>
      </c>
      <c r="E10">
        <v>66.720262021735891</v>
      </c>
      <c r="F10" s="7">
        <v>33.299999999999997</v>
      </c>
      <c r="G10" s="6">
        <v>67170</v>
      </c>
      <c r="H10" s="6">
        <v>44816</v>
      </c>
      <c r="I10" s="6">
        <v>22354</v>
      </c>
      <c r="J10" t="s">
        <v>200</v>
      </c>
    </row>
    <row r="11" spans="1:10" x14ac:dyDescent="0.35">
      <c r="A11" t="s">
        <v>1050</v>
      </c>
      <c r="B11" t="s">
        <v>290</v>
      </c>
      <c r="C11" t="s">
        <v>291</v>
      </c>
      <c r="D11" s="7">
        <v>66.5</v>
      </c>
      <c r="E11">
        <v>66.468839336763864</v>
      </c>
      <c r="F11" s="7">
        <v>33.5</v>
      </c>
      <c r="G11" s="6">
        <v>87450</v>
      </c>
      <c r="H11" s="6">
        <v>58127</v>
      </c>
      <c r="I11" s="6">
        <v>29323</v>
      </c>
      <c r="J11" t="s">
        <v>200</v>
      </c>
    </row>
    <row r="12" spans="1:10" x14ac:dyDescent="0.35">
      <c r="A12" t="s">
        <v>1050</v>
      </c>
      <c r="B12" t="s">
        <v>292</v>
      </c>
      <c r="C12" t="s">
        <v>293</v>
      </c>
      <c r="D12" s="7">
        <v>66.3</v>
      </c>
      <c r="E12">
        <v>66.272897271429429</v>
      </c>
      <c r="F12" s="7">
        <v>33.700000000000003</v>
      </c>
      <c r="G12" s="6">
        <v>99466</v>
      </c>
      <c r="H12" s="6">
        <v>65919</v>
      </c>
      <c r="I12" s="6">
        <v>33547</v>
      </c>
      <c r="J12" t="s">
        <v>200</v>
      </c>
    </row>
    <row r="13" spans="1:10" x14ac:dyDescent="0.35">
      <c r="A13" t="s">
        <v>1050</v>
      </c>
      <c r="B13" t="s">
        <v>294</v>
      </c>
      <c r="C13" t="s">
        <v>295</v>
      </c>
      <c r="D13" s="7">
        <v>65.900000000000006</v>
      </c>
      <c r="E13">
        <v>65.913032800724466</v>
      </c>
      <c r="F13" s="7">
        <v>34.1</v>
      </c>
      <c r="G13" s="6">
        <v>65151</v>
      </c>
      <c r="H13" s="6">
        <v>42943</v>
      </c>
      <c r="I13" s="6">
        <v>22208</v>
      </c>
      <c r="J13" t="s">
        <v>200</v>
      </c>
    </row>
    <row r="14" spans="1:10" x14ac:dyDescent="0.35">
      <c r="A14" t="s">
        <v>1050</v>
      </c>
      <c r="B14" t="s">
        <v>296</v>
      </c>
      <c r="C14" t="s">
        <v>297</v>
      </c>
      <c r="D14" s="7">
        <v>65.099999999999994</v>
      </c>
      <c r="E14">
        <v>65.122263090596235</v>
      </c>
      <c r="F14" s="7">
        <v>34.9</v>
      </c>
      <c r="G14" s="6">
        <v>63347</v>
      </c>
      <c r="H14" s="6">
        <v>41253</v>
      </c>
      <c r="I14" s="6">
        <v>22094</v>
      </c>
      <c r="J14" t="s">
        <v>200</v>
      </c>
    </row>
    <row r="15" spans="1:10" x14ac:dyDescent="0.35">
      <c r="A15" t="s">
        <v>1050</v>
      </c>
      <c r="B15" t="s">
        <v>298</v>
      </c>
      <c r="C15" t="s">
        <v>299</v>
      </c>
      <c r="D15" s="7">
        <v>64.8</v>
      </c>
      <c r="E15">
        <v>64.786568286944416</v>
      </c>
      <c r="F15" s="7">
        <v>35.200000000000003</v>
      </c>
      <c r="G15" s="6">
        <v>62479</v>
      </c>
      <c r="H15" s="6">
        <v>40478</v>
      </c>
      <c r="I15" s="6">
        <v>22001</v>
      </c>
      <c r="J15" t="s">
        <v>200</v>
      </c>
    </row>
    <row r="16" spans="1:10" x14ac:dyDescent="0.35">
      <c r="A16" t="s">
        <v>1050</v>
      </c>
      <c r="B16" t="s">
        <v>300</v>
      </c>
      <c r="C16" t="s">
        <v>301</v>
      </c>
      <c r="D16" s="7">
        <v>64.5</v>
      </c>
      <c r="E16">
        <v>64.506818371956825</v>
      </c>
      <c r="F16" s="7">
        <v>35.5</v>
      </c>
      <c r="G16" s="6">
        <v>23906</v>
      </c>
      <c r="H16" s="6">
        <v>15421</v>
      </c>
      <c r="I16" s="6">
        <v>8485</v>
      </c>
      <c r="J16" t="s">
        <v>200</v>
      </c>
    </row>
    <row r="17" spans="1:10" x14ac:dyDescent="0.35">
      <c r="A17" t="s">
        <v>1050</v>
      </c>
      <c r="B17" t="s">
        <v>302</v>
      </c>
      <c r="C17" t="s">
        <v>303</v>
      </c>
      <c r="D17" s="7">
        <v>64.5</v>
      </c>
      <c r="E17">
        <v>64.460298028620883</v>
      </c>
      <c r="F17" s="7">
        <v>35.5</v>
      </c>
      <c r="G17" s="6">
        <v>47378</v>
      </c>
      <c r="H17" s="6">
        <v>30540</v>
      </c>
      <c r="I17" s="6">
        <v>16838</v>
      </c>
      <c r="J17" t="s">
        <v>200</v>
      </c>
    </row>
    <row r="18" spans="1:10" x14ac:dyDescent="0.35">
      <c r="A18" t="s">
        <v>1050</v>
      </c>
      <c r="B18" t="s">
        <v>304</v>
      </c>
      <c r="C18" t="s">
        <v>305</v>
      </c>
      <c r="D18" s="7">
        <v>64.2</v>
      </c>
      <c r="E18">
        <v>64.180081458494953</v>
      </c>
      <c r="F18" s="7">
        <v>35.799999999999997</v>
      </c>
      <c r="G18" s="6">
        <v>41248</v>
      </c>
      <c r="H18" s="6">
        <v>26473</v>
      </c>
      <c r="I18" s="6">
        <v>14775</v>
      </c>
      <c r="J18" t="s">
        <v>200</v>
      </c>
    </row>
    <row r="19" spans="1:10" x14ac:dyDescent="0.35">
      <c r="A19" t="s">
        <v>1050</v>
      </c>
      <c r="B19" t="s">
        <v>306</v>
      </c>
      <c r="C19" t="s">
        <v>307</v>
      </c>
      <c r="D19" s="7">
        <v>63.8</v>
      </c>
      <c r="E19">
        <v>63.843139915531658</v>
      </c>
      <c r="F19" s="7">
        <v>36.200000000000003</v>
      </c>
      <c r="G19" s="6">
        <v>58957</v>
      </c>
      <c r="H19" s="6">
        <v>37640</v>
      </c>
      <c r="I19" s="6">
        <v>21317</v>
      </c>
      <c r="J19" t="s">
        <v>200</v>
      </c>
    </row>
    <row r="20" spans="1:10" x14ac:dyDescent="0.35">
      <c r="A20" t="s">
        <v>1050</v>
      </c>
      <c r="B20" t="s">
        <v>308</v>
      </c>
      <c r="C20" t="s">
        <v>309</v>
      </c>
      <c r="D20" s="7">
        <v>63.8</v>
      </c>
      <c r="E20">
        <v>63.791025243654637</v>
      </c>
      <c r="F20" s="7">
        <v>36.200000000000003</v>
      </c>
      <c r="G20" s="6">
        <v>145185</v>
      </c>
      <c r="H20" s="6">
        <v>92615</v>
      </c>
      <c r="I20" s="6">
        <v>52570</v>
      </c>
      <c r="J20" t="s">
        <v>200</v>
      </c>
    </row>
    <row r="21" spans="1:10" x14ac:dyDescent="0.35">
      <c r="A21" t="s">
        <v>1050</v>
      </c>
      <c r="B21" t="s">
        <v>310</v>
      </c>
      <c r="C21" t="s">
        <v>311</v>
      </c>
      <c r="D21" s="7">
        <v>63.6</v>
      </c>
      <c r="E21">
        <v>63.637595717286707</v>
      </c>
      <c r="F21" s="7">
        <v>36.4</v>
      </c>
      <c r="G21" s="6">
        <v>29514</v>
      </c>
      <c r="H21" s="6">
        <v>18782</v>
      </c>
      <c r="I21" s="6">
        <v>10732</v>
      </c>
      <c r="J21" t="s">
        <v>200</v>
      </c>
    </row>
    <row r="22" spans="1:10" x14ac:dyDescent="0.35">
      <c r="A22" t="s">
        <v>1050</v>
      </c>
      <c r="B22" t="s">
        <v>312</v>
      </c>
      <c r="C22" t="s">
        <v>313</v>
      </c>
      <c r="D22" s="7">
        <v>63.6</v>
      </c>
      <c r="E22">
        <v>63.612251025923328</v>
      </c>
      <c r="F22" s="7">
        <v>36.4</v>
      </c>
      <c r="G22" s="6">
        <v>59946</v>
      </c>
      <c r="H22" s="6">
        <v>38133</v>
      </c>
      <c r="I22" s="6">
        <v>21813</v>
      </c>
      <c r="J22" t="s">
        <v>200</v>
      </c>
    </row>
    <row r="23" spans="1:10" x14ac:dyDescent="0.35">
      <c r="A23" t="s">
        <v>1050</v>
      </c>
      <c r="B23" t="s">
        <v>314</v>
      </c>
      <c r="C23" t="s">
        <v>315</v>
      </c>
      <c r="D23" s="7">
        <v>63.5</v>
      </c>
      <c r="E23">
        <v>63.45196850393701</v>
      </c>
      <c r="F23" s="7">
        <v>36.5</v>
      </c>
      <c r="G23" s="6">
        <v>31750</v>
      </c>
      <c r="H23" s="6">
        <v>20146</v>
      </c>
      <c r="I23" s="6">
        <v>11604</v>
      </c>
      <c r="J23" t="s">
        <v>200</v>
      </c>
    </row>
    <row r="24" spans="1:10" x14ac:dyDescent="0.35">
      <c r="A24" t="s">
        <v>1050</v>
      </c>
      <c r="B24" t="s">
        <v>316</v>
      </c>
      <c r="C24" t="s">
        <v>317</v>
      </c>
      <c r="D24" s="7">
        <v>63.4</v>
      </c>
      <c r="E24">
        <v>63.38946608493675</v>
      </c>
      <c r="F24" s="7">
        <v>36.6</v>
      </c>
      <c r="G24" s="6">
        <v>127436</v>
      </c>
      <c r="H24" s="6">
        <v>80781</v>
      </c>
      <c r="I24" s="6">
        <v>46655</v>
      </c>
      <c r="J24" t="s">
        <v>200</v>
      </c>
    </row>
    <row r="25" spans="1:10" x14ac:dyDescent="0.35">
      <c r="A25" t="s">
        <v>1050</v>
      </c>
      <c r="B25" t="s">
        <v>318</v>
      </c>
      <c r="C25" t="s">
        <v>319</v>
      </c>
      <c r="D25" s="7">
        <v>63.1</v>
      </c>
      <c r="E25">
        <v>63.100484982557653</v>
      </c>
      <c r="F25" s="7">
        <v>36.9</v>
      </c>
      <c r="G25" s="6">
        <v>176295</v>
      </c>
      <c r="H25" s="6">
        <v>111243</v>
      </c>
      <c r="I25" s="6">
        <v>65052</v>
      </c>
      <c r="J25" t="s">
        <v>200</v>
      </c>
    </row>
    <row r="26" spans="1:10" x14ac:dyDescent="0.35">
      <c r="A26" t="s">
        <v>1050</v>
      </c>
      <c r="B26" t="s">
        <v>320</v>
      </c>
      <c r="C26" t="s">
        <v>321</v>
      </c>
      <c r="D26" s="7">
        <v>63.1</v>
      </c>
      <c r="E26">
        <v>63.052291752693421</v>
      </c>
      <c r="F26" s="7">
        <v>36.9</v>
      </c>
      <c r="G26" s="6">
        <v>159834</v>
      </c>
      <c r="H26" s="6">
        <v>100779</v>
      </c>
      <c r="I26" s="6">
        <v>59055</v>
      </c>
      <c r="J26" t="s">
        <v>200</v>
      </c>
    </row>
    <row r="27" spans="1:10" x14ac:dyDescent="0.35">
      <c r="A27" t="s">
        <v>1050</v>
      </c>
      <c r="B27" t="s">
        <v>322</v>
      </c>
      <c r="C27" t="s">
        <v>323</v>
      </c>
      <c r="D27" s="7">
        <v>62.6</v>
      </c>
      <c r="E27">
        <v>62.575746933406563</v>
      </c>
      <c r="F27" s="7">
        <v>37.4</v>
      </c>
      <c r="G27" s="6">
        <v>156607</v>
      </c>
      <c r="H27" s="6">
        <v>97998</v>
      </c>
      <c r="I27" s="6">
        <v>58609</v>
      </c>
      <c r="J27" t="s">
        <v>200</v>
      </c>
    </row>
    <row r="28" spans="1:10" x14ac:dyDescent="0.35">
      <c r="A28" t="s">
        <v>1050</v>
      </c>
      <c r="B28" t="s">
        <v>324</v>
      </c>
      <c r="C28" t="s">
        <v>325</v>
      </c>
      <c r="D28" s="7">
        <v>62.4</v>
      </c>
      <c r="E28">
        <v>62.393027358664447</v>
      </c>
      <c r="F28" s="7">
        <v>37.6</v>
      </c>
      <c r="G28" s="6">
        <v>37977</v>
      </c>
      <c r="H28" s="6">
        <v>23695</v>
      </c>
      <c r="I28" s="6">
        <v>14282</v>
      </c>
      <c r="J28" t="s">
        <v>200</v>
      </c>
    </row>
    <row r="29" spans="1:10" x14ac:dyDescent="0.35">
      <c r="A29" t="s">
        <v>1050</v>
      </c>
      <c r="B29" t="s">
        <v>326</v>
      </c>
      <c r="C29" t="s">
        <v>327</v>
      </c>
      <c r="D29" s="7">
        <v>62</v>
      </c>
      <c r="E29">
        <v>61.991739083789291</v>
      </c>
      <c r="F29" s="7">
        <v>38</v>
      </c>
      <c r="G29" s="6">
        <v>37284</v>
      </c>
      <c r="H29" s="6">
        <v>23113</v>
      </c>
      <c r="I29" s="6">
        <v>14171</v>
      </c>
      <c r="J29" t="s">
        <v>200</v>
      </c>
    </row>
    <row r="30" spans="1:10" x14ac:dyDescent="0.35">
      <c r="A30" t="s">
        <v>1050</v>
      </c>
      <c r="B30" t="s">
        <v>328</v>
      </c>
      <c r="C30" t="s">
        <v>329</v>
      </c>
      <c r="D30" s="7">
        <v>61.5</v>
      </c>
      <c r="E30">
        <v>61.536214953271028</v>
      </c>
      <c r="F30" s="7">
        <v>38.5</v>
      </c>
      <c r="G30" s="6">
        <v>51360</v>
      </c>
      <c r="H30" s="6">
        <v>31605</v>
      </c>
      <c r="I30" s="6">
        <v>19755</v>
      </c>
      <c r="J30" t="s">
        <v>200</v>
      </c>
    </row>
    <row r="31" spans="1:10" x14ac:dyDescent="0.35">
      <c r="A31" t="s">
        <v>1050</v>
      </c>
      <c r="B31" t="s">
        <v>330</v>
      </c>
      <c r="C31" t="s">
        <v>331</v>
      </c>
      <c r="D31" s="7">
        <v>61.4</v>
      </c>
      <c r="E31">
        <v>61.418379600197781</v>
      </c>
      <c r="F31" s="7">
        <v>38.6</v>
      </c>
      <c r="G31" s="6">
        <v>28314</v>
      </c>
      <c r="H31" s="6">
        <v>17390</v>
      </c>
      <c r="I31" s="6">
        <v>10924</v>
      </c>
      <c r="J31" t="s">
        <v>200</v>
      </c>
    </row>
    <row r="32" spans="1:10" x14ac:dyDescent="0.35">
      <c r="A32" t="s">
        <v>1050</v>
      </c>
      <c r="B32" t="s">
        <v>332</v>
      </c>
      <c r="C32" t="s">
        <v>333</v>
      </c>
      <c r="D32" s="7">
        <v>61.4</v>
      </c>
      <c r="E32">
        <v>61.399620252207001</v>
      </c>
      <c r="F32" s="7">
        <v>38.6</v>
      </c>
      <c r="G32" s="6">
        <v>132193</v>
      </c>
      <c r="H32" s="6">
        <v>81166</v>
      </c>
      <c r="I32" s="6">
        <v>51027</v>
      </c>
      <c r="J32" t="s">
        <v>200</v>
      </c>
    </row>
    <row r="33" spans="1:10" x14ac:dyDescent="0.35">
      <c r="A33" t="s">
        <v>1050</v>
      </c>
      <c r="B33" t="s">
        <v>334</v>
      </c>
      <c r="C33" t="s">
        <v>335</v>
      </c>
      <c r="D33" s="7">
        <v>61.3</v>
      </c>
      <c r="E33">
        <v>61.309411849815532</v>
      </c>
      <c r="F33" s="7">
        <v>38.700000000000003</v>
      </c>
      <c r="G33" s="6">
        <v>69115</v>
      </c>
      <c r="H33" s="6">
        <v>42374</v>
      </c>
      <c r="I33" s="6">
        <v>26741</v>
      </c>
      <c r="J33" t="s">
        <v>200</v>
      </c>
    </row>
    <row r="34" spans="1:10" x14ac:dyDescent="0.35">
      <c r="A34" t="s">
        <v>1050</v>
      </c>
      <c r="B34" t="s">
        <v>336</v>
      </c>
      <c r="C34" t="s">
        <v>337</v>
      </c>
      <c r="D34" s="7">
        <v>61.3</v>
      </c>
      <c r="E34">
        <v>61.307276406802188</v>
      </c>
      <c r="F34" s="7">
        <v>38.700000000000003</v>
      </c>
      <c r="G34" s="6">
        <v>66214</v>
      </c>
      <c r="H34" s="6">
        <v>40594</v>
      </c>
      <c r="I34" s="6">
        <v>25620</v>
      </c>
      <c r="J34" t="s">
        <v>200</v>
      </c>
    </row>
    <row r="35" spans="1:10" x14ac:dyDescent="0.35">
      <c r="A35" t="s">
        <v>1050</v>
      </c>
      <c r="B35" t="s">
        <v>338</v>
      </c>
      <c r="C35" t="s">
        <v>339</v>
      </c>
      <c r="D35" s="7">
        <v>61.2</v>
      </c>
      <c r="E35">
        <v>61.240020193332462</v>
      </c>
      <c r="F35" s="7">
        <v>38.799999999999997</v>
      </c>
      <c r="G35" s="6">
        <v>53483</v>
      </c>
      <c r="H35" s="6">
        <v>32753</v>
      </c>
      <c r="I35" s="6">
        <v>20730</v>
      </c>
      <c r="J35" t="s">
        <v>200</v>
      </c>
    </row>
    <row r="36" spans="1:10" x14ac:dyDescent="0.35">
      <c r="A36" t="s">
        <v>1050</v>
      </c>
      <c r="B36" t="s">
        <v>340</v>
      </c>
      <c r="C36" t="s">
        <v>341</v>
      </c>
      <c r="D36" s="7">
        <v>61.2</v>
      </c>
      <c r="E36">
        <v>61.231162388665489</v>
      </c>
      <c r="F36" s="7">
        <v>38.799999999999997</v>
      </c>
      <c r="G36" s="6">
        <v>26609</v>
      </c>
      <c r="H36" s="6">
        <v>16293</v>
      </c>
      <c r="I36" s="6">
        <v>10316</v>
      </c>
      <c r="J36" t="s">
        <v>200</v>
      </c>
    </row>
    <row r="37" spans="1:10" x14ac:dyDescent="0.35">
      <c r="A37" t="s">
        <v>1050</v>
      </c>
      <c r="B37" t="s">
        <v>342</v>
      </c>
      <c r="C37" t="s">
        <v>343</v>
      </c>
      <c r="D37" s="7">
        <v>61.2</v>
      </c>
      <c r="E37">
        <v>61.182397978598708</v>
      </c>
      <c r="F37" s="7">
        <v>38.799999999999997</v>
      </c>
      <c r="G37" s="6">
        <v>65697</v>
      </c>
      <c r="H37" s="6">
        <v>40195</v>
      </c>
      <c r="I37" s="6">
        <v>25502</v>
      </c>
      <c r="J37" t="s">
        <v>200</v>
      </c>
    </row>
    <row r="38" spans="1:10" x14ac:dyDescent="0.35">
      <c r="A38" t="s">
        <v>1050</v>
      </c>
      <c r="B38" t="s">
        <v>344</v>
      </c>
      <c r="C38" t="s">
        <v>345</v>
      </c>
      <c r="D38" s="7">
        <v>60.6</v>
      </c>
      <c r="E38">
        <v>60.599412486520663</v>
      </c>
      <c r="F38" s="7">
        <v>39.4</v>
      </c>
      <c r="G38" s="6">
        <v>26893</v>
      </c>
      <c r="H38" s="6">
        <v>16297</v>
      </c>
      <c r="I38" s="6">
        <v>10596</v>
      </c>
      <c r="J38" t="s">
        <v>200</v>
      </c>
    </row>
    <row r="39" spans="1:10" x14ac:dyDescent="0.35">
      <c r="A39" t="s">
        <v>1050</v>
      </c>
      <c r="B39" t="s">
        <v>346</v>
      </c>
      <c r="C39" t="s">
        <v>347</v>
      </c>
      <c r="D39" s="7">
        <v>59.9</v>
      </c>
      <c r="E39">
        <v>59.852624606722969</v>
      </c>
      <c r="F39" s="7">
        <v>40.1</v>
      </c>
      <c r="G39" s="6">
        <v>72468</v>
      </c>
      <c r="H39" s="6">
        <v>43374</v>
      </c>
      <c r="I39" s="6">
        <v>29094</v>
      </c>
      <c r="J39" t="s">
        <v>200</v>
      </c>
    </row>
    <row r="40" spans="1:10" x14ac:dyDescent="0.35">
      <c r="A40" t="s">
        <v>1050</v>
      </c>
      <c r="B40" t="s">
        <v>348</v>
      </c>
      <c r="C40" t="s">
        <v>349</v>
      </c>
      <c r="D40" s="7">
        <v>59.8</v>
      </c>
      <c r="E40">
        <v>59.809425630023817</v>
      </c>
      <c r="F40" s="7">
        <v>40.200000000000003</v>
      </c>
      <c r="G40" s="6">
        <v>71783</v>
      </c>
      <c r="H40" s="6">
        <v>42933</v>
      </c>
      <c r="I40" s="6">
        <v>28850</v>
      </c>
      <c r="J40" t="s">
        <v>200</v>
      </c>
    </row>
    <row r="41" spans="1:10" x14ac:dyDescent="0.35">
      <c r="A41" t="s">
        <v>1050</v>
      </c>
      <c r="B41" t="s">
        <v>350</v>
      </c>
      <c r="C41" t="s">
        <v>351</v>
      </c>
      <c r="D41" s="7">
        <v>59.8</v>
      </c>
      <c r="E41">
        <v>59.794266833593618</v>
      </c>
      <c r="F41" s="7">
        <v>40.200000000000003</v>
      </c>
      <c r="G41" s="6">
        <v>77479</v>
      </c>
      <c r="H41" s="6">
        <v>46328</v>
      </c>
      <c r="I41" s="6">
        <v>31151</v>
      </c>
      <c r="J41" t="s">
        <v>200</v>
      </c>
    </row>
    <row r="42" spans="1:10" x14ac:dyDescent="0.35">
      <c r="A42" t="s">
        <v>1050</v>
      </c>
      <c r="B42" t="s">
        <v>352</v>
      </c>
      <c r="C42" t="s">
        <v>353</v>
      </c>
      <c r="D42" s="7">
        <v>59.8</v>
      </c>
      <c r="E42">
        <v>59.781468215203162</v>
      </c>
      <c r="F42" s="7">
        <v>40.200000000000003</v>
      </c>
      <c r="G42" s="6">
        <v>27639</v>
      </c>
      <c r="H42" s="6">
        <v>16523</v>
      </c>
      <c r="I42" s="6">
        <v>11116</v>
      </c>
      <c r="J42" t="s">
        <v>200</v>
      </c>
    </row>
    <row r="43" spans="1:10" x14ac:dyDescent="0.35">
      <c r="A43" t="s">
        <v>1050</v>
      </c>
      <c r="B43" t="s">
        <v>354</v>
      </c>
      <c r="C43" t="s">
        <v>355</v>
      </c>
      <c r="D43" s="7">
        <v>59.7</v>
      </c>
      <c r="E43">
        <v>59.723264016342434</v>
      </c>
      <c r="F43" s="7">
        <v>40.299999999999997</v>
      </c>
      <c r="G43" s="6">
        <v>62659</v>
      </c>
      <c r="H43" s="6">
        <v>37422</v>
      </c>
      <c r="I43" s="6">
        <v>25237</v>
      </c>
      <c r="J43" t="s">
        <v>200</v>
      </c>
    </row>
    <row r="44" spans="1:10" x14ac:dyDescent="0.35">
      <c r="A44" t="s">
        <v>1050</v>
      </c>
      <c r="B44" t="s">
        <v>356</v>
      </c>
      <c r="C44" t="s">
        <v>357</v>
      </c>
      <c r="D44" s="7">
        <v>59.7</v>
      </c>
      <c r="E44">
        <v>59.67194961589037</v>
      </c>
      <c r="F44" s="7">
        <v>40.299999999999997</v>
      </c>
      <c r="G44" s="6">
        <v>43347</v>
      </c>
      <c r="H44" s="6">
        <v>25866</v>
      </c>
      <c r="I44" s="6">
        <v>17481</v>
      </c>
      <c r="J44" t="s">
        <v>200</v>
      </c>
    </row>
    <row r="45" spans="1:10" x14ac:dyDescent="0.35">
      <c r="A45" t="s">
        <v>1050</v>
      </c>
      <c r="B45" t="s">
        <v>358</v>
      </c>
      <c r="C45" t="s">
        <v>359</v>
      </c>
      <c r="D45" s="7">
        <v>59.6</v>
      </c>
      <c r="E45">
        <v>59.626186708860757</v>
      </c>
      <c r="F45" s="7">
        <v>40.4</v>
      </c>
      <c r="G45" s="6">
        <v>101120</v>
      </c>
      <c r="H45" s="6">
        <v>60294</v>
      </c>
      <c r="I45" s="6">
        <v>40826</v>
      </c>
      <c r="J45" t="s">
        <v>200</v>
      </c>
    </row>
    <row r="46" spans="1:10" x14ac:dyDescent="0.35">
      <c r="A46" t="s">
        <v>1050</v>
      </c>
      <c r="B46" t="s">
        <v>360</v>
      </c>
      <c r="C46" t="s">
        <v>361</v>
      </c>
      <c r="D46" s="7">
        <v>59.4</v>
      </c>
      <c r="E46">
        <v>59.371074198887307</v>
      </c>
      <c r="F46" s="7">
        <v>40.6</v>
      </c>
      <c r="G46" s="6">
        <v>50149</v>
      </c>
      <c r="H46" s="6">
        <v>29774</v>
      </c>
      <c r="I46" s="6">
        <v>20375</v>
      </c>
      <c r="J46" t="s">
        <v>200</v>
      </c>
    </row>
    <row r="47" spans="1:10" x14ac:dyDescent="0.35">
      <c r="A47" t="s">
        <v>1050</v>
      </c>
      <c r="B47" t="s">
        <v>362</v>
      </c>
      <c r="C47" t="s">
        <v>363</v>
      </c>
      <c r="D47" s="7">
        <v>59.1</v>
      </c>
      <c r="E47">
        <v>59.122585572302903</v>
      </c>
      <c r="F47" s="7">
        <v>40.9</v>
      </c>
      <c r="G47" s="6">
        <v>94277</v>
      </c>
      <c r="H47" s="6">
        <v>55739</v>
      </c>
      <c r="I47" s="6">
        <v>38538</v>
      </c>
      <c r="J47" t="s">
        <v>200</v>
      </c>
    </row>
    <row r="48" spans="1:10" x14ac:dyDescent="0.35">
      <c r="A48" t="s">
        <v>1050</v>
      </c>
      <c r="B48" t="s">
        <v>364</v>
      </c>
      <c r="C48" t="s">
        <v>365</v>
      </c>
      <c r="D48" s="7">
        <v>59</v>
      </c>
      <c r="E48">
        <v>58.962572387841099</v>
      </c>
      <c r="F48" s="7">
        <v>41</v>
      </c>
      <c r="G48" s="6">
        <v>44379</v>
      </c>
      <c r="H48" s="6">
        <v>26167</v>
      </c>
      <c r="I48" s="6">
        <v>18212</v>
      </c>
      <c r="J48" t="s">
        <v>200</v>
      </c>
    </row>
    <row r="49" spans="1:10" x14ac:dyDescent="0.35">
      <c r="A49" t="s">
        <v>1050</v>
      </c>
      <c r="B49" t="s">
        <v>366</v>
      </c>
      <c r="C49" t="s">
        <v>367</v>
      </c>
      <c r="D49" s="7">
        <v>59</v>
      </c>
      <c r="E49">
        <v>58.953540820929177</v>
      </c>
      <c r="F49" s="7">
        <v>41</v>
      </c>
      <c r="G49" s="6">
        <v>28821</v>
      </c>
      <c r="H49" s="6">
        <v>16991</v>
      </c>
      <c r="I49" s="6">
        <v>11830</v>
      </c>
      <c r="J49" t="s">
        <v>200</v>
      </c>
    </row>
    <row r="50" spans="1:10" x14ac:dyDescent="0.35">
      <c r="A50" t="s">
        <v>1050</v>
      </c>
      <c r="B50" t="s">
        <v>368</v>
      </c>
      <c r="C50" t="s">
        <v>369</v>
      </c>
      <c r="D50" s="7">
        <v>58.9</v>
      </c>
      <c r="E50">
        <v>58.868714494331748</v>
      </c>
      <c r="F50" s="7">
        <v>41.1</v>
      </c>
      <c r="G50" s="6">
        <v>118467</v>
      </c>
      <c r="H50" s="6">
        <v>69740</v>
      </c>
      <c r="I50" s="6">
        <v>48727</v>
      </c>
      <c r="J50" t="s">
        <v>200</v>
      </c>
    </row>
    <row r="51" spans="1:10" x14ac:dyDescent="0.35">
      <c r="A51" t="s">
        <v>1050</v>
      </c>
      <c r="B51" t="s">
        <v>370</v>
      </c>
      <c r="C51" t="s">
        <v>371</v>
      </c>
      <c r="D51" s="7">
        <v>58.8</v>
      </c>
      <c r="E51">
        <v>58.836188094337977</v>
      </c>
      <c r="F51" s="7">
        <v>41.2</v>
      </c>
      <c r="G51" s="6">
        <v>34387</v>
      </c>
      <c r="H51" s="6">
        <v>20232</v>
      </c>
      <c r="I51" s="6">
        <v>14155</v>
      </c>
      <c r="J51" t="s">
        <v>200</v>
      </c>
    </row>
    <row r="52" spans="1:10" x14ac:dyDescent="0.35">
      <c r="A52" t="s">
        <v>1050</v>
      </c>
      <c r="B52" t="s">
        <v>372</v>
      </c>
      <c r="C52" t="s">
        <v>373</v>
      </c>
      <c r="D52" s="7">
        <v>58.6</v>
      </c>
      <c r="E52">
        <v>58.610372340425528</v>
      </c>
      <c r="F52" s="7">
        <v>41.4</v>
      </c>
      <c r="G52" s="6">
        <v>138368</v>
      </c>
      <c r="H52" s="6">
        <v>81098</v>
      </c>
      <c r="I52" s="6">
        <v>57270</v>
      </c>
      <c r="J52" t="s">
        <v>200</v>
      </c>
    </row>
    <row r="53" spans="1:10" x14ac:dyDescent="0.35">
      <c r="A53" t="s">
        <v>1050</v>
      </c>
      <c r="B53" t="s">
        <v>374</v>
      </c>
      <c r="C53" t="s">
        <v>375</v>
      </c>
      <c r="D53" s="7">
        <v>58.6</v>
      </c>
      <c r="E53">
        <v>58.578365770657292</v>
      </c>
      <c r="F53" s="7">
        <v>41.4</v>
      </c>
      <c r="G53" s="6">
        <v>78459</v>
      </c>
      <c r="H53" s="6">
        <v>45960</v>
      </c>
      <c r="I53" s="6">
        <v>32499</v>
      </c>
      <c r="J53" t="s">
        <v>200</v>
      </c>
    </row>
    <row r="54" spans="1:10" x14ac:dyDescent="0.35">
      <c r="A54" t="s">
        <v>1050</v>
      </c>
      <c r="B54" t="s">
        <v>376</v>
      </c>
      <c r="C54" t="s">
        <v>377</v>
      </c>
      <c r="D54" s="7">
        <v>58.5</v>
      </c>
      <c r="E54">
        <v>58.499661068012351</v>
      </c>
      <c r="F54" s="7">
        <v>41.5</v>
      </c>
      <c r="G54" s="6">
        <v>79662</v>
      </c>
      <c r="H54" s="6">
        <v>46602</v>
      </c>
      <c r="I54" s="6">
        <v>33060</v>
      </c>
      <c r="J54" t="s">
        <v>200</v>
      </c>
    </row>
    <row r="55" spans="1:10" x14ac:dyDescent="0.35">
      <c r="A55" t="s">
        <v>1050</v>
      </c>
      <c r="B55" t="s">
        <v>378</v>
      </c>
      <c r="C55" t="s">
        <v>379</v>
      </c>
      <c r="D55" s="7">
        <v>58.2</v>
      </c>
      <c r="E55">
        <v>58.230762419197731</v>
      </c>
      <c r="F55" s="7">
        <v>41.8</v>
      </c>
      <c r="G55" s="6">
        <v>135516</v>
      </c>
      <c r="H55" s="6">
        <v>78912</v>
      </c>
      <c r="I55" s="6">
        <v>56604</v>
      </c>
      <c r="J55" t="s">
        <v>200</v>
      </c>
    </row>
    <row r="56" spans="1:10" x14ac:dyDescent="0.35">
      <c r="A56" t="s">
        <v>1050</v>
      </c>
      <c r="B56" t="s">
        <v>380</v>
      </c>
      <c r="C56" t="s">
        <v>381</v>
      </c>
      <c r="D56" s="7">
        <v>58.2</v>
      </c>
      <c r="E56">
        <v>58.168456755228952</v>
      </c>
      <c r="F56" s="7">
        <v>41.8</v>
      </c>
      <c r="G56" s="6">
        <v>22997</v>
      </c>
      <c r="H56" s="6">
        <v>13377</v>
      </c>
      <c r="I56" s="6">
        <v>9620</v>
      </c>
      <c r="J56" t="s">
        <v>200</v>
      </c>
    </row>
    <row r="57" spans="1:10" x14ac:dyDescent="0.35">
      <c r="A57" t="s">
        <v>1050</v>
      </c>
      <c r="B57" t="s">
        <v>382</v>
      </c>
      <c r="C57" t="s">
        <v>383</v>
      </c>
      <c r="D57" s="7">
        <v>58.2</v>
      </c>
      <c r="E57">
        <v>58.154012721613213</v>
      </c>
      <c r="F57" s="7">
        <v>41.8</v>
      </c>
      <c r="G57" s="6">
        <v>36945</v>
      </c>
      <c r="H57" s="6">
        <v>21485</v>
      </c>
      <c r="I57" s="6">
        <v>15460</v>
      </c>
      <c r="J57" t="s">
        <v>200</v>
      </c>
    </row>
    <row r="58" spans="1:10" x14ac:dyDescent="0.35">
      <c r="A58" t="s">
        <v>1050</v>
      </c>
      <c r="B58" t="s">
        <v>384</v>
      </c>
      <c r="C58" t="s">
        <v>385</v>
      </c>
      <c r="D58" s="7">
        <v>58.1</v>
      </c>
      <c r="E58">
        <v>58.072105556587992</v>
      </c>
      <c r="F58" s="7">
        <v>41.9</v>
      </c>
      <c r="G58" s="6">
        <v>269050</v>
      </c>
      <c r="H58" s="6">
        <v>156243</v>
      </c>
      <c r="I58" s="6">
        <v>112807</v>
      </c>
      <c r="J58" t="s">
        <v>200</v>
      </c>
    </row>
    <row r="59" spans="1:10" x14ac:dyDescent="0.35">
      <c r="A59" t="s">
        <v>1050</v>
      </c>
      <c r="B59" t="s">
        <v>386</v>
      </c>
      <c r="C59" t="s">
        <v>387</v>
      </c>
      <c r="D59" s="7">
        <v>58.1</v>
      </c>
      <c r="E59">
        <v>58.060454325193462</v>
      </c>
      <c r="F59" s="7">
        <v>41.9</v>
      </c>
      <c r="G59" s="6">
        <v>272404</v>
      </c>
      <c r="H59" s="6">
        <v>158159</v>
      </c>
      <c r="I59" s="6">
        <v>114245</v>
      </c>
      <c r="J59" t="s">
        <v>200</v>
      </c>
    </row>
    <row r="60" spans="1:10" x14ac:dyDescent="0.35">
      <c r="A60" t="s">
        <v>1050</v>
      </c>
      <c r="B60" t="s">
        <v>388</v>
      </c>
      <c r="C60" t="s">
        <v>389</v>
      </c>
      <c r="D60" s="7">
        <v>58.1</v>
      </c>
      <c r="E60">
        <v>58.056005276728428</v>
      </c>
      <c r="F60" s="7">
        <v>41.9</v>
      </c>
      <c r="G60" s="6">
        <v>33354</v>
      </c>
      <c r="H60" s="6">
        <v>19364</v>
      </c>
      <c r="I60" s="6">
        <v>13990</v>
      </c>
      <c r="J60" t="s">
        <v>200</v>
      </c>
    </row>
    <row r="61" spans="1:10" x14ac:dyDescent="0.35">
      <c r="A61" t="s">
        <v>1050</v>
      </c>
      <c r="B61" t="s">
        <v>390</v>
      </c>
      <c r="C61" t="s">
        <v>391</v>
      </c>
      <c r="D61" s="7">
        <v>58</v>
      </c>
      <c r="E61">
        <v>58.025375268048613</v>
      </c>
      <c r="F61" s="7">
        <v>42</v>
      </c>
      <c r="G61" s="6">
        <v>55960</v>
      </c>
      <c r="H61" s="6">
        <v>32471</v>
      </c>
      <c r="I61" s="6">
        <v>23489</v>
      </c>
      <c r="J61" t="s">
        <v>200</v>
      </c>
    </row>
    <row r="62" spans="1:10" x14ac:dyDescent="0.35">
      <c r="A62" t="s">
        <v>1050</v>
      </c>
      <c r="B62" t="s">
        <v>392</v>
      </c>
      <c r="C62" t="s">
        <v>393</v>
      </c>
      <c r="D62" s="7">
        <v>58</v>
      </c>
      <c r="E62">
        <v>57.978123313876488</v>
      </c>
      <c r="F62" s="7">
        <v>42</v>
      </c>
      <c r="G62" s="6">
        <v>20387</v>
      </c>
      <c r="H62" s="6">
        <v>11820</v>
      </c>
      <c r="I62" s="6">
        <v>8567</v>
      </c>
      <c r="J62" t="s">
        <v>200</v>
      </c>
    </row>
    <row r="63" spans="1:10" x14ac:dyDescent="0.35">
      <c r="A63" t="s">
        <v>1050</v>
      </c>
      <c r="B63" t="s">
        <v>394</v>
      </c>
      <c r="C63" t="s">
        <v>395</v>
      </c>
      <c r="D63" s="7">
        <v>58</v>
      </c>
      <c r="E63">
        <v>57.969230769230769</v>
      </c>
      <c r="F63" s="7">
        <v>42</v>
      </c>
      <c r="G63" s="6">
        <v>26000</v>
      </c>
      <c r="H63" s="6">
        <v>15072</v>
      </c>
      <c r="I63" s="6">
        <v>10928</v>
      </c>
      <c r="J63" t="s">
        <v>200</v>
      </c>
    </row>
    <row r="64" spans="1:10" x14ac:dyDescent="0.35">
      <c r="A64" t="s">
        <v>1050</v>
      </c>
      <c r="B64" t="s">
        <v>396</v>
      </c>
      <c r="C64" t="s">
        <v>397</v>
      </c>
      <c r="D64" s="7">
        <v>57.8</v>
      </c>
      <c r="E64">
        <v>57.7762636586166</v>
      </c>
      <c r="F64" s="7">
        <v>42.2</v>
      </c>
      <c r="G64" s="6">
        <v>39627</v>
      </c>
      <c r="H64" s="6">
        <v>22895</v>
      </c>
      <c r="I64" s="6">
        <v>16732</v>
      </c>
      <c r="J64" t="s">
        <v>200</v>
      </c>
    </row>
    <row r="65" spans="1:10" x14ac:dyDescent="0.35">
      <c r="A65" t="s">
        <v>1050</v>
      </c>
      <c r="B65" t="s">
        <v>398</v>
      </c>
      <c r="C65" t="s">
        <v>399</v>
      </c>
      <c r="D65" s="7">
        <v>57.8</v>
      </c>
      <c r="E65">
        <v>57.756813417190777</v>
      </c>
      <c r="F65" s="7">
        <v>42.2</v>
      </c>
      <c r="G65" s="6">
        <v>39114</v>
      </c>
      <c r="H65" s="6">
        <v>22591</v>
      </c>
      <c r="I65" s="6">
        <v>16523</v>
      </c>
      <c r="J65" t="s">
        <v>200</v>
      </c>
    </row>
    <row r="66" spans="1:10" x14ac:dyDescent="0.35">
      <c r="A66" t="s">
        <v>1050</v>
      </c>
      <c r="B66" t="s">
        <v>400</v>
      </c>
      <c r="C66" t="s">
        <v>401</v>
      </c>
      <c r="D66" s="7">
        <v>57.7</v>
      </c>
      <c r="E66">
        <v>57.711310493901287</v>
      </c>
      <c r="F66" s="7">
        <v>42.3</v>
      </c>
      <c r="G66" s="6">
        <v>116582</v>
      </c>
      <c r="H66" s="6">
        <v>67281</v>
      </c>
      <c r="I66" s="6">
        <v>49301</v>
      </c>
      <c r="J66" t="s">
        <v>200</v>
      </c>
    </row>
    <row r="67" spans="1:10" x14ac:dyDescent="0.35">
      <c r="A67" t="s">
        <v>1050</v>
      </c>
      <c r="B67" t="s">
        <v>402</v>
      </c>
      <c r="C67" t="s">
        <v>403</v>
      </c>
      <c r="D67" s="7">
        <v>57.7</v>
      </c>
      <c r="E67">
        <v>57.666957833717142</v>
      </c>
      <c r="F67" s="7">
        <v>42.3</v>
      </c>
      <c r="G67" s="6">
        <v>50372</v>
      </c>
      <c r="H67" s="6">
        <v>29048</v>
      </c>
      <c r="I67" s="6">
        <v>21324</v>
      </c>
      <c r="J67" t="s">
        <v>200</v>
      </c>
    </row>
    <row r="68" spans="1:10" x14ac:dyDescent="0.35">
      <c r="A68" t="s">
        <v>1050</v>
      </c>
      <c r="B68" t="s">
        <v>404</v>
      </c>
      <c r="C68" t="s">
        <v>405</v>
      </c>
      <c r="D68" s="7">
        <v>57.6</v>
      </c>
      <c r="E68">
        <v>57.646546963637277</v>
      </c>
      <c r="F68" s="7">
        <v>42.4</v>
      </c>
      <c r="G68" s="6">
        <v>59759</v>
      </c>
      <c r="H68" s="6">
        <v>34449</v>
      </c>
      <c r="I68" s="6">
        <v>25310</v>
      </c>
      <c r="J68" t="s">
        <v>200</v>
      </c>
    </row>
    <row r="69" spans="1:10" x14ac:dyDescent="0.35">
      <c r="A69" t="s">
        <v>1050</v>
      </c>
      <c r="B69" t="s">
        <v>406</v>
      </c>
      <c r="C69" t="s">
        <v>407</v>
      </c>
      <c r="D69" s="7">
        <v>57.6</v>
      </c>
      <c r="E69">
        <v>57.64579414135985</v>
      </c>
      <c r="F69" s="7">
        <v>42.4</v>
      </c>
      <c r="G69" s="6">
        <v>33489</v>
      </c>
      <c r="H69" s="6">
        <v>19305</v>
      </c>
      <c r="I69" s="6">
        <v>14184</v>
      </c>
      <c r="J69" t="s">
        <v>200</v>
      </c>
    </row>
    <row r="70" spans="1:10" x14ac:dyDescent="0.35">
      <c r="A70" t="s">
        <v>1050</v>
      </c>
      <c r="B70" t="s">
        <v>408</v>
      </c>
      <c r="C70" t="s">
        <v>409</v>
      </c>
      <c r="D70" s="7">
        <v>57.6</v>
      </c>
      <c r="E70">
        <v>57.562690683498829</v>
      </c>
      <c r="F70" s="7">
        <v>42.4</v>
      </c>
      <c r="G70" s="6">
        <v>157001</v>
      </c>
      <c r="H70" s="6">
        <v>90374</v>
      </c>
      <c r="I70" s="6">
        <v>66627</v>
      </c>
      <c r="J70" t="s">
        <v>200</v>
      </c>
    </row>
    <row r="71" spans="1:10" x14ac:dyDescent="0.35">
      <c r="A71" t="s">
        <v>1050</v>
      </c>
      <c r="B71" t="s">
        <v>410</v>
      </c>
      <c r="C71" t="s">
        <v>411</v>
      </c>
      <c r="D71" s="7">
        <v>57.5</v>
      </c>
      <c r="E71">
        <v>57.534851447675521</v>
      </c>
      <c r="F71" s="7">
        <v>42.5</v>
      </c>
      <c r="G71" s="6">
        <v>47559</v>
      </c>
      <c r="H71" s="6">
        <v>27363</v>
      </c>
      <c r="I71" s="6">
        <v>20196</v>
      </c>
      <c r="J71" t="s">
        <v>200</v>
      </c>
    </row>
    <row r="72" spans="1:10" x14ac:dyDescent="0.35">
      <c r="A72" t="s">
        <v>1050</v>
      </c>
      <c r="B72" t="s">
        <v>412</v>
      </c>
      <c r="C72" t="s">
        <v>413</v>
      </c>
      <c r="D72" s="7">
        <v>57.5</v>
      </c>
      <c r="E72">
        <v>57.514333375387253</v>
      </c>
      <c r="F72" s="7">
        <v>42.5</v>
      </c>
      <c r="G72" s="6">
        <v>71337</v>
      </c>
      <c r="H72" s="6">
        <v>41029</v>
      </c>
      <c r="I72" s="6">
        <v>30308</v>
      </c>
      <c r="J72" t="s">
        <v>200</v>
      </c>
    </row>
    <row r="73" spans="1:10" x14ac:dyDescent="0.35">
      <c r="A73" t="s">
        <v>1050</v>
      </c>
      <c r="B73" t="s">
        <v>414</v>
      </c>
      <c r="C73" t="s">
        <v>415</v>
      </c>
      <c r="D73" s="7">
        <v>57.4</v>
      </c>
      <c r="E73">
        <v>57.381083519857498</v>
      </c>
      <c r="F73" s="7">
        <v>42.6</v>
      </c>
      <c r="G73" s="6">
        <v>85333</v>
      </c>
      <c r="H73" s="6">
        <v>48965</v>
      </c>
      <c r="I73" s="6">
        <v>36368</v>
      </c>
      <c r="J73" t="s">
        <v>200</v>
      </c>
    </row>
    <row r="74" spans="1:10" x14ac:dyDescent="0.35">
      <c r="A74" t="s">
        <v>1050</v>
      </c>
      <c r="B74" t="s">
        <v>416</v>
      </c>
      <c r="C74" t="s">
        <v>417</v>
      </c>
      <c r="D74" s="7">
        <v>57.3</v>
      </c>
      <c r="E74">
        <v>57.265472824379508</v>
      </c>
      <c r="F74" s="7">
        <v>42.7</v>
      </c>
      <c r="G74" s="6">
        <v>79575</v>
      </c>
      <c r="H74" s="6">
        <v>45569</v>
      </c>
      <c r="I74" s="6">
        <v>34006</v>
      </c>
      <c r="J74" t="s">
        <v>200</v>
      </c>
    </row>
    <row r="75" spans="1:10" x14ac:dyDescent="0.35">
      <c r="A75" t="s">
        <v>1050</v>
      </c>
      <c r="B75" t="s">
        <v>418</v>
      </c>
      <c r="C75" t="s">
        <v>419</v>
      </c>
      <c r="D75" s="7">
        <v>57.2</v>
      </c>
      <c r="E75">
        <v>57.203191986077513</v>
      </c>
      <c r="F75" s="7">
        <v>42.8</v>
      </c>
      <c r="G75" s="6">
        <v>47118</v>
      </c>
      <c r="H75" s="6">
        <v>26953</v>
      </c>
      <c r="I75" s="6">
        <v>20165</v>
      </c>
      <c r="J75" t="s">
        <v>200</v>
      </c>
    </row>
    <row r="76" spans="1:10" x14ac:dyDescent="0.35">
      <c r="A76" t="s">
        <v>1050</v>
      </c>
      <c r="B76" t="s">
        <v>420</v>
      </c>
      <c r="C76" t="s">
        <v>421</v>
      </c>
      <c r="D76" s="7">
        <v>57.1</v>
      </c>
      <c r="E76">
        <v>57.055820846369173</v>
      </c>
      <c r="F76" s="7">
        <v>42.9</v>
      </c>
      <c r="G76" s="6">
        <v>54657</v>
      </c>
      <c r="H76" s="6">
        <v>31185</v>
      </c>
      <c r="I76" s="6">
        <v>23472</v>
      </c>
      <c r="J76" t="s">
        <v>200</v>
      </c>
    </row>
    <row r="77" spans="1:10" x14ac:dyDescent="0.35">
      <c r="A77" t="s">
        <v>1050</v>
      </c>
      <c r="B77" t="s">
        <v>422</v>
      </c>
      <c r="C77" t="s">
        <v>423</v>
      </c>
      <c r="D77" s="7">
        <v>56.9</v>
      </c>
      <c r="E77">
        <v>56.940931827123023</v>
      </c>
      <c r="F77" s="7">
        <v>43.1</v>
      </c>
      <c r="G77" s="6">
        <v>35586</v>
      </c>
      <c r="H77" s="6">
        <v>20263</v>
      </c>
      <c r="I77" s="6">
        <v>15323</v>
      </c>
      <c r="J77" t="s">
        <v>200</v>
      </c>
    </row>
    <row r="78" spans="1:10" x14ac:dyDescent="0.35">
      <c r="A78" t="s">
        <v>1050</v>
      </c>
      <c r="B78" t="s">
        <v>424</v>
      </c>
      <c r="C78" t="s">
        <v>425</v>
      </c>
      <c r="D78" s="7">
        <v>56.8</v>
      </c>
      <c r="E78">
        <v>56.814230643251278</v>
      </c>
      <c r="F78" s="7">
        <v>43.2</v>
      </c>
      <c r="G78" s="6">
        <v>39689</v>
      </c>
      <c r="H78" s="6">
        <v>22549</v>
      </c>
      <c r="I78" s="6">
        <v>17140</v>
      </c>
      <c r="J78" t="s">
        <v>200</v>
      </c>
    </row>
    <row r="79" spans="1:10" x14ac:dyDescent="0.35">
      <c r="A79" t="s">
        <v>1050</v>
      </c>
      <c r="B79" t="s">
        <v>426</v>
      </c>
      <c r="C79" t="s">
        <v>427</v>
      </c>
      <c r="D79" s="7">
        <v>56.8</v>
      </c>
      <c r="E79">
        <v>56.807594441182218</v>
      </c>
      <c r="F79" s="7">
        <v>43.2</v>
      </c>
      <c r="G79" s="6">
        <v>51090</v>
      </c>
      <c r="H79" s="6">
        <v>29023</v>
      </c>
      <c r="I79" s="6">
        <v>22067</v>
      </c>
      <c r="J79" t="s">
        <v>200</v>
      </c>
    </row>
    <row r="80" spans="1:10" x14ac:dyDescent="0.35">
      <c r="A80" t="s">
        <v>1050</v>
      </c>
      <c r="B80" t="s">
        <v>428</v>
      </c>
      <c r="C80" t="s">
        <v>429</v>
      </c>
      <c r="D80" s="7">
        <v>56.7</v>
      </c>
      <c r="E80">
        <v>56.667349213933058</v>
      </c>
      <c r="F80" s="7">
        <v>43.3</v>
      </c>
      <c r="G80" s="6">
        <v>43953</v>
      </c>
      <c r="H80" s="6">
        <v>24907</v>
      </c>
      <c r="I80" s="6">
        <v>19046</v>
      </c>
      <c r="J80" t="s">
        <v>200</v>
      </c>
    </row>
    <row r="81" spans="1:10" x14ac:dyDescent="0.35">
      <c r="A81" t="s">
        <v>1050</v>
      </c>
      <c r="B81" t="s">
        <v>430</v>
      </c>
      <c r="C81" t="s">
        <v>431</v>
      </c>
      <c r="D81" s="7">
        <v>56.6</v>
      </c>
      <c r="E81">
        <v>56.644780373593932</v>
      </c>
      <c r="F81" s="7">
        <v>43.4</v>
      </c>
      <c r="G81" s="6">
        <v>39294</v>
      </c>
      <c r="H81" s="6">
        <v>22258</v>
      </c>
      <c r="I81" s="6">
        <v>17036</v>
      </c>
      <c r="J81" t="s">
        <v>200</v>
      </c>
    </row>
    <row r="82" spans="1:10" x14ac:dyDescent="0.35">
      <c r="A82" t="s">
        <v>1050</v>
      </c>
      <c r="B82" t="s">
        <v>432</v>
      </c>
      <c r="C82" t="s">
        <v>433</v>
      </c>
      <c r="D82" s="7">
        <v>56.6</v>
      </c>
      <c r="E82">
        <v>56.614276117144193</v>
      </c>
      <c r="F82" s="7">
        <v>43.4</v>
      </c>
      <c r="G82" s="6">
        <v>135457</v>
      </c>
      <c r="H82" s="6">
        <v>76688</v>
      </c>
      <c r="I82" s="6">
        <v>58769</v>
      </c>
      <c r="J82" t="s">
        <v>200</v>
      </c>
    </row>
    <row r="83" spans="1:10" x14ac:dyDescent="0.35">
      <c r="A83" t="s">
        <v>1050</v>
      </c>
      <c r="B83" t="s">
        <v>434</v>
      </c>
      <c r="C83" t="s">
        <v>435</v>
      </c>
      <c r="D83" s="7">
        <v>56.4</v>
      </c>
      <c r="E83">
        <v>56.358076760860399</v>
      </c>
      <c r="F83" s="7">
        <v>43.6</v>
      </c>
      <c r="G83" s="6">
        <v>85356</v>
      </c>
      <c r="H83" s="6">
        <v>48105</v>
      </c>
      <c r="I83" s="6">
        <v>37251</v>
      </c>
      <c r="J83" t="s">
        <v>200</v>
      </c>
    </row>
    <row r="84" spans="1:10" x14ac:dyDescent="0.35">
      <c r="A84" t="s">
        <v>1050</v>
      </c>
      <c r="B84" t="s">
        <v>436</v>
      </c>
      <c r="C84" t="s">
        <v>437</v>
      </c>
      <c r="D84" s="7">
        <v>56.3</v>
      </c>
      <c r="E84">
        <v>56.259743204557687</v>
      </c>
      <c r="F84" s="7">
        <v>43.7</v>
      </c>
      <c r="G84" s="6">
        <v>35281</v>
      </c>
      <c r="H84" s="6">
        <v>19849</v>
      </c>
      <c r="I84" s="6">
        <v>15432</v>
      </c>
      <c r="J84" t="s">
        <v>200</v>
      </c>
    </row>
    <row r="85" spans="1:10" x14ac:dyDescent="0.35">
      <c r="A85" t="s">
        <v>1050</v>
      </c>
      <c r="B85" t="s">
        <v>438</v>
      </c>
      <c r="C85" t="s">
        <v>439</v>
      </c>
      <c r="D85" s="7">
        <v>56.1</v>
      </c>
      <c r="E85">
        <v>56.14099647620322</v>
      </c>
      <c r="F85" s="7">
        <v>43.9</v>
      </c>
      <c r="G85" s="6">
        <v>89676</v>
      </c>
      <c r="H85" s="6">
        <v>50345</v>
      </c>
      <c r="I85" s="6">
        <v>39331</v>
      </c>
      <c r="J85" t="s">
        <v>200</v>
      </c>
    </row>
    <row r="86" spans="1:10" x14ac:dyDescent="0.35">
      <c r="A86" t="s">
        <v>1050</v>
      </c>
      <c r="B86" t="s">
        <v>440</v>
      </c>
      <c r="C86" t="s">
        <v>441</v>
      </c>
      <c r="D86" s="7">
        <v>56.1</v>
      </c>
      <c r="E86">
        <v>56.097621407334003</v>
      </c>
      <c r="F86" s="7">
        <v>43.9</v>
      </c>
      <c r="G86" s="6">
        <v>40360</v>
      </c>
      <c r="H86" s="6">
        <v>22641</v>
      </c>
      <c r="I86" s="6">
        <v>17719</v>
      </c>
      <c r="J86" t="s">
        <v>200</v>
      </c>
    </row>
    <row r="87" spans="1:10" x14ac:dyDescent="0.35">
      <c r="A87" t="s">
        <v>1050</v>
      </c>
      <c r="B87" t="s">
        <v>442</v>
      </c>
      <c r="C87" t="s">
        <v>443</v>
      </c>
      <c r="D87" s="7">
        <v>56.1</v>
      </c>
      <c r="E87">
        <v>56.084319671329347</v>
      </c>
      <c r="F87" s="7">
        <v>43.9</v>
      </c>
      <c r="G87" s="6">
        <v>61338</v>
      </c>
      <c r="H87" s="6">
        <v>34401</v>
      </c>
      <c r="I87" s="6">
        <v>26937</v>
      </c>
      <c r="J87" t="s">
        <v>200</v>
      </c>
    </row>
    <row r="88" spans="1:10" x14ac:dyDescent="0.35">
      <c r="A88" t="s">
        <v>1050</v>
      </c>
      <c r="B88" t="s">
        <v>444</v>
      </c>
      <c r="C88" t="s">
        <v>445</v>
      </c>
      <c r="D88" s="7">
        <v>56.1</v>
      </c>
      <c r="E88">
        <v>56.070263233528877</v>
      </c>
      <c r="F88" s="7">
        <v>43.9</v>
      </c>
      <c r="G88" s="6">
        <v>59149</v>
      </c>
      <c r="H88" s="6">
        <v>33165</v>
      </c>
      <c r="I88" s="6">
        <v>25984</v>
      </c>
      <c r="J88" t="s">
        <v>200</v>
      </c>
    </row>
    <row r="89" spans="1:10" x14ac:dyDescent="0.35">
      <c r="A89" t="s">
        <v>1050</v>
      </c>
      <c r="B89" t="s">
        <v>446</v>
      </c>
      <c r="C89" t="s">
        <v>447</v>
      </c>
      <c r="D89" s="7">
        <v>56.1</v>
      </c>
      <c r="E89">
        <v>56.062690024612706</v>
      </c>
      <c r="F89" s="7">
        <v>43.9</v>
      </c>
      <c r="G89" s="6">
        <v>27628</v>
      </c>
      <c r="H89" s="6">
        <v>15489</v>
      </c>
      <c r="I89" s="6">
        <v>12139</v>
      </c>
      <c r="J89" t="s">
        <v>200</v>
      </c>
    </row>
    <row r="90" spans="1:10" x14ac:dyDescent="0.35">
      <c r="A90" t="s">
        <v>1050</v>
      </c>
      <c r="B90" t="s">
        <v>448</v>
      </c>
      <c r="C90" t="s">
        <v>449</v>
      </c>
      <c r="D90" s="7">
        <v>56</v>
      </c>
      <c r="E90">
        <v>56.000785057734447</v>
      </c>
      <c r="F90" s="7">
        <v>44</v>
      </c>
      <c r="G90" s="6">
        <v>30571</v>
      </c>
      <c r="H90" s="6">
        <v>17120</v>
      </c>
      <c r="I90" s="6">
        <v>13451</v>
      </c>
      <c r="J90" t="s">
        <v>200</v>
      </c>
    </row>
    <row r="91" spans="1:10" x14ac:dyDescent="0.35">
      <c r="A91" t="s">
        <v>1050</v>
      </c>
      <c r="B91" t="s">
        <v>450</v>
      </c>
      <c r="C91" t="s">
        <v>451</v>
      </c>
      <c r="D91" s="7">
        <v>56</v>
      </c>
      <c r="E91">
        <v>55.966322417535238</v>
      </c>
      <c r="F91" s="7">
        <v>44</v>
      </c>
      <c r="G91" s="6">
        <v>41927</v>
      </c>
      <c r="H91" s="6">
        <v>23465</v>
      </c>
      <c r="I91" s="6">
        <v>18462</v>
      </c>
      <c r="J91" t="s">
        <v>200</v>
      </c>
    </row>
    <row r="92" spans="1:10" x14ac:dyDescent="0.35">
      <c r="A92" t="s">
        <v>1050</v>
      </c>
      <c r="B92" t="s">
        <v>452</v>
      </c>
      <c r="C92" t="s">
        <v>453</v>
      </c>
      <c r="D92" s="7">
        <v>55.9</v>
      </c>
      <c r="E92">
        <v>55.895641539559058</v>
      </c>
      <c r="F92" s="7">
        <v>44.1</v>
      </c>
      <c r="G92" s="6">
        <v>58874</v>
      </c>
      <c r="H92" s="6">
        <v>32908</v>
      </c>
      <c r="I92" s="6">
        <v>25966</v>
      </c>
      <c r="J92" t="s">
        <v>200</v>
      </c>
    </row>
    <row r="93" spans="1:10" x14ac:dyDescent="0.35">
      <c r="A93" t="s">
        <v>1050</v>
      </c>
      <c r="B93" t="s">
        <v>454</v>
      </c>
      <c r="C93" t="s">
        <v>455</v>
      </c>
      <c r="D93" s="7">
        <v>55.8</v>
      </c>
      <c r="E93">
        <v>55.846139984565433</v>
      </c>
      <c r="F93" s="7">
        <v>44.2</v>
      </c>
      <c r="G93" s="6">
        <v>255271</v>
      </c>
      <c r="H93" s="6">
        <v>142559</v>
      </c>
      <c r="I93" s="6">
        <v>112712</v>
      </c>
      <c r="J93" t="s">
        <v>200</v>
      </c>
    </row>
    <row r="94" spans="1:10" x14ac:dyDescent="0.35">
      <c r="A94" t="s">
        <v>1050</v>
      </c>
      <c r="B94" t="s">
        <v>456</v>
      </c>
      <c r="C94" t="s">
        <v>457</v>
      </c>
      <c r="D94" s="7">
        <v>55.8</v>
      </c>
      <c r="E94">
        <v>55.79358096476799</v>
      </c>
      <c r="F94" s="7">
        <v>44.2</v>
      </c>
      <c r="G94" s="6">
        <v>156846</v>
      </c>
      <c r="H94" s="6">
        <v>87510</v>
      </c>
      <c r="I94" s="6">
        <v>69336</v>
      </c>
      <c r="J94" t="s">
        <v>200</v>
      </c>
    </row>
    <row r="95" spans="1:10" x14ac:dyDescent="0.35">
      <c r="A95" t="s">
        <v>1050</v>
      </c>
      <c r="B95" t="s">
        <v>458</v>
      </c>
      <c r="C95" t="s">
        <v>459</v>
      </c>
      <c r="D95" s="7">
        <v>55.8</v>
      </c>
      <c r="E95">
        <v>55.755787853524019</v>
      </c>
      <c r="F95" s="7">
        <v>44.2</v>
      </c>
      <c r="G95" s="6">
        <v>31186</v>
      </c>
      <c r="H95" s="6">
        <v>17388</v>
      </c>
      <c r="I95" s="6">
        <v>13798</v>
      </c>
      <c r="J95" t="s">
        <v>200</v>
      </c>
    </row>
    <row r="96" spans="1:10" x14ac:dyDescent="0.35">
      <c r="A96" t="s">
        <v>1050</v>
      </c>
      <c r="B96" t="s">
        <v>460</v>
      </c>
      <c r="C96" t="s">
        <v>461</v>
      </c>
      <c r="D96" s="7">
        <v>55.5</v>
      </c>
      <c r="E96">
        <v>55.502232409330752</v>
      </c>
      <c r="F96" s="7">
        <v>44.5</v>
      </c>
      <c r="G96" s="6">
        <v>41883</v>
      </c>
      <c r="H96" s="6">
        <v>23246</v>
      </c>
      <c r="I96" s="6">
        <v>18637</v>
      </c>
      <c r="J96" t="s">
        <v>200</v>
      </c>
    </row>
    <row r="97" spans="1:10" x14ac:dyDescent="0.35">
      <c r="A97" t="s">
        <v>1050</v>
      </c>
      <c r="B97" t="s">
        <v>462</v>
      </c>
      <c r="C97" t="s">
        <v>463</v>
      </c>
      <c r="D97" s="7">
        <v>55.2</v>
      </c>
      <c r="E97">
        <v>55.242628113369598</v>
      </c>
      <c r="F97" s="7">
        <v>44.8</v>
      </c>
      <c r="G97" s="6">
        <v>27944</v>
      </c>
      <c r="H97" s="6">
        <v>15437</v>
      </c>
      <c r="I97" s="6">
        <v>12507</v>
      </c>
      <c r="J97" t="s">
        <v>200</v>
      </c>
    </row>
    <row r="98" spans="1:10" x14ac:dyDescent="0.35">
      <c r="A98" t="s">
        <v>1050</v>
      </c>
      <c r="B98" t="s">
        <v>464</v>
      </c>
      <c r="C98" t="s">
        <v>465</v>
      </c>
      <c r="D98" s="7">
        <v>55.1</v>
      </c>
      <c r="E98">
        <v>55.142095914742448</v>
      </c>
      <c r="F98" s="7">
        <v>44.9</v>
      </c>
      <c r="G98" s="6">
        <v>22520</v>
      </c>
      <c r="H98" s="6">
        <v>12418</v>
      </c>
      <c r="I98" s="6">
        <v>10102</v>
      </c>
      <c r="J98" t="s">
        <v>200</v>
      </c>
    </row>
    <row r="99" spans="1:10" x14ac:dyDescent="0.35">
      <c r="A99" t="s">
        <v>1050</v>
      </c>
      <c r="B99" t="s">
        <v>466</v>
      </c>
      <c r="C99" t="s">
        <v>467</v>
      </c>
      <c r="D99" s="7">
        <v>55</v>
      </c>
      <c r="E99">
        <v>54.956565190651908</v>
      </c>
      <c r="F99" s="7">
        <v>45</v>
      </c>
      <c r="G99" s="6">
        <v>52032</v>
      </c>
      <c r="H99" s="6">
        <v>28595</v>
      </c>
      <c r="I99" s="6">
        <v>23437</v>
      </c>
      <c r="J99" t="s">
        <v>200</v>
      </c>
    </row>
    <row r="100" spans="1:10" x14ac:dyDescent="0.35">
      <c r="A100" t="s">
        <v>1050</v>
      </c>
      <c r="B100" t="s">
        <v>468</v>
      </c>
      <c r="C100" t="s">
        <v>469</v>
      </c>
      <c r="D100" s="7">
        <v>54.9</v>
      </c>
      <c r="E100">
        <v>54.924057034716782</v>
      </c>
      <c r="F100" s="7">
        <v>45.1</v>
      </c>
      <c r="G100" s="6">
        <v>245184</v>
      </c>
      <c r="H100" s="6">
        <v>134665</v>
      </c>
      <c r="I100" s="6">
        <v>110519</v>
      </c>
      <c r="J100" t="s">
        <v>200</v>
      </c>
    </row>
    <row r="101" spans="1:10" x14ac:dyDescent="0.35">
      <c r="A101" t="s">
        <v>1050</v>
      </c>
      <c r="B101" t="s">
        <v>470</v>
      </c>
      <c r="C101" t="s">
        <v>471</v>
      </c>
      <c r="D101" s="7">
        <v>54.7</v>
      </c>
      <c r="E101">
        <v>54.712668364372718</v>
      </c>
      <c r="F101" s="7">
        <v>45.3</v>
      </c>
      <c r="G101" s="6">
        <v>130372</v>
      </c>
      <c r="H101" s="6">
        <v>71330</v>
      </c>
      <c r="I101" s="6">
        <v>59042</v>
      </c>
      <c r="J101" t="s">
        <v>200</v>
      </c>
    </row>
    <row r="102" spans="1:10" x14ac:dyDescent="0.35">
      <c r="A102" t="s">
        <v>1050</v>
      </c>
      <c r="B102" t="s">
        <v>472</v>
      </c>
      <c r="C102" t="s">
        <v>473</v>
      </c>
      <c r="D102" s="7">
        <v>54.7</v>
      </c>
      <c r="E102">
        <v>54.701192457016077</v>
      </c>
      <c r="F102" s="7">
        <v>45.3</v>
      </c>
      <c r="G102" s="6">
        <v>144240</v>
      </c>
      <c r="H102" s="6">
        <v>78901</v>
      </c>
      <c r="I102" s="6">
        <v>65339</v>
      </c>
      <c r="J102" t="s">
        <v>200</v>
      </c>
    </row>
    <row r="103" spans="1:10" x14ac:dyDescent="0.35">
      <c r="A103" t="s">
        <v>1050</v>
      </c>
      <c r="B103" t="s">
        <v>474</v>
      </c>
      <c r="C103" t="s">
        <v>475</v>
      </c>
      <c r="D103" s="7">
        <v>54.7</v>
      </c>
      <c r="E103">
        <v>54.698712536935417</v>
      </c>
      <c r="F103" s="7">
        <v>45.3</v>
      </c>
      <c r="G103" s="6">
        <v>37904</v>
      </c>
      <c r="H103" s="6">
        <v>20733</v>
      </c>
      <c r="I103" s="6">
        <v>17171</v>
      </c>
      <c r="J103" t="s">
        <v>200</v>
      </c>
    </row>
    <row r="104" spans="1:10" x14ac:dyDescent="0.35">
      <c r="A104" t="s">
        <v>1050</v>
      </c>
      <c r="B104" t="s">
        <v>476</v>
      </c>
      <c r="C104" t="s">
        <v>477</v>
      </c>
      <c r="D104" s="7">
        <v>54.5</v>
      </c>
      <c r="E104">
        <v>54.511850402261359</v>
      </c>
      <c r="F104" s="7">
        <v>45.5</v>
      </c>
      <c r="G104" s="6">
        <v>119574</v>
      </c>
      <c r="H104" s="6">
        <v>65182</v>
      </c>
      <c r="I104" s="6">
        <v>54392</v>
      </c>
      <c r="J104" t="s">
        <v>200</v>
      </c>
    </row>
    <row r="105" spans="1:10" x14ac:dyDescent="0.35">
      <c r="A105" t="s">
        <v>1050</v>
      </c>
      <c r="B105" t="s">
        <v>478</v>
      </c>
      <c r="C105" t="s">
        <v>479</v>
      </c>
      <c r="D105" s="7">
        <v>54.4</v>
      </c>
      <c r="E105">
        <v>54.377500588373742</v>
      </c>
      <c r="F105" s="7">
        <v>45.6</v>
      </c>
      <c r="G105" s="6">
        <v>33992</v>
      </c>
      <c r="H105" s="6">
        <v>18484</v>
      </c>
      <c r="I105" s="6">
        <v>15508</v>
      </c>
      <c r="J105" t="s">
        <v>200</v>
      </c>
    </row>
    <row r="106" spans="1:10" x14ac:dyDescent="0.35">
      <c r="A106" t="s">
        <v>1050</v>
      </c>
      <c r="B106" t="s">
        <v>480</v>
      </c>
      <c r="C106" t="s">
        <v>481</v>
      </c>
      <c r="D106" s="7">
        <v>54.4</v>
      </c>
      <c r="E106">
        <v>54.372923773629878</v>
      </c>
      <c r="F106" s="7">
        <v>45.6</v>
      </c>
      <c r="G106" s="6">
        <v>67129</v>
      </c>
      <c r="H106" s="6">
        <v>36500</v>
      </c>
      <c r="I106" s="6">
        <v>30629</v>
      </c>
      <c r="J106" t="s">
        <v>200</v>
      </c>
    </row>
    <row r="107" spans="1:10" x14ac:dyDescent="0.35">
      <c r="A107" t="s">
        <v>1050</v>
      </c>
      <c r="B107" t="s">
        <v>482</v>
      </c>
      <c r="C107" t="s">
        <v>483</v>
      </c>
      <c r="D107" s="7">
        <v>54.3</v>
      </c>
      <c r="E107">
        <v>54.349612358138543</v>
      </c>
      <c r="F107" s="7">
        <v>45.7</v>
      </c>
      <c r="G107" s="6">
        <v>206892</v>
      </c>
      <c r="H107" s="6">
        <v>112445</v>
      </c>
      <c r="I107" s="6">
        <v>94447</v>
      </c>
      <c r="J107" t="s">
        <v>200</v>
      </c>
    </row>
    <row r="108" spans="1:10" x14ac:dyDescent="0.35">
      <c r="A108" t="s">
        <v>1050</v>
      </c>
      <c r="B108" t="s">
        <v>484</v>
      </c>
      <c r="C108" t="s">
        <v>485</v>
      </c>
      <c r="D108" s="7">
        <v>54.2</v>
      </c>
      <c r="E108">
        <v>54.243343164541187</v>
      </c>
      <c r="F108" s="7">
        <v>45.8</v>
      </c>
      <c r="G108" s="6">
        <v>48146</v>
      </c>
      <c r="H108" s="6">
        <v>26116</v>
      </c>
      <c r="I108" s="6">
        <v>22030</v>
      </c>
      <c r="J108" t="s">
        <v>200</v>
      </c>
    </row>
    <row r="109" spans="1:10" x14ac:dyDescent="0.35">
      <c r="A109" t="s">
        <v>1050</v>
      </c>
      <c r="B109" t="s">
        <v>486</v>
      </c>
      <c r="C109" t="s">
        <v>487</v>
      </c>
      <c r="D109" s="7">
        <v>54.2</v>
      </c>
      <c r="E109">
        <v>54.215673603033053</v>
      </c>
      <c r="F109" s="7">
        <v>45.8</v>
      </c>
      <c r="G109" s="6">
        <v>46422</v>
      </c>
      <c r="H109" s="6">
        <v>25168</v>
      </c>
      <c r="I109" s="6">
        <v>21254</v>
      </c>
      <c r="J109" t="s">
        <v>200</v>
      </c>
    </row>
    <row r="110" spans="1:10" x14ac:dyDescent="0.35">
      <c r="A110" t="s">
        <v>1050</v>
      </c>
      <c r="B110" t="s">
        <v>488</v>
      </c>
      <c r="C110" t="s">
        <v>489</v>
      </c>
      <c r="D110" s="7">
        <v>54</v>
      </c>
      <c r="E110">
        <v>54.011842985745488</v>
      </c>
      <c r="F110" s="7">
        <v>46</v>
      </c>
      <c r="G110" s="6">
        <v>79203</v>
      </c>
      <c r="H110" s="6">
        <v>42779</v>
      </c>
      <c r="I110" s="6">
        <v>36424</v>
      </c>
      <c r="J110" t="s">
        <v>200</v>
      </c>
    </row>
    <row r="111" spans="1:10" x14ac:dyDescent="0.35">
      <c r="A111" t="s">
        <v>1050</v>
      </c>
      <c r="B111" t="s">
        <v>490</v>
      </c>
      <c r="C111" t="s">
        <v>491</v>
      </c>
      <c r="D111" s="7">
        <v>53.9</v>
      </c>
      <c r="E111">
        <v>53.915476517440261</v>
      </c>
      <c r="F111" s="7">
        <v>46.1</v>
      </c>
      <c r="G111" s="6">
        <v>58256</v>
      </c>
      <c r="H111" s="6">
        <v>31409</v>
      </c>
      <c r="I111" s="6">
        <v>26847</v>
      </c>
      <c r="J111" t="s">
        <v>200</v>
      </c>
    </row>
    <row r="112" spans="1:10" x14ac:dyDescent="0.35">
      <c r="A112" t="s">
        <v>1050</v>
      </c>
      <c r="B112" t="s">
        <v>492</v>
      </c>
      <c r="C112" t="s">
        <v>493</v>
      </c>
      <c r="D112" s="7">
        <v>53.9</v>
      </c>
      <c r="E112">
        <v>53.899204777367821</v>
      </c>
      <c r="F112" s="7">
        <v>46.1</v>
      </c>
      <c r="G112" s="6">
        <v>99469</v>
      </c>
      <c r="H112" s="6">
        <v>53613</v>
      </c>
      <c r="I112" s="6">
        <v>45856</v>
      </c>
      <c r="J112" t="s">
        <v>200</v>
      </c>
    </row>
    <row r="113" spans="1:10" x14ac:dyDescent="0.35">
      <c r="A113" t="s">
        <v>1050</v>
      </c>
      <c r="B113" t="s">
        <v>494</v>
      </c>
      <c r="C113" t="s">
        <v>495</v>
      </c>
      <c r="D113" s="7">
        <v>53.8</v>
      </c>
      <c r="E113">
        <v>53.806099677659311</v>
      </c>
      <c r="F113" s="7">
        <v>46.2</v>
      </c>
      <c r="G113" s="6">
        <v>104858</v>
      </c>
      <c r="H113" s="6">
        <v>56420</v>
      </c>
      <c r="I113" s="6">
        <v>48438</v>
      </c>
      <c r="J113" t="s">
        <v>200</v>
      </c>
    </row>
    <row r="114" spans="1:10" x14ac:dyDescent="0.35">
      <c r="A114" t="s">
        <v>1050</v>
      </c>
      <c r="B114" t="s">
        <v>496</v>
      </c>
      <c r="C114" t="s">
        <v>497</v>
      </c>
      <c r="D114" s="7">
        <v>53.7</v>
      </c>
      <c r="E114">
        <v>53.732595449059502</v>
      </c>
      <c r="F114" s="7">
        <v>46.3</v>
      </c>
      <c r="G114" s="6">
        <v>135884</v>
      </c>
      <c r="H114" s="6">
        <v>73014</v>
      </c>
      <c r="I114" s="6">
        <v>62870</v>
      </c>
      <c r="J114" t="s">
        <v>200</v>
      </c>
    </row>
    <row r="115" spans="1:10" x14ac:dyDescent="0.35">
      <c r="A115" t="s">
        <v>1050</v>
      </c>
      <c r="B115" t="s">
        <v>498</v>
      </c>
      <c r="C115" t="s">
        <v>499</v>
      </c>
      <c r="D115" s="7">
        <v>53.7</v>
      </c>
      <c r="E115">
        <v>53.721602529632641</v>
      </c>
      <c r="F115" s="7">
        <v>46.3</v>
      </c>
      <c r="G115" s="6">
        <v>217581</v>
      </c>
      <c r="H115" s="6">
        <v>116888</v>
      </c>
      <c r="I115" s="6">
        <v>100693</v>
      </c>
      <c r="J115" t="s">
        <v>200</v>
      </c>
    </row>
    <row r="116" spans="1:10" x14ac:dyDescent="0.35">
      <c r="A116" t="s">
        <v>1050</v>
      </c>
      <c r="B116" t="s">
        <v>500</v>
      </c>
      <c r="C116" t="s">
        <v>501</v>
      </c>
      <c r="D116" s="7">
        <v>53.7</v>
      </c>
      <c r="E116">
        <v>53.678649254550301</v>
      </c>
      <c r="F116" s="7">
        <v>46.3</v>
      </c>
      <c r="G116" s="6">
        <v>63787</v>
      </c>
      <c r="H116" s="6">
        <v>34240</v>
      </c>
      <c r="I116" s="6">
        <v>29547</v>
      </c>
      <c r="J116" t="s">
        <v>200</v>
      </c>
    </row>
    <row r="117" spans="1:10" x14ac:dyDescent="0.35">
      <c r="A117" t="s">
        <v>1050</v>
      </c>
      <c r="B117" t="s">
        <v>502</v>
      </c>
      <c r="C117" t="s">
        <v>503</v>
      </c>
      <c r="D117" s="7">
        <v>53.6</v>
      </c>
      <c r="E117">
        <v>53.644488066949073</v>
      </c>
      <c r="F117" s="7">
        <v>46.4</v>
      </c>
      <c r="G117" s="6">
        <v>38716</v>
      </c>
      <c r="H117" s="6">
        <v>20769</v>
      </c>
      <c r="I117" s="6">
        <v>17947</v>
      </c>
      <c r="J117" t="s">
        <v>200</v>
      </c>
    </row>
    <row r="118" spans="1:10" x14ac:dyDescent="0.35">
      <c r="A118" t="s">
        <v>1050</v>
      </c>
      <c r="B118" t="s">
        <v>504</v>
      </c>
      <c r="C118" t="s">
        <v>505</v>
      </c>
      <c r="D118" s="7">
        <v>53.6</v>
      </c>
      <c r="E118">
        <v>53.641360357265548</v>
      </c>
      <c r="F118" s="7">
        <v>46.4</v>
      </c>
      <c r="G118" s="6">
        <v>40754</v>
      </c>
      <c r="H118" s="6">
        <v>21861</v>
      </c>
      <c r="I118" s="6">
        <v>18893</v>
      </c>
      <c r="J118" t="s">
        <v>200</v>
      </c>
    </row>
    <row r="119" spans="1:10" x14ac:dyDescent="0.35">
      <c r="A119" t="s">
        <v>1050</v>
      </c>
      <c r="B119" t="s">
        <v>506</v>
      </c>
      <c r="C119" t="s">
        <v>507</v>
      </c>
      <c r="D119" s="7">
        <v>53.6</v>
      </c>
      <c r="E119">
        <v>53.588127195329037</v>
      </c>
      <c r="F119" s="7">
        <v>46.4</v>
      </c>
      <c r="G119" s="6">
        <v>42989</v>
      </c>
      <c r="H119" s="6">
        <v>23037</v>
      </c>
      <c r="I119" s="6">
        <v>19952</v>
      </c>
      <c r="J119" t="s">
        <v>200</v>
      </c>
    </row>
    <row r="120" spans="1:10" x14ac:dyDescent="0.35">
      <c r="A120" t="s">
        <v>1050</v>
      </c>
      <c r="B120" t="s">
        <v>508</v>
      </c>
      <c r="C120" t="s">
        <v>509</v>
      </c>
      <c r="D120" s="7">
        <v>53.6</v>
      </c>
      <c r="E120">
        <v>53.55937108131571</v>
      </c>
      <c r="F120" s="7">
        <v>46.4</v>
      </c>
      <c r="G120" s="6">
        <v>41468</v>
      </c>
      <c r="H120" s="6">
        <v>22210</v>
      </c>
      <c r="I120" s="6">
        <v>19258</v>
      </c>
      <c r="J120" t="s">
        <v>200</v>
      </c>
    </row>
    <row r="121" spans="1:10" x14ac:dyDescent="0.35">
      <c r="A121" t="s">
        <v>1050</v>
      </c>
      <c r="B121" t="s">
        <v>510</v>
      </c>
      <c r="C121" t="s">
        <v>511</v>
      </c>
      <c r="D121" s="7">
        <v>53.6</v>
      </c>
      <c r="E121">
        <v>53.558005737848212</v>
      </c>
      <c r="F121" s="7">
        <v>46.4</v>
      </c>
      <c r="G121" s="6">
        <v>2333976</v>
      </c>
      <c r="H121" s="6">
        <v>1250031</v>
      </c>
      <c r="I121" s="6">
        <v>1083945</v>
      </c>
      <c r="J121" t="s">
        <v>200</v>
      </c>
    </row>
    <row r="122" spans="1:10" x14ac:dyDescent="0.35">
      <c r="A122" t="s">
        <v>1050</v>
      </c>
      <c r="B122" t="s">
        <v>512</v>
      </c>
      <c r="C122" t="s">
        <v>513</v>
      </c>
      <c r="D122" s="7">
        <v>53.5</v>
      </c>
      <c r="E122">
        <v>53.512585314958919</v>
      </c>
      <c r="F122" s="7">
        <v>46.5</v>
      </c>
      <c r="G122" s="6">
        <v>46006</v>
      </c>
      <c r="H122" s="6">
        <v>24619</v>
      </c>
      <c r="I122" s="6">
        <v>21387</v>
      </c>
      <c r="J122" t="s">
        <v>200</v>
      </c>
    </row>
    <row r="123" spans="1:10" x14ac:dyDescent="0.35">
      <c r="A123" t="s">
        <v>1050</v>
      </c>
      <c r="B123" t="s">
        <v>514</v>
      </c>
      <c r="C123" t="s">
        <v>515</v>
      </c>
      <c r="D123" s="7">
        <v>53.5</v>
      </c>
      <c r="E123">
        <v>53.489093673399744</v>
      </c>
      <c r="F123" s="7">
        <v>46.5</v>
      </c>
      <c r="G123" s="6">
        <v>32229</v>
      </c>
      <c r="H123" s="6">
        <v>17239</v>
      </c>
      <c r="I123" s="6">
        <v>14990</v>
      </c>
      <c r="J123" t="s">
        <v>200</v>
      </c>
    </row>
    <row r="124" spans="1:10" x14ac:dyDescent="0.35">
      <c r="A124" t="s">
        <v>1050</v>
      </c>
      <c r="B124" t="s">
        <v>516</v>
      </c>
      <c r="C124" t="s">
        <v>517</v>
      </c>
      <c r="D124" s="7">
        <v>53.4</v>
      </c>
      <c r="E124">
        <v>53.445069793965239</v>
      </c>
      <c r="F124" s="7">
        <v>46.6</v>
      </c>
      <c r="G124" s="6">
        <v>40333</v>
      </c>
      <c r="H124" s="6">
        <v>21556</v>
      </c>
      <c r="I124" s="6">
        <v>18777</v>
      </c>
      <c r="J124" t="s">
        <v>200</v>
      </c>
    </row>
    <row r="125" spans="1:10" x14ac:dyDescent="0.35">
      <c r="A125" t="s">
        <v>1050</v>
      </c>
      <c r="B125" t="s">
        <v>518</v>
      </c>
      <c r="C125" t="s">
        <v>519</v>
      </c>
      <c r="D125" s="7">
        <v>53.4</v>
      </c>
      <c r="E125">
        <v>53.404722116853428</v>
      </c>
      <c r="F125" s="7">
        <v>46.6</v>
      </c>
      <c r="G125" s="6">
        <v>195082</v>
      </c>
      <c r="H125" s="6">
        <v>104183</v>
      </c>
      <c r="I125" s="6">
        <v>90899</v>
      </c>
      <c r="J125" t="s">
        <v>200</v>
      </c>
    </row>
    <row r="126" spans="1:10" x14ac:dyDescent="0.35">
      <c r="A126" t="s">
        <v>1050</v>
      </c>
      <c r="B126" t="s">
        <v>520</v>
      </c>
      <c r="C126" t="s">
        <v>521</v>
      </c>
      <c r="D126" s="7">
        <v>53.4</v>
      </c>
      <c r="E126">
        <v>53.36876392936739</v>
      </c>
      <c r="F126" s="7">
        <v>46.6</v>
      </c>
      <c r="G126" s="6">
        <v>46664</v>
      </c>
      <c r="H126" s="6">
        <v>24904</v>
      </c>
      <c r="I126" s="6">
        <v>21760</v>
      </c>
      <c r="J126" t="s">
        <v>200</v>
      </c>
    </row>
    <row r="127" spans="1:10" x14ac:dyDescent="0.35">
      <c r="A127" t="s">
        <v>1050</v>
      </c>
      <c r="B127" t="s">
        <v>522</v>
      </c>
      <c r="C127" t="s">
        <v>523</v>
      </c>
      <c r="D127" s="7">
        <v>53.3</v>
      </c>
      <c r="E127">
        <v>53.327956235096089</v>
      </c>
      <c r="F127" s="7">
        <v>46.7</v>
      </c>
      <c r="G127" s="6">
        <v>28516</v>
      </c>
      <c r="H127" s="6">
        <v>15207</v>
      </c>
      <c r="I127" s="6">
        <v>13309</v>
      </c>
      <c r="J127" t="s">
        <v>200</v>
      </c>
    </row>
    <row r="128" spans="1:10" x14ac:dyDescent="0.35">
      <c r="A128" t="s">
        <v>1050</v>
      </c>
      <c r="B128" t="s">
        <v>524</v>
      </c>
      <c r="C128" t="s">
        <v>525</v>
      </c>
      <c r="D128" s="7">
        <v>53.2</v>
      </c>
      <c r="E128">
        <v>53.22136360275087</v>
      </c>
      <c r="F128" s="7">
        <v>46.8</v>
      </c>
      <c r="G128" s="6">
        <v>324552</v>
      </c>
      <c r="H128" s="6">
        <v>172731</v>
      </c>
      <c r="I128" s="6">
        <v>151821</v>
      </c>
      <c r="J128" t="s">
        <v>200</v>
      </c>
    </row>
    <row r="129" spans="1:10" x14ac:dyDescent="0.35">
      <c r="A129" t="s">
        <v>1050</v>
      </c>
      <c r="B129" t="s">
        <v>526</v>
      </c>
      <c r="C129" t="s">
        <v>527</v>
      </c>
      <c r="D129" s="7">
        <v>53.2</v>
      </c>
      <c r="E129">
        <v>53.157127189017849</v>
      </c>
      <c r="F129" s="7">
        <v>46.8</v>
      </c>
      <c r="G129" s="6">
        <v>82971</v>
      </c>
      <c r="H129" s="6">
        <v>44105</v>
      </c>
      <c r="I129" s="6">
        <v>38866</v>
      </c>
      <c r="J129" t="s">
        <v>200</v>
      </c>
    </row>
    <row r="130" spans="1:10" x14ac:dyDescent="0.35">
      <c r="A130" t="s">
        <v>1050</v>
      </c>
      <c r="B130" t="s">
        <v>528</v>
      </c>
      <c r="C130" t="s">
        <v>529</v>
      </c>
      <c r="D130" s="7">
        <v>53.1</v>
      </c>
      <c r="E130">
        <v>53.117793152386021</v>
      </c>
      <c r="F130" s="7">
        <v>46.9</v>
      </c>
      <c r="G130" s="6">
        <v>67644</v>
      </c>
      <c r="H130" s="6">
        <v>35931</v>
      </c>
      <c r="I130" s="6">
        <v>31713</v>
      </c>
      <c r="J130" t="s">
        <v>200</v>
      </c>
    </row>
    <row r="131" spans="1:10" x14ac:dyDescent="0.35">
      <c r="A131" t="s">
        <v>1050</v>
      </c>
      <c r="B131" t="s">
        <v>530</v>
      </c>
      <c r="C131" t="s">
        <v>531</v>
      </c>
      <c r="D131" s="7">
        <v>53</v>
      </c>
      <c r="E131">
        <v>53.035505552308592</v>
      </c>
      <c r="F131" s="7">
        <v>47</v>
      </c>
      <c r="G131" s="6">
        <v>54752</v>
      </c>
      <c r="H131" s="6">
        <v>29038</v>
      </c>
      <c r="I131" s="6">
        <v>25714</v>
      </c>
      <c r="J131" t="s">
        <v>200</v>
      </c>
    </row>
    <row r="132" spans="1:10" x14ac:dyDescent="0.35">
      <c r="A132" t="s">
        <v>1050</v>
      </c>
      <c r="B132" t="s">
        <v>532</v>
      </c>
      <c r="C132" t="s">
        <v>533</v>
      </c>
      <c r="D132" s="7">
        <v>53</v>
      </c>
      <c r="E132">
        <v>53.017113672596963</v>
      </c>
      <c r="F132" s="7">
        <v>47</v>
      </c>
      <c r="G132" s="6">
        <v>212637</v>
      </c>
      <c r="H132" s="6">
        <v>112734</v>
      </c>
      <c r="I132" s="6">
        <v>99903</v>
      </c>
      <c r="J132" t="s">
        <v>200</v>
      </c>
    </row>
    <row r="133" spans="1:10" x14ac:dyDescent="0.35">
      <c r="A133" t="s">
        <v>1050</v>
      </c>
      <c r="B133" t="s">
        <v>534</v>
      </c>
      <c r="C133" t="s">
        <v>535</v>
      </c>
      <c r="D133" s="7">
        <v>53</v>
      </c>
      <c r="E133">
        <v>52.974788449794993</v>
      </c>
      <c r="F133" s="7">
        <v>47</v>
      </c>
      <c r="G133" s="6">
        <v>22926</v>
      </c>
      <c r="H133" s="6">
        <v>12145</v>
      </c>
      <c r="I133" s="6">
        <v>10781</v>
      </c>
      <c r="J133" t="s">
        <v>200</v>
      </c>
    </row>
    <row r="134" spans="1:10" x14ac:dyDescent="0.35">
      <c r="A134" t="s">
        <v>1050</v>
      </c>
      <c r="B134" t="s">
        <v>536</v>
      </c>
      <c r="C134" t="s">
        <v>537</v>
      </c>
      <c r="D134" s="7">
        <v>53</v>
      </c>
      <c r="E134">
        <v>52.968900027666123</v>
      </c>
      <c r="F134" s="7">
        <v>47</v>
      </c>
      <c r="G134" s="6">
        <v>307235</v>
      </c>
      <c r="H134" s="6">
        <v>162739</v>
      </c>
      <c r="I134" s="6">
        <v>144496</v>
      </c>
      <c r="J134" t="s">
        <v>200</v>
      </c>
    </row>
    <row r="135" spans="1:10" x14ac:dyDescent="0.35">
      <c r="A135" t="s">
        <v>1050</v>
      </c>
      <c r="B135" t="s">
        <v>538</v>
      </c>
      <c r="C135" t="s">
        <v>539</v>
      </c>
      <c r="D135" s="7">
        <v>52.9</v>
      </c>
      <c r="E135">
        <v>52.920910243130393</v>
      </c>
      <c r="F135" s="7">
        <v>47.1</v>
      </c>
      <c r="G135" s="6">
        <v>310862</v>
      </c>
      <c r="H135" s="6">
        <v>164511</v>
      </c>
      <c r="I135" s="6">
        <v>146351</v>
      </c>
      <c r="J135" t="s">
        <v>200</v>
      </c>
    </row>
    <row r="136" spans="1:10" x14ac:dyDescent="0.35">
      <c r="A136" t="s">
        <v>1050</v>
      </c>
      <c r="B136" t="s">
        <v>540</v>
      </c>
      <c r="C136" t="s">
        <v>541</v>
      </c>
      <c r="D136" s="7">
        <v>52.9</v>
      </c>
      <c r="E136">
        <v>52.852061314839929</v>
      </c>
      <c r="F136" s="7">
        <v>47.1</v>
      </c>
      <c r="G136" s="6">
        <v>39077</v>
      </c>
      <c r="H136" s="6">
        <v>20653</v>
      </c>
      <c r="I136" s="6">
        <v>18424</v>
      </c>
      <c r="J136" t="s">
        <v>200</v>
      </c>
    </row>
    <row r="137" spans="1:10" x14ac:dyDescent="0.35">
      <c r="A137" t="s">
        <v>1050</v>
      </c>
      <c r="B137" t="s">
        <v>542</v>
      </c>
      <c r="C137" t="s">
        <v>543</v>
      </c>
      <c r="D137" s="7">
        <v>52.7</v>
      </c>
      <c r="E137">
        <v>52.723280915403087</v>
      </c>
      <c r="F137" s="7">
        <v>47.3</v>
      </c>
      <c r="G137" s="6">
        <v>184924</v>
      </c>
      <c r="H137" s="6">
        <v>97498</v>
      </c>
      <c r="I137" s="6">
        <v>87426</v>
      </c>
      <c r="J137" t="s">
        <v>200</v>
      </c>
    </row>
    <row r="138" spans="1:10" x14ac:dyDescent="0.35">
      <c r="A138" t="s">
        <v>1050</v>
      </c>
      <c r="B138" t="s">
        <v>544</v>
      </c>
      <c r="C138" t="s">
        <v>545</v>
      </c>
      <c r="D138" s="7">
        <v>52.7</v>
      </c>
      <c r="E138">
        <v>52.661827877351513</v>
      </c>
      <c r="F138" s="7">
        <v>47.3</v>
      </c>
      <c r="G138" s="6">
        <v>33755</v>
      </c>
      <c r="H138" s="6">
        <v>17776</v>
      </c>
      <c r="I138" s="6">
        <v>15979</v>
      </c>
      <c r="J138" t="s">
        <v>200</v>
      </c>
    </row>
    <row r="139" spans="1:10" x14ac:dyDescent="0.35">
      <c r="A139" t="s">
        <v>1050</v>
      </c>
      <c r="B139" t="s">
        <v>546</v>
      </c>
      <c r="C139" t="s">
        <v>547</v>
      </c>
      <c r="D139" s="7">
        <v>52.6</v>
      </c>
      <c r="E139">
        <v>52.584572162201269</v>
      </c>
      <c r="F139" s="7">
        <v>47.4</v>
      </c>
      <c r="G139" s="6">
        <v>5460130</v>
      </c>
      <c r="H139" s="6">
        <v>2871186</v>
      </c>
      <c r="I139" s="6">
        <v>2588944</v>
      </c>
      <c r="J139" t="s">
        <v>200</v>
      </c>
    </row>
    <row r="140" spans="1:10" x14ac:dyDescent="0.35">
      <c r="A140" t="s">
        <v>1050</v>
      </c>
      <c r="B140" t="s">
        <v>548</v>
      </c>
      <c r="C140" t="s">
        <v>549</v>
      </c>
      <c r="D140" s="7">
        <v>52.6</v>
      </c>
      <c r="E140">
        <v>52.569015300752888</v>
      </c>
      <c r="F140" s="7">
        <v>47.4</v>
      </c>
      <c r="G140" s="6">
        <v>74114</v>
      </c>
      <c r="H140" s="6">
        <v>38961</v>
      </c>
      <c r="I140" s="6">
        <v>35153</v>
      </c>
      <c r="J140" t="s">
        <v>200</v>
      </c>
    </row>
    <row r="141" spans="1:10" x14ac:dyDescent="0.35">
      <c r="A141" t="s">
        <v>1050</v>
      </c>
      <c r="B141" t="s">
        <v>550</v>
      </c>
      <c r="C141" t="s">
        <v>551</v>
      </c>
      <c r="D141" s="7">
        <v>52.6</v>
      </c>
      <c r="E141">
        <v>52.55278485620677</v>
      </c>
      <c r="F141" s="7">
        <v>47.4</v>
      </c>
      <c r="G141" s="6">
        <v>43952</v>
      </c>
      <c r="H141" s="6">
        <v>23098</v>
      </c>
      <c r="I141" s="6">
        <v>20854</v>
      </c>
      <c r="J141" t="s">
        <v>200</v>
      </c>
    </row>
    <row r="142" spans="1:10" x14ac:dyDescent="0.35">
      <c r="A142" t="s">
        <v>1050</v>
      </c>
      <c r="B142" t="s">
        <v>552</v>
      </c>
      <c r="C142" t="s">
        <v>553</v>
      </c>
      <c r="D142" s="7">
        <v>52.5</v>
      </c>
      <c r="E142">
        <v>52.503926701570677</v>
      </c>
      <c r="F142" s="7">
        <v>47.5</v>
      </c>
      <c r="G142" s="6">
        <v>152800</v>
      </c>
      <c r="H142" s="6">
        <v>80226</v>
      </c>
      <c r="I142" s="6">
        <v>72574</v>
      </c>
      <c r="J142" t="s">
        <v>200</v>
      </c>
    </row>
    <row r="143" spans="1:10" x14ac:dyDescent="0.35">
      <c r="A143" t="s">
        <v>1050</v>
      </c>
      <c r="B143" t="s">
        <v>554</v>
      </c>
      <c r="C143" t="s">
        <v>555</v>
      </c>
      <c r="D143" s="7">
        <v>52.5</v>
      </c>
      <c r="E143">
        <v>52.489669068679348</v>
      </c>
      <c r="F143" s="7">
        <v>47.5</v>
      </c>
      <c r="G143" s="6">
        <v>58562</v>
      </c>
      <c r="H143" s="6">
        <v>30739</v>
      </c>
      <c r="I143" s="6">
        <v>27823</v>
      </c>
      <c r="J143" t="s">
        <v>200</v>
      </c>
    </row>
    <row r="144" spans="1:10" x14ac:dyDescent="0.35">
      <c r="A144" t="s">
        <v>1050</v>
      </c>
      <c r="B144" t="s">
        <v>556</v>
      </c>
      <c r="C144" t="s">
        <v>557</v>
      </c>
      <c r="D144" s="7">
        <v>52.5</v>
      </c>
      <c r="E144">
        <v>52.461358927338111</v>
      </c>
      <c r="F144" s="7">
        <v>47.5</v>
      </c>
      <c r="G144" s="6">
        <v>41989</v>
      </c>
      <c r="H144" s="6">
        <v>22028</v>
      </c>
      <c r="I144" s="6">
        <v>19961</v>
      </c>
      <c r="J144" t="s">
        <v>200</v>
      </c>
    </row>
    <row r="145" spans="1:10" x14ac:dyDescent="0.35">
      <c r="A145" t="s">
        <v>1050</v>
      </c>
      <c r="B145" t="s">
        <v>558</v>
      </c>
      <c r="C145" t="s">
        <v>559</v>
      </c>
      <c r="D145" s="7">
        <v>52.4</v>
      </c>
      <c r="E145">
        <v>52.430690285949588</v>
      </c>
      <c r="F145" s="7">
        <v>47.6</v>
      </c>
      <c r="G145" s="6">
        <v>252562</v>
      </c>
      <c r="H145" s="6">
        <v>132420</v>
      </c>
      <c r="I145" s="6">
        <v>120142</v>
      </c>
      <c r="J145" t="s">
        <v>200</v>
      </c>
    </row>
    <row r="146" spans="1:10" x14ac:dyDescent="0.35">
      <c r="A146" t="s">
        <v>1050</v>
      </c>
      <c r="B146" t="s">
        <v>560</v>
      </c>
      <c r="C146" t="s">
        <v>561</v>
      </c>
      <c r="D146" s="7">
        <v>52.4</v>
      </c>
      <c r="E146">
        <v>52.377053654276523</v>
      </c>
      <c r="F146" s="7">
        <v>47.6</v>
      </c>
      <c r="G146" s="6">
        <v>54963</v>
      </c>
      <c r="H146" s="6">
        <v>28788</v>
      </c>
      <c r="I146" s="6">
        <v>26175</v>
      </c>
      <c r="J146" t="s">
        <v>200</v>
      </c>
    </row>
    <row r="147" spans="1:10" x14ac:dyDescent="0.35">
      <c r="A147" t="s">
        <v>1050</v>
      </c>
      <c r="B147" t="s">
        <v>562</v>
      </c>
      <c r="C147" t="s">
        <v>563</v>
      </c>
      <c r="D147" s="7">
        <v>52.4</v>
      </c>
      <c r="E147">
        <v>52.355487016217289</v>
      </c>
      <c r="F147" s="7">
        <v>47.6</v>
      </c>
      <c r="G147" s="6">
        <v>120612</v>
      </c>
      <c r="H147" s="6">
        <v>63147</v>
      </c>
      <c r="I147" s="6">
        <v>57465</v>
      </c>
      <c r="J147" t="s">
        <v>200</v>
      </c>
    </row>
    <row r="148" spans="1:10" x14ac:dyDescent="0.35">
      <c r="A148" t="s">
        <v>1050</v>
      </c>
      <c r="B148" t="s">
        <v>564</v>
      </c>
      <c r="C148" t="s">
        <v>565</v>
      </c>
      <c r="D148" s="7">
        <v>52.3</v>
      </c>
      <c r="E148">
        <v>52.322651056652447</v>
      </c>
      <c r="F148" s="7">
        <v>47.7</v>
      </c>
      <c r="G148" s="6">
        <v>50395</v>
      </c>
      <c r="H148" s="6">
        <v>26368</v>
      </c>
      <c r="I148" s="6">
        <v>24027</v>
      </c>
      <c r="J148" t="s">
        <v>200</v>
      </c>
    </row>
    <row r="149" spans="1:10" x14ac:dyDescent="0.35">
      <c r="A149" t="s">
        <v>1050</v>
      </c>
      <c r="B149" t="s">
        <v>566</v>
      </c>
      <c r="C149" t="s">
        <v>567</v>
      </c>
      <c r="D149" s="7">
        <v>52.3</v>
      </c>
      <c r="E149">
        <v>52.255978266378783</v>
      </c>
      <c r="F149" s="7">
        <v>47.7</v>
      </c>
      <c r="G149" s="6">
        <v>98649</v>
      </c>
      <c r="H149" s="6">
        <v>51550</v>
      </c>
      <c r="I149" s="6">
        <v>47099</v>
      </c>
      <c r="J149" t="s">
        <v>200</v>
      </c>
    </row>
    <row r="150" spans="1:10" x14ac:dyDescent="0.35">
      <c r="A150" t="s">
        <v>1050</v>
      </c>
      <c r="B150" t="s">
        <v>568</v>
      </c>
      <c r="C150" t="s">
        <v>569</v>
      </c>
      <c r="D150" s="7">
        <v>52.2</v>
      </c>
      <c r="E150">
        <v>52.180377579966738</v>
      </c>
      <c r="F150" s="7">
        <v>47.8</v>
      </c>
      <c r="G150" s="6">
        <v>51115</v>
      </c>
      <c r="H150" s="6">
        <v>26672</v>
      </c>
      <c r="I150" s="6">
        <v>24443</v>
      </c>
      <c r="J150" t="s">
        <v>200</v>
      </c>
    </row>
    <row r="151" spans="1:10" x14ac:dyDescent="0.35">
      <c r="A151" t="s">
        <v>1050</v>
      </c>
      <c r="B151" t="s">
        <v>570</v>
      </c>
      <c r="C151" t="s">
        <v>571</v>
      </c>
      <c r="D151" s="7">
        <v>52.2</v>
      </c>
      <c r="E151">
        <v>52.155796975852581</v>
      </c>
      <c r="F151" s="7">
        <v>47.8</v>
      </c>
      <c r="G151" s="6">
        <v>144239</v>
      </c>
      <c r="H151" s="6">
        <v>75229</v>
      </c>
      <c r="I151" s="6">
        <v>69010</v>
      </c>
      <c r="J151" t="s">
        <v>200</v>
      </c>
    </row>
    <row r="152" spans="1:10" x14ac:dyDescent="0.35">
      <c r="A152" t="s">
        <v>1050</v>
      </c>
      <c r="B152" t="s">
        <v>572</v>
      </c>
      <c r="C152" t="s">
        <v>573</v>
      </c>
      <c r="D152" s="7">
        <v>52.1</v>
      </c>
      <c r="E152">
        <v>52.138912290555091</v>
      </c>
      <c r="F152" s="7">
        <v>47.9</v>
      </c>
      <c r="G152" s="6">
        <v>53415</v>
      </c>
      <c r="H152" s="6">
        <v>27850</v>
      </c>
      <c r="I152" s="6">
        <v>25565</v>
      </c>
      <c r="J152" t="s">
        <v>200</v>
      </c>
    </row>
    <row r="153" spans="1:10" x14ac:dyDescent="0.35">
      <c r="A153" t="s">
        <v>1050</v>
      </c>
      <c r="B153" t="s">
        <v>574</v>
      </c>
      <c r="C153" t="s">
        <v>575</v>
      </c>
      <c r="D153" s="7">
        <v>52.1</v>
      </c>
      <c r="E153">
        <v>52.076705901065687</v>
      </c>
      <c r="F153" s="7">
        <v>47.9</v>
      </c>
      <c r="G153" s="6">
        <v>100592</v>
      </c>
      <c r="H153" s="6">
        <v>52385</v>
      </c>
      <c r="I153" s="6">
        <v>48207</v>
      </c>
      <c r="J153" t="s">
        <v>200</v>
      </c>
    </row>
    <row r="154" spans="1:10" x14ac:dyDescent="0.35">
      <c r="A154" t="s">
        <v>1050</v>
      </c>
      <c r="B154" t="s">
        <v>576</v>
      </c>
      <c r="C154" t="s">
        <v>577</v>
      </c>
      <c r="D154" s="7">
        <v>52.1</v>
      </c>
      <c r="E154">
        <v>52.07455136697579</v>
      </c>
      <c r="F154" s="7">
        <v>47.9</v>
      </c>
      <c r="G154" s="6">
        <v>166060</v>
      </c>
      <c r="H154" s="6">
        <v>86475</v>
      </c>
      <c r="I154" s="6">
        <v>79585</v>
      </c>
      <c r="J154" t="s">
        <v>200</v>
      </c>
    </row>
    <row r="155" spans="1:10" x14ac:dyDescent="0.35">
      <c r="A155" t="s">
        <v>1050</v>
      </c>
      <c r="B155" t="s">
        <v>578</v>
      </c>
      <c r="C155" t="s">
        <v>579</v>
      </c>
      <c r="D155" s="7">
        <v>52</v>
      </c>
      <c r="E155">
        <v>51.966084333921359</v>
      </c>
      <c r="F155" s="7">
        <v>48</v>
      </c>
      <c r="G155" s="6">
        <v>35146</v>
      </c>
      <c r="H155" s="6">
        <v>18264</v>
      </c>
      <c r="I155" s="6">
        <v>16882</v>
      </c>
      <c r="J155" t="s">
        <v>200</v>
      </c>
    </row>
    <row r="156" spans="1:10" x14ac:dyDescent="0.35">
      <c r="A156" t="s">
        <v>1050</v>
      </c>
      <c r="B156" t="s">
        <v>580</v>
      </c>
      <c r="C156" t="s">
        <v>581</v>
      </c>
      <c r="D156" s="7">
        <v>51.9</v>
      </c>
      <c r="E156">
        <v>51.898648648648653</v>
      </c>
      <c r="F156" s="7">
        <v>48.1</v>
      </c>
      <c r="G156" s="6">
        <v>103600</v>
      </c>
      <c r="H156" s="6">
        <v>53767</v>
      </c>
      <c r="I156" s="6">
        <v>49833</v>
      </c>
      <c r="J156" t="s">
        <v>200</v>
      </c>
    </row>
    <row r="157" spans="1:10" x14ac:dyDescent="0.35">
      <c r="A157" t="s">
        <v>1050</v>
      </c>
      <c r="B157" t="s">
        <v>582</v>
      </c>
      <c r="C157" t="s">
        <v>583</v>
      </c>
      <c r="D157" s="7">
        <v>51.9</v>
      </c>
      <c r="E157">
        <v>51.872215438434367</v>
      </c>
      <c r="F157" s="7">
        <v>48.1</v>
      </c>
      <c r="G157" s="6">
        <v>151505</v>
      </c>
      <c r="H157" s="6">
        <v>78589</v>
      </c>
      <c r="I157" s="6">
        <v>72916</v>
      </c>
      <c r="J157" t="s">
        <v>200</v>
      </c>
    </row>
    <row r="158" spans="1:10" x14ac:dyDescent="0.35">
      <c r="A158" t="s">
        <v>1050</v>
      </c>
      <c r="B158" t="s">
        <v>584</v>
      </c>
      <c r="C158" t="s">
        <v>585</v>
      </c>
      <c r="D158" s="7">
        <v>51.7</v>
      </c>
      <c r="E158">
        <v>51.670626390617343</v>
      </c>
      <c r="F158" s="7">
        <v>48.3</v>
      </c>
      <c r="G158" s="6">
        <v>636408</v>
      </c>
      <c r="H158" s="6">
        <v>328836</v>
      </c>
      <c r="I158" s="6">
        <v>307572</v>
      </c>
      <c r="J158" t="s">
        <v>200</v>
      </c>
    </row>
    <row r="159" spans="1:10" x14ac:dyDescent="0.35">
      <c r="A159" t="s">
        <v>1050</v>
      </c>
      <c r="B159" t="s">
        <v>586</v>
      </c>
      <c r="C159" t="s">
        <v>587</v>
      </c>
      <c r="D159" s="7">
        <v>51.7</v>
      </c>
      <c r="E159">
        <v>51.66716896353325</v>
      </c>
      <c r="F159" s="7">
        <v>48.3</v>
      </c>
      <c r="G159" s="6">
        <v>36499</v>
      </c>
      <c r="H159" s="6">
        <v>18858</v>
      </c>
      <c r="I159" s="6">
        <v>17641</v>
      </c>
      <c r="J159" t="s">
        <v>200</v>
      </c>
    </row>
    <row r="160" spans="1:10" x14ac:dyDescent="0.35">
      <c r="A160" t="s">
        <v>1050</v>
      </c>
      <c r="B160" t="s">
        <v>588</v>
      </c>
      <c r="C160" t="s">
        <v>589</v>
      </c>
      <c r="D160" s="7">
        <v>51.6</v>
      </c>
      <c r="E160">
        <v>51.577019116623688</v>
      </c>
      <c r="F160" s="7">
        <v>48.4</v>
      </c>
      <c r="G160" s="6">
        <v>97716</v>
      </c>
      <c r="H160" s="6">
        <v>50399</v>
      </c>
      <c r="I160" s="6">
        <v>47317</v>
      </c>
      <c r="J160" t="s">
        <v>200</v>
      </c>
    </row>
    <row r="161" spans="1:10" x14ac:dyDescent="0.35">
      <c r="A161" t="s">
        <v>1050</v>
      </c>
      <c r="B161" t="s">
        <v>590</v>
      </c>
      <c r="C161" t="s">
        <v>591</v>
      </c>
      <c r="D161" s="7">
        <v>51.6</v>
      </c>
      <c r="E161">
        <v>51.573043010307572</v>
      </c>
      <c r="F161" s="7">
        <v>48.4</v>
      </c>
      <c r="G161" s="6">
        <v>48314</v>
      </c>
      <c r="H161" s="6">
        <v>24917</v>
      </c>
      <c r="I161" s="6">
        <v>23397</v>
      </c>
      <c r="J161" t="s">
        <v>200</v>
      </c>
    </row>
    <row r="162" spans="1:10" x14ac:dyDescent="0.35">
      <c r="A162" t="s">
        <v>1050</v>
      </c>
      <c r="B162" t="s">
        <v>592</v>
      </c>
      <c r="C162" t="s">
        <v>593</v>
      </c>
      <c r="D162" s="7">
        <v>51.5</v>
      </c>
      <c r="E162">
        <v>51.514752643366059</v>
      </c>
      <c r="F162" s="7">
        <v>48.5</v>
      </c>
      <c r="G162" s="6">
        <v>531803</v>
      </c>
      <c r="H162" s="6">
        <v>273957</v>
      </c>
      <c r="I162" s="6">
        <v>257846</v>
      </c>
      <c r="J162" t="s">
        <v>200</v>
      </c>
    </row>
    <row r="163" spans="1:10" x14ac:dyDescent="0.35">
      <c r="A163" t="s">
        <v>1050</v>
      </c>
      <c r="B163" t="s">
        <v>594</v>
      </c>
      <c r="C163" t="s">
        <v>595</v>
      </c>
      <c r="D163" s="7">
        <v>51.5</v>
      </c>
      <c r="E163">
        <v>51.489681819658649</v>
      </c>
      <c r="F163" s="7">
        <v>48.5</v>
      </c>
      <c r="G163" s="6">
        <v>400119</v>
      </c>
      <c r="H163" s="6">
        <v>206020</v>
      </c>
      <c r="I163" s="6">
        <v>194099</v>
      </c>
      <c r="J163" t="s">
        <v>200</v>
      </c>
    </row>
    <row r="164" spans="1:10" x14ac:dyDescent="0.35">
      <c r="A164" t="s">
        <v>1050</v>
      </c>
      <c r="B164" t="s">
        <v>596</v>
      </c>
      <c r="C164" t="s">
        <v>597</v>
      </c>
      <c r="D164" s="7">
        <v>51.4</v>
      </c>
      <c r="E164">
        <v>51.379067099452989</v>
      </c>
      <c r="F164" s="7">
        <v>48.6</v>
      </c>
      <c r="G164" s="6">
        <v>398349</v>
      </c>
      <c r="H164" s="6">
        <v>204668</v>
      </c>
      <c r="I164" s="6">
        <v>193681</v>
      </c>
      <c r="J164" t="s">
        <v>200</v>
      </c>
    </row>
    <row r="165" spans="1:10" x14ac:dyDescent="0.35">
      <c r="A165" t="s">
        <v>1050</v>
      </c>
      <c r="B165" t="s">
        <v>598</v>
      </c>
      <c r="C165" t="s">
        <v>599</v>
      </c>
      <c r="D165" s="7">
        <v>51.3</v>
      </c>
      <c r="E165">
        <v>51.272629688499883</v>
      </c>
      <c r="F165" s="7">
        <v>48.7</v>
      </c>
      <c r="G165" s="6">
        <v>48443</v>
      </c>
      <c r="H165" s="6">
        <v>24838</v>
      </c>
      <c r="I165" s="6">
        <v>23605</v>
      </c>
      <c r="J165" t="s">
        <v>200</v>
      </c>
    </row>
    <row r="166" spans="1:10" x14ac:dyDescent="0.35">
      <c r="A166" t="s">
        <v>1050</v>
      </c>
      <c r="B166" t="s">
        <v>600</v>
      </c>
      <c r="C166" t="s">
        <v>601</v>
      </c>
      <c r="D166" s="7">
        <v>51.3</v>
      </c>
      <c r="E166">
        <v>51.260303320059549</v>
      </c>
      <c r="F166" s="7">
        <v>48.7</v>
      </c>
      <c r="G166" s="6">
        <v>330476</v>
      </c>
      <c r="H166" s="6">
        <v>169403</v>
      </c>
      <c r="I166" s="6">
        <v>161073</v>
      </c>
      <c r="J166" t="s">
        <v>200</v>
      </c>
    </row>
    <row r="167" spans="1:10" x14ac:dyDescent="0.35">
      <c r="A167" t="s">
        <v>1050</v>
      </c>
      <c r="B167" t="s">
        <v>602</v>
      </c>
      <c r="C167" t="s">
        <v>603</v>
      </c>
      <c r="D167" s="7">
        <v>51.2</v>
      </c>
      <c r="E167">
        <v>51.24306515441274</v>
      </c>
      <c r="F167" s="7">
        <v>48.8</v>
      </c>
      <c r="G167" s="6">
        <v>52813</v>
      </c>
      <c r="H167" s="6">
        <v>27063</v>
      </c>
      <c r="I167" s="6">
        <v>25750</v>
      </c>
      <c r="J167" t="s">
        <v>200</v>
      </c>
    </row>
    <row r="168" spans="1:10" x14ac:dyDescent="0.35">
      <c r="A168" t="s">
        <v>1050</v>
      </c>
      <c r="B168" t="s">
        <v>604</v>
      </c>
      <c r="C168" t="s">
        <v>605</v>
      </c>
      <c r="D168" s="7">
        <v>51.2</v>
      </c>
      <c r="E168">
        <v>51.168716886354893</v>
      </c>
      <c r="F168" s="7">
        <v>48.8</v>
      </c>
      <c r="G168" s="6">
        <v>54547</v>
      </c>
      <c r="H168" s="6">
        <v>27911</v>
      </c>
      <c r="I168" s="6">
        <v>26636</v>
      </c>
      <c r="J168" t="s">
        <v>200</v>
      </c>
    </row>
    <row r="169" spans="1:10" x14ac:dyDescent="0.35">
      <c r="A169" t="s">
        <v>1050</v>
      </c>
      <c r="B169" t="s">
        <v>606</v>
      </c>
      <c r="C169" t="s">
        <v>607</v>
      </c>
      <c r="D169" s="7">
        <v>51.1</v>
      </c>
      <c r="E169">
        <v>51.079578615727108</v>
      </c>
      <c r="F169" s="7">
        <v>48.9</v>
      </c>
      <c r="G169" s="6">
        <v>1338161</v>
      </c>
      <c r="H169" s="6">
        <v>683527</v>
      </c>
      <c r="I169" s="6">
        <v>654634</v>
      </c>
      <c r="J169" t="s">
        <v>200</v>
      </c>
    </row>
    <row r="170" spans="1:10" x14ac:dyDescent="0.35">
      <c r="A170" t="s">
        <v>1050</v>
      </c>
      <c r="B170" t="s">
        <v>608</v>
      </c>
      <c r="C170" t="s">
        <v>609</v>
      </c>
      <c r="D170" s="7">
        <v>51</v>
      </c>
      <c r="E170">
        <v>50.988305909137949</v>
      </c>
      <c r="F170" s="7">
        <v>49</v>
      </c>
      <c r="G170" s="6">
        <v>48315</v>
      </c>
      <c r="H170" s="6">
        <v>24635</v>
      </c>
      <c r="I170" s="6">
        <v>23680</v>
      </c>
      <c r="J170" t="s">
        <v>200</v>
      </c>
    </row>
    <row r="171" spans="1:10" x14ac:dyDescent="0.35">
      <c r="A171" t="s">
        <v>1050</v>
      </c>
      <c r="B171" t="s">
        <v>610</v>
      </c>
      <c r="C171" t="s">
        <v>611</v>
      </c>
      <c r="D171" s="7">
        <v>51</v>
      </c>
      <c r="E171">
        <v>50.962731456033168</v>
      </c>
      <c r="F171" s="7">
        <v>49</v>
      </c>
      <c r="G171" s="6">
        <v>127346</v>
      </c>
      <c r="H171" s="6">
        <v>64899</v>
      </c>
      <c r="I171" s="6">
        <v>62447</v>
      </c>
      <c r="J171" t="s">
        <v>200</v>
      </c>
    </row>
    <row r="172" spans="1:10" x14ac:dyDescent="0.35">
      <c r="A172" t="s">
        <v>1050</v>
      </c>
      <c r="B172" t="s">
        <v>612</v>
      </c>
      <c r="C172" t="s">
        <v>613</v>
      </c>
      <c r="D172" s="7">
        <v>50.9</v>
      </c>
      <c r="E172">
        <v>50.946095707569022</v>
      </c>
      <c r="F172" s="7">
        <v>49.1</v>
      </c>
      <c r="G172" s="6">
        <v>390711</v>
      </c>
      <c r="H172" s="6">
        <v>199052</v>
      </c>
      <c r="I172" s="6">
        <v>191659</v>
      </c>
      <c r="J172" t="s">
        <v>200</v>
      </c>
    </row>
    <row r="173" spans="1:10" x14ac:dyDescent="0.35">
      <c r="A173" t="s">
        <v>1050</v>
      </c>
      <c r="B173" t="s">
        <v>614</v>
      </c>
      <c r="C173" t="s">
        <v>615</v>
      </c>
      <c r="D173" s="7">
        <v>50.9</v>
      </c>
      <c r="E173">
        <v>50.904738244726502</v>
      </c>
      <c r="F173" s="7">
        <v>49.1</v>
      </c>
      <c r="G173" s="6">
        <v>221390</v>
      </c>
      <c r="H173" s="6">
        <v>112698</v>
      </c>
      <c r="I173" s="6">
        <v>108692</v>
      </c>
      <c r="J173" t="s">
        <v>200</v>
      </c>
    </row>
    <row r="174" spans="1:10" x14ac:dyDescent="0.35">
      <c r="A174" t="s">
        <v>1050</v>
      </c>
      <c r="B174" t="s">
        <v>616</v>
      </c>
      <c r="C174" t="s">
        <v>617</v>
      </c>
      <c r="D174" s="7">
        <v>50.9</v>
      </c>
      <c r="E174">
        <v>50.854047876371133</v>
      </c>
      <c r="F174" s="7">
        <v>49.1</v>
      </c>
      <c r="G174" s="6">
        <v>160998</v>
      </c>
      <c r="H174" s="6">
        <v>81874</v>
      </c>
      <c r="I174" s="6">
        <v>79124</v>
      </c>
      <c r="J174" t="s">
        <v>200</v>
      </c>
    </row>
    <row r="175" spans="1:10" x14ac:dyDescent="0.35">
      <c r="A175" t="s">
        <v>1050</v>
      </c>
      <c r="B175" t="s">
        <v>618</v>
      </c>
      <c r="C175" t="s">
        <v>619</v>
      </c>
      <c r="D175" s="7">
        <v>50.8</v>
      </c>
      <c r="E175">
        <v>50.839653708035939</v>
      </c>
      <c r="F175" s="7">
        <v>49.2</v>
      </c>
      <c r="G175" s="6">
        <v>134222</v>
      </c>
      <c r="H175" s="6">
        <v>68238</v>
      </c>
      <c r="I175" s="6">
        <v>65984</v>
      </c>
      <c r="J175" t="s">
        <v>200</v>
      </c>
    </row>
    <row r="176" spans="1:10" x14ac:dyDescent="0.35">
      <c r="A176" t="s">
        <v>1050</v>
      </c>
      <c r="B176" t="s">
        <v>620</v>
      </c>
      <c r="C176" t="s">
        <v>621</v>
      </c>
      <c r="D176" s="7">
        <v>50.7</v>
      </c>
      <c r="E176">
        <v>50.662740504196293</v>
      </c>
      <c r="F176" s="7">
        <v>49.3</v>
      </c>
      <c r="G176" s="6">
        <v>124634</v>
      </c>
      <c r="H176" s="6">
        <v>63143</v>
      </c>
      <c r="I176" s="6">
        <v>61491</v>
      </c>
      <c r="J176" t="s">
        <v>200</v>
      </c>
    </row>
    <row r="177" spans="1:10" x14ac:dyDescent="0.35">
      <c r="A177" t="s">
        <v>1050</v>
      </c>
      <c r="B177" t="s">
        <v>622</v>
      </c>
      <c r="C177" t="s">
        <v>623</v>
      </c>
      <c r="D177" s="7">
        <v>50.6</v>
      </c>
      <c r="E177">
        <v>50.584360054476917</v>
      </c>
      <c r="F177" s="7">
        <v>49.4</v>
      </c>
      <c r="G177" s="6">
        <v>31573</v>
      </c>
      <c r="H177" s="6">
        <v>15971</v>
      </c>
      <c r="I177" s="6">
        <v>15602</v>
      </c>
      <c r="J177" t="s">
        <v>200</v>
      </c>
    </row>
    <row r="178" spans="1:10" x14ac:dyDescent="0.35">
      <c r="A178" t="s">
        <v>1050</v>
      </c>
      <c r="B178" t="s">
        <v>624</v>
      </c>
      <c r="C178" t="s">
        <v>625</v>
      </c>
      <c r="D178" s="7">
        <v>50.6</v>
      </c>
      <c r="E178">
        <v>50.554433195623552</v>
      </c>
      <c r="F178" s="7">
        <v>49.4</v>
      </c>
      <c r="G178" s="6">
        <v>528648</v>
      </c>
      <c r="H178" s="6">
        <v>267255</v>
      </c>
      <c r="I178" s="6">
        <v>261393</v>
      </c>
      <c r="J178" t="s">
        <v>200</v>
      </c>
    </row>
    <row r="179" spans="1:10" x14ac:dyDescent="0.35">
      <c r="A179" t="s">
        <v>1050</v>
      </c>
      <c r="B179" t="s">
        <v>626</v>
      </c>
      <c r="C179" t="s">
        <v>627</v>
      </c>
      <c r="D179" s="7">
        <v>50.5</v>
      </c>
      <c r="E179">
        <v>50.502414677712203</v>
      </c>
      <c r="F179" s="7">
        <v>49.5</v>
      </c>
      <c r="G179" s="6">
        <v>272086</v>
      </c>
      <c r="H179" s="6">
        <v>137410</v>
      </c>
      <c r="I179" s="6">
        <v>134676</v>
      </c>
      <c r="J179" t="s">
        <v>200</v>
      </c>
    </row>
    <row r="180" spans="1:10" x14ac:dyDescent="0.35">
      <c r="A180" t="s">
        <v>1050</v>
      </c>
      <c r="B180" t="s">
        <v>628</v>
      </c>
      <c r="C180" t="s">
        <v>629</v>
      </c>
      <c r="D180" s="7">
        <v>50.5</v>
      </c>
      <c r="E180">
        <v>50.452633201911851</v>
      </c>
      <c r="F180" s="7">
        <v>49.5</v>
      </c>
      <c r="G180" s="6">
        <v>45401</v>
      </c>
      <c r="H180" s="6">
        <v>22906</v>
      </c>
      <c r="I180" s="6">
        <v>22495</v>
      </c>
      <c r="J180" t="s">
        <v>200</v>
      </c>
    </row>
    <row r="181" spans="1:10" x14ac:dyDescent="0.35">
      <c r="A181" t="s">
        <v>1050</v>
      </c>
      <c r="B181" t="s">
        <v>630</v>
      </c>
      <c r="C181" t="s">
        <v>631</v>
      </c>
      <c r="D181" s="7">
        <v>50.4</v>
      </c>
      <c r="E181">
        <v>50.446251597725208</v>
      </c>
      <c r="F181" s="7">
        <v>49.6</v>
      </c>
      <c r="G181" s="6">
        <v>809745</v>
      </c>
      <c r="H181" s="6">
        <v>408486</v>
      </c>
      <c r="I181" s="6">
        <v>401259</v>
      </c>
      <c r="J181" t="s">
        <v>200</v>
      </c>
    </row>
    <row r="182" spans="1:10" x14ac:dyDescent="0.35">
      <c r="A182" t="s">
        <v>1050</v>
      </c>
      <c r="B182" t="s">
        <v>632</v>
      </c>
      <c r="C182" t="s">
        <v>633</v>
      </c>
      <c r="D182" s="7">
        <v>50.4</v>
      </c>
      <c r="E182">
        <v>50.437183617119189</v>
      </c>
      <c r="F182" s="7">
        <v>49.6</v>
      </c>
      <c r="G182" s="6">
        <v>32595</v>
      </c>
      <c r="H182" s="6">
        <v>16440</v>
      </c>
      <c r="I182" s="6">
        <v>16155</v>
      </c>
      <c r="J182" t="s">
        <v>200</v>
      </c>
    </row>
    <row r="183" spans="1:10" x14ac:dyDescent="0.35">
      <c r="A183" t="s">
        <v>1050</v>
      </c>
      <c r="B183" t="s">
        <v>634</v>
      </c>
      <c r="C183" t="s">
        <v>635</v>
      </c>
      <c r="D183" s="7">
        <v>50.3</v>
      </c>
      <c r="E183">
        <v>50.304038224890462</v>
      </c>
      <c r="F183" s="7">
        <v>49.7</v>
      </c>
      <c r="G183" s="6">
        <v>194219</v>
      </c>
      <c r="H183" s="6">
        <v>97700</v>
      </c>
      <c r="I183" s="6">
        <v>96519</v>
      </c>
      <c r="J183" t="s">
        <v>200</v>
      </c>
    </row>
    <row r="184" spans="1:10" x14ac:dyDescent="0.35">
      <c r="A184" t="s">
        <v>1050</v>
      </c>
      <c r="B184" t="s">
        <v>636</v>
      </c>
      <c r="C184" t="s">
        <v>637</v>
      </c>
      <c r="D184" s="7">
        <v>50.3</v>
      </c>
      <c r="E184">
        <v>50.280754384220693</v>
      </c>
      <c r="F184" s="7">
        <v>49.7</v>
      </c>
      <c r="G184" s="6">
        <v>231341</v>
      </c>
      <c r="H184" s="6">
        <v>116320</v>
      </c>
      <c r="I184" s="6">
        <v>115021</v>
      </c>
      <c r="J184" t="s">
        <v>200</v>
      </c>
    </row>
    <row r="185" spans="1:10" x14ac:dyDescent="0.35">
      <c r="A185" t="s">
        <v>1050</v>
      </c>
      <c r="B185" t="s">
        <v>638</v>
      </c>
      <c r="C185" t="s">
        <v>639</v>
      </c>
      <c r="D185" s="7">
        <v>50.2</v>
      </c>
      <c r="E185">
        <v>50.238581511892193</v>
      </c>
      <c r="F185" s="7">
        <v>49.8</v>
      </c>
      <c r="G185" s="6">
        <v>1084535</v>
      </c>
      <c r="H185" s="6">
        <v>544855</v>
      </c>
      <c r="I185" s="6">
        <v>539680</v>
      </c>
      <c r="J185" t="s">
        <v>200</v>
      </c>
    </row>
    <row r="186" spans="1:10" x14ac:dyDescent="0.35">
      <c r="A186" t="s">
        <v>1050</v>
      </c>
      <c r="B186" t="s">
        <v>640</v>
      </c>
      <c r="C186" t="s">
        <v>641</v>
      </c>
      <c r="D186" s="7">
        <v>50.2</v>
      </c>
      <c r="E186">
        <v>50.233457119899242</v>
      </c>
      <c r="F186" s="7">
        <v>49.8</v>
      </c>
      <c r="G186" s="6">
        <v>184188</v>
      </c>
      <c r="H186" s="6">
        <v>92524</v>
      </c>
      <c r="I186" s="6">
        <v>91664</v>
      </c>
      <c r="J186" t="s">
        <v>200</v>
      </c>
    </row>
    <row r="187" spans="1:10" x14ac:dyDescent="0.35">
      <c r="A187" t="s">
        <v>1050</v>
      </c>
      <c r="B187" t="s">
        <v>642</v>
      </c>
      <c r="C187" t="s">
        <v>643</v>
      </c>
      <c r="D187" s="7">
        <v>50.2</v>
      </c>
      <c r="E187">
        <v>50.220195551196873</v>
      </c>
      <c r="F187" s="7">
        <v>49.8</v>
      </c>
      <c r="G187" s="6">
        <v>8206342</v>
      </c>
      <c r="H187" s="6">
        <v>4121241</v>
      </c>
      <c r="I187" s="6">
        <v>4085101</v>
      </c>
      <c r="J187" t="s">
        <v>200</v>
      </c>
    </row>
    <row r="188" spans="1:10" x14ac:dyDescent="0.35">
      <c r="A188" t="s">
        <v>1050</v>
      </c>
      <c r="B188" t="s">
        <v>644</v>
      </c>
      <c r="C188" t="s">
        <v>645</v>
      </c>
      <c r="D188" s="7">
        <v>50.1</v>
      </c>
      <c r="E188">
        <v>50.146230116270779</v>
      </c>
      <c r="F188" s="7">
        <v>49.9</v>
      </c>
      <c r="G188" s="6">
        <v>42057</v>
      </c>
      <c r="H188" s="6">
        <v>21090</v>
      </c>
      <c r="I188" s="6">
        <v>20967</v>
      </c>
      <c r="J188" t="s">
        <v>200</v>
      </c>
    </row>
    <row r="189" spans="1:10" x14ac:dyDescent="0.35">
      <c r="A189" t="s">
        <v>1050</v>
      </c>
      <c r="B189" t="s">
        <v>646</v>
      </c>
      <c r="C189" t="s">
        <v>647</v>
      </c>
      <c r="D189" s="7">
        <v>50</v>
      </c>
      <c r="E189">
        <v>49.990258728179548</v>
      </c>
      <c r="F189" s="7">
        <v>50</v>
      </c>
      <c r="G189" s="6">
        <v>51328</v>
      </c>
      <c r="H189" s="6">
        <v>25659</v>
      </c>
      <c r="I189" s="6">
        <v>25669</v>
      </c>
      <c r="J189" t="s">
        <v>200</v>
      </c>
    </row>
    <row r="190" spans="1:10" x14ac:dyDescent="0.35">
      <c r="A190" t="s">
        <v>1050</v>
      </c>
      <c r="B190" t="s">
        <v>648</v>
      </c>
      <c r="C190" t="s">
        <v>649</v>
      </c>
      <c r="D190" s="7">
        <v>49.9</v>
      </c>
      <c r="E190">
        <v>49.939760422981593</v>
      </c>
      <c r="F190" s="7">
        <v>50.1</v>
      </c>
      <c r="G190" s="6">
        <v>260626</v>
      </c>
      <c r="H190" s="6">
        <v>130156</v>
      </c>
      <c r="I190" s="6">
        <v>130470</v>
      </c>
      <c r="J190" t="s">
        <v>200</v>
      </c>
    </row>
    <row r="191" spans="1:10" x14ac:dyDescent="0.35">
      <c r="A191" t="s">
        <v>1050</v>
      </c>
      <c r="B191" t="s">
        <v>650</v>
      </c>
      <c r="C191" t="s">
        <v>651</v>
      </c>
      <c r="D191" s="7">
        <v>49.9</v>
      </c>
      <c r="E191">
        <v>49.917809760744007</v>
      </c>
      <c r="F191" s="7">
        <v>50.1</v>
      </c>
      <c r="G191" s="6">
        <v>248813</v>
      </c>
      <c r="H191" s="6">
        <v>124202</v>
      </c>
      <c r="I191" s="6">
        <v>124611</v>
      </c>
      <c r="J191" t="s">
        <v>200</v>
      </c>
    </row>
    <row r="192" spans="1:10" x14ac:dyDescent="0.35">
      <c r="A192" t="s">
        <v>1050</v>
      </c>
      <c r="B192" t="s">
        <v>652</v>
      </c>
      <c r="C192" t="s">
        <v>653</v>
      </c>
      <c r="D192" s="7">
        <v>49.9</v>
      </c>
      <c r="E192">
        <v>49.905784621618878</v>
      </c>
      <c r="F192" s="7">
        <v>50.1</v>
      </c>
      <c r="G192" s="6">
        <v>49355</v>
      </c>
      <c r="H192" s="6">
        <v>24631</v>
      </c>
      <c r="I192" s="6">
        <v>24724</v>
      </c>
      <c r="J192" t="s">
        <v>200</v>
      </c>
    </row>
    <row r="193" spans="1:10" x14ac:dyDescent="0.35">
      <c r="A193" t="s">
        <v>1050</v>
      </c>
      <c r="B193" t="s">
        <v>654</v>
      </c>
      <c r="C193" t="s">
        <v>655</v>
      </c>
      <c r="D193" s="7">
        <v>49.8</v>
      </c>
      <c r="E193">
        <v>49.818057833506749</v>
      </c>
      <c r="F193" s="7">
        <v>50.2</v>
      </c>
      <c r="G193" s="6">
        <v>340218</v>
      </c>
      <c r="H193" s="6">
        <v>169490</v>
      </c>
      <c r="I193" s="6">
        <v>170728</v>
      </c>
      <c r="J193" t="s">
        <v>200</v>
      </c>
    </row>
    <row r="194" spans="1:10" x14ac:dyDescent="0.35">
      <c r="A194" t="s">
        <v>1050</v>
      </c>
      <c r="B194" t="s">
        <v>656</v>
      </c>
      <c r="C194" t="s">
        <v>657</v>
      </c>
      <c r="D194" s="7">
        <v>49.8</v>
      </c>
      <c r="E194">
        <v>49.801024323215017</v>
      </c>
      <c r="F194" s="7">
        <v>50.2</v>
      </c>
      <c r="G194" s="6">
        <v>112074</v>
      </c>
      <c r="H194" s="6">
        <v>55814</v>
      </c>
      <c r="I194" s="6">
        <v>56260</v>
      </c>
      <c r="J194" t="s">
        <v>200</v>
      </c>
    </row>
    <row r="195" spans="1:10" x14ac:dyDescent="0.35">
      <c r="A195" t="s">
        <v>1050</v>
      </c>
      <c r="B195" t="s">
        <v>658</v>
      </c>
      <c r="C195" t="s">
        <v>659</v>
      </c>
      <c r="D195" s="7">
        <v>49.8</v>
      </c>
      <c r="E195">
        <v>49.779504242752303</v>
      </c>
      <c r="F195" s="7">
        <v>50.2</v>
      </c>
      <c r="G195" s="6">
        <v>62813</v>
      </c>
      <c r="H195" s="6">
        <v>31268</v>
      </c>
      <c r="I195" s="6">
        <v>31545</v>
      </c>
      <c r="J195" t="s">
        <v>200</v>
      </c>
    </row>
    <row r="196" spans="1:10" x14ac:dyDescent="0.35">
      <c r="A196" t="s">
        <v>1050</v>
      </c>
      <c r="B196" t="s">
        <v>660</v>
      </c>
      <c r="C196" t="s">
        <v>661</v>
      </c>
      <c r="D196" s="7">
        <v>49.7</v>
      </c>
      <c r="E196">
        <v>49.747102146316607</v>
      </c>
      <c r="F196" s="7">
        <v>50.3</v>
      </c>
      <c r="G196" s="6">
        <v>475093</v>
      </c>
      <c r="H196" s="6">
        <v>236345</v>
      </c>
      <c r="I196" s="6">
        <v>238748</v>
      </c>
      <c r="J196" t="s">
        <v>200</v>
      </c>
    </row>
    <row r="197" spans="1:10" x14ac:dyDescent="0.35">
      <c r="A197" t="s">
        <v>1050</v>
      </c>
      <c r="B197" t="s">
        <v>662</v>
      </c>
      <c r="C197" t="s">
        <v>663</v>
      </c>
      <c r="D197" s="7">
        <v>49.7</v>
      </c>
      <c r="E197">
        <v>49.714657441083418</v>
      </c>
      <c r="F197" s="7">
        <v>50.3</v>
      </c>
      <c r="G197" s="6">
        <v>33819</v>
      </c>
      <c r="H197" s="6">
        <v>16813</v>
      </c>
      <c r="I197" s="6">
        <v>17006</v>
      </c>
      <c r="J197" t="s">
        <v>200</v>
      </c>
    </row>
    <row r="198" spans="1:10" x14ac:dyDescent="0.35">
      <c r="A198" t="s">
        <v>1050</v>
      </c>
      <c r="B198" t="s">
        <v>664</v>
      </c>
      <c r="C198" t="s">
        <v>665</v>
      </c>
      <c r="D198" s="7">
        <v>49.6</v>
      </c>
      <c r="E198">
        <v>49.610178241733237</v>
      </c>
      <c r="F198" s="7">
        <v>50.4</v>
      </c>
      <c r="G198" s="6">
        <v>114283</v>
      </c>
      <c r="H198" s="6">
        <v>56696</v>
      </c>
      <c r="I198" s="6">
        <v>57587</v>
      </c>
      <c r="J198" t="s">
        <v>200</v>
      </c>
    </row>
    <row r="199" spans="1:10" x14ac:dyDescent="0.35">
      <c r="A199" t="s">
        <v>1050</v>
      </c>
      <c r="B199" t="s">
        <v>666</v>
      </c>
      <c r="C199" t="s">
        <v>667</v>
      </c>
      <c r="D199" s="7">
        <v>49.6</v>
      </c>
      <c r="E199">
        <v>49.608301732555233</v>
      </c>
      <c r="F199" s="7">
        <v>50.4</v>
      </c>
      <c r="G199" s="6">
        <v>44039</v>
      </c>
      <c r="H199" s="6">
        <v>21847</v>
      </c>
      <c r="I199" s="6">
        <v>22192</v>
      </c>
      <c r="J199" t="s">
        <v>200</v>
      </c>
    </row>
    <row r="200" spans="1:10" x14ac:dyDescent="0.35">
      <c r="A200" t="s">
        <v>1050</v>
      </c>
      <c r="B200" t="s">
        <v>668</v>
      </c>
      <c r="C200" t="s">
        <v>669</v>
      </c>
      <c r="D200" s="7">
        <v>49.6</v>
      </c>
      <c r="E200">
        <v>49.564451771229457</v>
      </c>
      <c r="F200" s="7">
        <v>50.4</v>
      </c>
      <c r="G200" s="6">
        <v>106762</v>
      </c>
      <c r="H200" s="6">
        <v>52916</v>
      </c>
      <c r="I200" s="6">
        <v>53846</v>
      </c>
      <c r="J200" t="s">
        <v>200</v>
      </c>
    </row>
    <row r="201" spans="1:10" x14ac:dyDescent="0.35">
      <c r="A201" t="s">
        <v>1050</v>
      </c>
      <c r="B201" t="s">
        <v>670</v>
      </c>
      <c r="C201" t="s">
        <v>671</v>
      </c>
      <c r="D201" s="7">
        <v>49.6</v>
      </c>
      <c r="E201">
        <v>49.553804838633013</v>
      </c>
      <c r="F201" s="7">
        <v>50.4</v>
      </c>
      <c r="G201" s="6">
        <v>168312</v>
      </c>
      <c r="H201" s="6">
        <v>83405</v>
      </c>
      <c r="I201" s="6">
        <v>84907</v>
      </c>
      <c r="J201" t="s">
        <v>200</v>
      </c>
    </row>
    <row r="202" spans="1:10" x14ac:dyDescent="0.35">
      <c r="A202" t="s">
        <v>1050</v>
      </c>
      <c r="B202" t="s">
        <v>672</v>
      </c>
      <c r="C202" t="s">
        <v>673</v>
      </c>
      <c r="D202" s="7">
        <v>49.4</v>
      </c>
      <c r="E202">
        <v>49.378063725490193</v>
      </c>
      <c r="F202" s="7">
        <v>50.6</v>
      </c>
      <c r="G202" s="6">
        <v>32640</v>
      </c>
      <c r="H202" s="6">
        <v>16117</v>
      </c>
      <c r="I202" s="6">
        <v>16523</v>
      </c>
      <c r="J202" t="s">
        <v>200</v>
      </c>
    </row>
    <row r="203" spans="1:10" x14ac:dyDescent="0.35">
      <c r="A203" t="s">
        <v>1050</v>
      </c>
      <c r="B203" t="s">
        <v>674</v>
      </c>
      <c r="C203" t="s">
        <v>675</v>
      </c>
      <c r="D203" s="7">
        <v>49.4</v>
      </c>
      <c r="E203">
        <v>49.371038689715363</v>
      </c>
      <c r="F203" s="7">
        <v>50.6</v>
      </c>
      <c r="G203" s="6">
        <v>113441</v>
      </c>
      <c r="H203" s="6">
        <v>56007</v>
      </c>
      <c r="I203" s="6">
        <v>57434</v>
      </c>
      <c r="J203" t="s">
        <v>200</v>
      </c>
    </row>
    <row r="204" spans="1:10" x14ac:dyDescent="0.35">
      <c r="A204" t="s">
        <v>1050</v>
      </c>
      <c r="B204" t="s">
        <v>676</v>
      </c>
      <c r="C204" t="s">
        <v>677</v>
      </c>
      <c r="D204" s="7">
        <v>49.3</v>
      </c>
      <c r="E204">
        <v>49.315047630651137</v>
      </c>
      <c r="F204" s="7">
        <v>50.7</v>
      </c>
      <c r="G204" s="6">
        <v>131323</v>
      </c>
      <c r="H204" s="6">
        <v>64762</v>
      </c>
      <c r="I204" s="6">
        <v>66561</v>
      </c>
      <c r="J204" t="s">
        <v>200</v>
      </c>
    </row>
    <row r="205" spans="1:10" x14ac:dyDescent="0.35">
      <c r="A205" t="s">
        <v>1050</v>
      </c>
      <c r="B205" t="s">
        <v>678</v>
      </c>
      <c r="C205" t="s">
        <v>679</v>
      </c>
      <c r="D205" s="7">
        <v>49.2</v>
      </c>
      <c r="E205">
        <v>49.194049937297997</v>
      </c>
      <c r="F205" s="7">
        <v>50.8</v>
      </c>
      <c r="G205" s="6">
        <v>98083</v>
      </c>
      <c r="H205" s="6">
        <v>48251</v>
      </c>
      <c r="I205" s="6">
        <v>49832</v>
      </c>
      <c r="J205" t="s">
        <v>200</v>
      </c>
    </row>
    <row r="206" spans="1:10" x14ac:dyDescent="0.35">
      <c r="A206" t="s">
        <v>1050</v>
      </c>
      <c r="B206" t="s">
        <v>680</v>
      </c>
      <c r="C206" t="s">
        <v>681</v>
      </c>
      <c r="D206" s="7">
        <v>49.2</v>
      </c>
      <c r="E206">
        <v>49.1881291672114</v>
      </c>
      <c r="F206" s="7">
        <v>50.8</v>
      </c>
      <c r="G206" s="6">
        <v>114735</v>
      </c>
      <c r="H206" s="6">
        <v>56436</v>
      </c>
      <c r="I206" s="6">
        <v>58299</v>
      </c>
      <c r="J206" t="s">
        <v>200</v>
      </c>
    </row>
    <row r="207" spans="1:10" x14ac:dyDescent="0.35">
      <c r="A207" t="s">
        <v>1050</v>
      </c>
      <c r="B207" t="s">
        <v>682</v>
      </c>
      <c r="C207" t="s">
        <v>683</v>
      </c>
      <c r="D207" s="7">
        <v>49.1</v>
      </c>
      <c r="E207">
        <v>49.1439150209684</v>
      </c>
      <c r="F207" s="7">
        <v>50.9</v>
      </c>
      <c r="G207" s="6">
        <v>2775367</v>
      </c>
      <c r="H207" s="6">
        <v>1363924</v>
      </c>
      <c r="I207" s="6">
        <v>1411443</v>
      </c>
      <c r="J207" t="s">
        <v>200</v>
      </c>
    </row>
    <row r="208" spans="1:10" x14ac:dyDescent="0.35">
      <c r="A208" t="s">
        <v>1050</v>
      </c>
      <c r="B208" t="s">
        <v>684</v>
      </c>
      <c r="C208" t="s">
        <v>685</v>
      </c>
      <c r="D208" s="7">
        <v>49.1</v>
      </c>
      <c r="E208">
        <v>49.104949508498287</v>
      </c>
      <c r="F208" s="7">
        <v>50.9</v>
      </c>
      <c r="G208" s="6">
        <v>260935</v>
      </c>
      <c r="H208" s="6">
        <v>128132</v>
      </c>
      <c r="I208" s="6">
        <v>132803</v>
      </c>
      <c r="J208" t="s">
        <v>200</v>
      </c>
    </row>
    <row r="209" spans="1:10" x14ac:dyDescent="0.35">
      <c r="A209" t="s">
        <v>1050</v>
      </c>
      <c r="B209" t="s">
        <v>686</v>
      </c>
      <c r="C209" t="s">
        <v>687</v>
      </c>
      <c r="D209" s="7">
        <v>49.1</v>
      </c>
      <c r="E209">
        <v>49.095557230449572</v>
      </c>
      <c r="F209" s="7">
        <v>50.9</v>
      </c>
      <c r="G209" s="6">
        <v>98182</v>
      </c>
      <c r="H209" s="6">
        <v>48203</v>
      </c>
      <c r="I209" s="6">
        <v>49979</v>
      </c>
      <c r="J209" t="s">
        <v>200</v>
      </c>
    </row>
    <row r="210" spans="1:10" x14ac:dyDescent="0.35">
      <c r="A210" t="s">
        <v>1050</v>
      </c>
      <c r="B210" t="s">
        <v>688</v>
      </c>
      <c r="C210" t="s">
        <v>689</v>
      </c>
      <c r="D210" s="7">
        <v>48.9</v>
      </c>
      <c r="E210">
        <v>48.927955709880287</v>
      </c>
      <c r="F210" s="7">
        <v>51.1</v>
      </c>
      <c r="G210" s="6">
        <v>41183</v>
      </c>
      <c r="H210" s="6">
        <v>20150</v>
      </c>
      <c r="I210" s="6">
        <v>21033</v>
      </c>
      <c r="J210" t="s">
        <v>200</v>
      </c>
    </row>
    <row r="211" spans="1:10" x14ac:dyDescent="0.35">
      <c r="A211" t="s">
        <v>1050</v>
      </c>
      <c r="B211" t="s">
        <v>690</v>
      </c>
      <c r="C211" t="s">
        <v>691</v>
      </c>
      <c r="D211" s="7">
        <v>48.9</v>
      </c>
      <c r="E211">
        <v>48.91897503779694</v>
      </c>
      <c r="F211" s="7">
        <v>51.1</v>
      </c>
      <c r="G211" s="6">
        <v>308226</v>
      </c>
      <c r="H211" s="6">
        <v>150781</v>
      </c>
      <c r="I211" s="6">
        <v>157445</v>
      </c>
      <c r="J211" t="s">
        <v>200</v>
      </c>
    </row>
    <row r="212" spans="1:10" x14ac:dyDescent="0.35">
      <c r="A212" t="s">
        <v>1050</v>
      </c>
      <c r="B212" t="s">
        <v>692</v>
      </c>
      <c r="C212" t="s">
        <v>693</v>
      </c>
      <c r="D212" s="7">
        <v>48.9</v>
      </c>
      <c r="E212">
        <v>48.896267888878498</v>
      </c>
      <c r="F212" s="7">
        <v>51.1</v>
      </c>
      <c r="G212" s="6">
        <v>21382</v>
      </c>
      <c r="H212" s="6">
        <v>10455</v>
      </c>
      <c r="I212" s="6">
        <v>10927</v>
      </c>
      <c r="J212" t="s">
        <v>200</v>
      </c>
    </row>
    <row r="213" spans="1:10" x14ac:dyDescent="0.35">
      <c r="A213" t="s">
        <v>1050</v>
      </c>
      <c r="B213" t="s">
        <v>694</v>
      </c>
      <c r="C213" t="s">
        <v>695</v>
      </c>
      <c r="D213" s="7">
        <v>48.8</v>
      </c>
      <c r="E213">
        <v>48.806026722259077</v>
      </c>
      <c r="F213" s="7">
        <v>51.2</v>
      </c>
      <c r="G213" s="6">
        <v>84424</v>
      </c>
      <c r="H213" s="6">
        <v>41204</v>
      </c>
      <c r="I213" s="6">
        <v>43220</v>
      </c>
      <c r="J213" t="s">
        <v>200</v>
      </c>
    </row>
    <row r="214" spans="1:10" x14ac:dyDescent="0.35">
      <c r="A214" t="s">
        <v>1050</v>
      </c>
      <c r="B214" t="s">
        <v>696</v>
      </c>
      <c r="C214" t="s">
        <v>697</v>
      </c>
      <c r="D214" s="7">
        <v>48.8</v>
      </c>
      <c r="E214">
        <v>48.785843451304572</v>
      </c>
      <c r="F214" s="7">
        <v>51.2</v>
      </c>
      <c r="G214" s="6">
        <v>154840</v>
      </c>
      <c r="H214" s="6">
        <v>75540</v>
      </c>
      <c r="I214" s="6">
        <v>79300</v>
      </c>
      <c r="J214" t="s">
        <v>200</v>
      </c>
    </row>
    <row r="215" spans="1:10" x14ac:dyDescent="0.35">
      <c r="A215" t="s">
        <v>1050</v>
      </c>
      <c r="B215" t="s">
        <v>698</v>
      </c>
      <c r="C215" t="s">
        <v>699</v>
      </c>
      <c r="D215" s="7">
        <v>48.7</v>
      </c>
      <c r="E215">
        <v>48.749706538449573</v>
      </c>
      <c r="F215" s="7">
        <v>51.3</v>
      </c>
      <c r="G215" s="6">
        <v>1188401</v>
      </c>
      <c r="H215" s="6">
        <v>579342</v>
      </c>
      <c r="I215" s="6">
        <v>609059</v>
      </c>
      <c r="J215" t="s">
        <v>200</v>
      </c>
    </row>
    <row r="216" spans="1:10" x14ac:dyDescent="0.35">
      <c r="A216" t="s">
        <v>1050</v>
      </c>
      <c r="B216" t="s">
        <v>700</v>
      </c>
      <c r="C216" t="s">
        <v>701</v>
      </c>
      <c r="D216" s="7">
        <v>48.6</v>
      </c>
      <c r="E216">
        <v>48.62182043782682</v>
      </c>
      <c r="F216" s="7">
        <v>51.4</v>
      </c>
      <c r="G216" s="6">
        <v>101547</v>
      </c>
      <c r="H216" s="6">
        <v>49374</v>
      </c>
      <c r="I216" s="6">
        <v>52173</v>
      </c>
      <c r="J216" t="s">
        <v>200</v>
      </c>
    </row>
    <row r="217" spans="1:10" x14ac:dyDescent="0.35">
      <c r="A217" t="s">
        <v>1050</v>
      </c>
      <c r="B217" t="s">
        <v>702</v>
      </c>
      <c r="C217" t="s">
        <v>703</v>
      </c>
      <c r="D217" s="7">
        <v>48.6</v>
      </c>
      <c r="E217">
        <v>48.599166259811469</v>
      </c>
      <c r="F217" s="7">
        <v>51.4</v>
      </c>
      <c r="G217" s="6">
        <v>53254</v>
      </c>
      <c r="H217" s="6">
        <v>25881</v>
      </c>
      <c r="I217" s="6">
        <v>27373</v>
      </c>
      <c r="J217" t="s">
        <v>200</v>
      </c>
    </row>
    <row r="218" spans="1:10" x14ac:dyDescent="0.35">
      <c r="A218" t="s">
        <v>1050</v>
      </c>
      <c r="B218" t="s">
        <v>704</v>
      </c>
      <c r="C218" t="s">
        <v>705</v>
      </c>
      <c r="D218" s="7">
        <v>48.6</v>
      </c>
      <c r="E218">
        <v>48.566479512603031</v>
      </c>
      <c r="F218" s="7">
        <v>51.4</v>
      </c>
      <c r="G218" s="6">
        <v>50226</v>
      </c>
      <c r="H218" s="6">
        <v>24393</v>
      </c>
      <c r="I218" s="6">
        <v>25833</v>
      </c>
      <c r="J218" t="s">
        <v>200</v>
      </c>
    </row>
    <row r="219" spans="1:10" x14ac:dyDescent="0.35">
      <c r="A219" t="s">
        <v>1050</v>
      </c>
      <c r="B219" t="s">
        <v>706</v>
      </c>
      <c r="C219" t="s">
        <v>707</v>
      </c>
      <c r="D219" s="7">
        <v>48.5</v>
      </c>
      <c r="E219">
        <v>48.535871156661777</v>
      </c>
      <c r="F219" s="7">
        <v>51.5</v>
      </c>
      <c r="G219" s="6">
        <v>12294</v>
      </c>
      <c r="H219" s="6">
        <v>5967</v>
      </c>
      <c r="I219" s="6">
        <v>6327</v>
      </c>
      <c r="J219" t="s">
        <v>200</v>
      </c>
    </row>
    <row r="220" spans="1:10" x14ac:dyDescent="0.35">
      <c r="A220" t="s">
        <v>1050</v>
      </c>
      <c r="B220" t="s">
        <v>708</v>
      </c>
      <c r="C220" t="s">
        <v>709</v>
      </c>
      <c r="D220" s="7">
        <v>48.4</v>
      </c>
      <c r="E220">
        <v>48.436044049131723</v>
      </c>
      <c r="F220" s="7">
        <v>51.6</v>
      </c>
      <c r="G220" s="6">
        <v>94440</v>
      </c>
      <c r="H220" s="6">
        <v>45743</v>
      </c>
      <c r="I220" s="6">
        <v>48697</v>
      </c>
      <c r="J220" t="s">
        <v>200</v>
      </c>
    </row>
    <row r="221" spans="1:10" x14ac:dyDescent="0.35">
      <c r="A221" t="s">
        <v>1050</v>
      </c>
      <c r="B221" t="s">
        <v>710</v>
      </c>
      <c r="C221" t="s">
        <v>711</v>
      </c>
      <c r="D221" s="7">
        <v>48.4</v>
      </c>
      <c r="E221">
        <v>48.396644633803191</v>
      </c>
      <c r="F221" s="7">
        <v>51.6</v>
      </c>
      <c r="G221" s="6">
        <v>75342</v>
      </c>
      <c r="H221" s="6">
        <v>36463</v>
      </c>
      <c r="I221" s="6">
        <v>38879</v>
      </c>
      <c r="J221" t="s">
        <v>200</v>
      </c>
    </row>
    <row r="222" spans="1:10" x14ac:dyDescent="0.35">
      <c r="A222" t="s">
        <v>1050</v>
      </c>
      <c r="B222" t="s">
        <v>712</v>
      </c>
      <c r="C222" t="s">
        <v>713</v>
      </c>
      <c r="D222" s="7">
        <v>48.3</v>
      </c>
      <c r="E222">
        <v>48.345814041387129</v>
      </c>
      <c r="F222" s="7">
        <v>51.7</v>
      </c>
      <c r="G222" s="6">
        <v>169328</v>
      </c>
      <c r="H222" s="6">
        <v>81863</v>
      </c>
      <c r="I222" s="6">
        <v>87465</v>
      </c>
      <c r="J222" t="s">
        <v>200</v>
      </c>
    </row>
    <row r="223" spans="1:10" x14ac:dyDescent="0.35">
      <c r="A223" t="s">
        <v>1050</v>
      </c>
      <c r="B223" t="s">
        <v>714</v>
      </c>
      <c r="C223" t="s">
        <v>715</v>
      </c>
      <c r="D223" s="7">
        <v>48.3</v>
      </c>
      <c r="E223">
        <v>48.31672226428995</v>
      </c>
      <c r="F223" s="7">
        <v>51.7</v>
      </c>
      <c r="G223" s="6">
        <v>48863</v>
      </c>
      <c r="H223" s="6">
        <v>23609</v>
      </c>
      <c r="I223" s="6">
        <v>25254</v>
      </c>
      <c r="J223" t="s">
        <v>200</v>
      </c>
    </row>
    <row r="224" spans="1:10" x14ac:dyDescent="0.35">
      <c r="A224" t="s">
        <v>1050</v>
      </c>
      <c r="B224" t="s">
        <v>716</v>
      </c>
      <c r="C224" t="s">
        <v>717</v>
      </c>
      <c r="D224" s="7">
        <v>48.3</v>
      </c>
      <c r="E224">
        <v>48.255400944381762</v>
      </c>
      <c r="F224" s="7">
        <v>51.7</v>
      </c>
      <c r="G224" s="6">
        <v>119655</v>
      </c>
      <c r="H224" s="6">
        <v>57740</v>
      </c>
      <c r="I224" s="6">
        <v>61915</v>
      </c>
      <c r="J224" t="s">
        <v>200</v>
      </c>
    </row>
    <row r="225" spans="1:10" x14ac:dyDescent="0.35">
      <c r="A225" t="s">
        <v>1050</v>
      </c>
      <c r="B225" t="s">
        <v>718</v>
      </c>
      <c r="C225" t="s">
        <v>719</v>
      </c>
      <c r="D225" s="7">
        <v>48.2</v>
      </c>
      <c r="E225">
        <v>48.185497941238047</v>
      </c>
      <c r="F225" s="7">
        <v>51.8</v>
      </c>
      <c r="G225" s="6">
        <v>57316</v>
      </c>
      <c r="H225" s="6">
        <v>27618</v>
      </c>
      <c r="I225" s="6">
        <v>29698</v>
      </c>
      <c r="J225" t="s">
        <v>200</v>
      </c>
    </row>
    <row r="226" spans="1:10" x14ac:dyDescent="0.35">
      <c r="A226" t="s">
        <v>1050</v>
      </c>
      <c r="B226" t="s">
        <v>720</v>
      </c>
      <c r="C226" t="s">
        <v>721</v>
      </c>
      <c r="D226" s="7">
        <v>48.1</v>
      </c>
      <c r="E226">
        <v>48.09645751575632</v>
      </c>
      <c r="F226" s="7">
        <v>51.9</v>
      </c>
      <c r="G226" s="6">
        <v>985636</v>
      </c>
      <c r="H226" s="6">
        <v>474056</v>
      </c>
      <c r="I226" s="6">
        <v>511580</v>
      </c>
      <c r="J226" t="s">
        <v>200</v>
      </c>
    </row>
    <row r="227" spans="1:10" x14ac:dyDescent="0.35">
      <c r="A227" t="s">
        <v>1050</v>
      </c>
      <c r="B227" t="s">
        <v>722</v>
      </c>
      <c r="C227" t="s">
        <v>723</v>
      </c>
      <c r="D227" s="7">
        <v>48.1</v>
      </c>
      <c r="E227">
        <v>48.091799386685132</v>
      </c>
      <c r="F227" s="7">
        <v>51.9</v>
      </c>
      <c r="G227" s="6">
        <v>50545</v>
      </c>
      <c r="H227" s="6">
        <v>24308</v>
      </c>
      <c r="I227" s="6">
        <v>26237</v>
      </c>
      <c r="J227" t="s">
        <v>200</v>
      </c>
    </row>
    <row r="228" spans="1:10" x14ac:dyDescent="0.35">
      <c r="A228" t="s">
        <v>1050</v>
      </c>
      <c r="B228" t="s">
        <v>724</v>
      </c>
      <c r="C228" t="s">
        <v>725</v>
      </c>
      <c r="D228" s="7">
        <v>48.1</v>
      </c>
      <c r="E228">
        <v>48.067126936105304</v>
      </c>
      <c r="F228" s="7">
        <v>51.9</v>
      </c>
      <c r="G228" s="6">
        <v>77346</v>
      </c>
      <c r="H228" s="6">
        <v>37178</v>
      </c>
      <c r="I228" s="6">
        <v>40168</v>
      </c>
      <c r="J228" t="s">
        <v>200</v>
      </c>
    </row>
    <row r="229" spans="1:10" x14ac:dyDescent="0.35">
      <c r="A229" t="s">
        <v>1050</v>
      </c>
      <c r="B229" t="s">
        <v>726</v>
      </c>
      <c r="C229" t="s">
        <v>727</v>
      </c>
      <c r="D229" s="7">
        <v>48.1</v>
      </c>
      <c r="E229">
        <v>48.067108364419212</v>
      </c>
      <c r="F229" s="7">
        <v>51.9</v>
      </c>
      <c r="G229" s="6">
        <v>53883</v>
      </c>
      <c r="H229" s="6">
        <v>25900</v>
      </c>
      <c r="I229" s="6">
        <v>27983</v>
      </c>
      <c r="J229" t="s">
        <v>200</v>
      </c>
    </row>
    <row r="230" spans="1:10" x14ac:dyDescent="0.35">
      <c r="A230" t="s">
        <v>1050</v>
      </c>
      <c r="B230" t="s">
        <v>728</v>
      </c>
      <c r="C230" t="s">
        <v>729</v>
      </c>
      <c r="D230" s="7">
        <v>48.1</v>
      </c>
      <c r="E230">
        <v>48.062932924919068</v>
      </c>
      <c r="F230" s="7">
        <v>51.9</v>
      </c>
      <c r="G230" s="6">
        <v>28729</v>
      </c>
      <c r="H230" s="6">
        <v>13808</v>
      </c>
      <c r="I230" s="6">
        <v>14921</v>
      </c>
      <c r="J230" t="s">
        <v>200</v>
      </c>
    </row>
    <row r="231" spans="1:10" x14ac:dyDescent="0.35">
      <c r="A231" t="s">
        <v>1050</v>
      </c>
      <c r="B231" t="s">
        <v>730</v>
      </c>
      <c r="C231" t="s">
        <v>731</v>
      </c>
      <c r="D231" s="7">
        <v>47.8</v>
      </c>
      <c r="E231">
        <v>47.819955003142113</v>
      </c>
      <c r="F231" s="7">
        <v>52.2</v>
      </c>
      <c r="G231" s="6">
        <v>208459</v>
      </c>
      <c r="H231" s="6">
        <v>99685</v>
      </c>
      <c r="I231" s="6">
        <v>108774</v>
      </c>
      <c r="J231" t="s">
        <v>200</v>
      </c>
    </row>
    <row r="232" spans="1:10" x14ac:dyDescent="0.35">
      <c r="A232" t="s">
        <v>1050</v>
      </c>
      <c r="B232" t="s">
        <v>732</v>
      </c>
      <c r="C232" t="s">
        <v>733</v>
      </c>
      <c r="D232" s="7">
        <v>47.7</v>
      </c>
      <c r="E232">
        <v>47.749695656902787</v>
      </c>
      <c r="F232" s="7">
        <v>52.3</v>
      </c>
      <c r="G232" s="6">
        <v>763119</v>
      </c>
      <c r="H232" s="6">
        <v>364387</v>
      </c>
      <c r="I232" s="6">
        <v>398732</v>
      </c>
      <c r="J232" t="s">
        <v>200</v>
      </c>
    </row>
    <row r="233" spans="1:10" x14ac:dyDescent="0.35">
      <c r="A233" t="s">
        <v>1050</v>
      </c>
      <c r="B233" t="s">
        <v>734</v>
      </c>
      <c r="C233" t="s">
        <v>735</v>
      </c>
      <c r="D233" s="7">
        <v>47.7</v>
      </c>
      <c r="E233">
        <v>47.741485535988147</v>
      </c>
      <c r="F233" s="7">
        <v>52.3</v>
      </c>
      <c r="G233" s="6">
        <v>302544</v>
      </c>
      <c r="H233" s="6">
        <v>144439</v>
      </c>
      <c r="I233" s="6">
        <v>158105</v>
      </c>
      <c r="J233" t="s">
        <v>200</v>
      </c>
    </row>
    <row r="234" spans="1:10" x14ac:dyDescent="0.35">
      <c r="A234" t="s">
        <v>1050</v>
      </c>
      <c r="B234" t="s">
        <v>736</v>
      </c>
      <c r="C234" t="s">
        <v>737</v>
      </c>
      <c r="D234" s="7">
        <v>47.7</v>
      </c>
      <c r="E234">
        <v>47.74085537970371</v>
      </c>
      <c r="F234" s="7">
        <v>52.3</v>
      </c>
      <c r="G234" s="6">
        <v>51369</v>
      </c>
      <c r="H234" s="6">
        <v>24524</v>
      </c>
      <c r="I234" s="6">
        <v>26845</v>
      </c>
      <c r="J234" t="s">
        <v>200</v>
      </c>
    </row>
    <row r="235" spans="1:10" x14ac:dyDescent="0.35">
      <c r="A235" t="s">
        <v>1050</v>
      </c>
      <c r="B235" t="s">
        <v>738</v>
      </c>
      <c r="C235" t="s">
        <v>739</v>
      </c>
      <c r="D235" s="7">
        <v>47.7</v>
      </c>
      <c r="E235">
        <v>47.718048805707788</v>
      </c>
      <c r="F235" s="7">
        <v>52.3</v>
      </c>
      <c r="G235" s="6">
        <v>154736</v>
      </c>
      <c r="H235" s="6">
        <v>73837</v>
      </c>
      <c r="I235" s="6">
        <v>80899</v>
      </c>
      <c r="J235" t="s">
        <v>200</v>
      </c>
    </row>
    <row r="236" spans="1:10" x14ac:dyDescent="0.35">
      <c r="A236" t="s">
        <v>1050</v>
      </c>
      <c r="B236" t="s">
        <v>740</v>
      </c>
      <c r="C236" t="s">
        <v>741</v>
      </c>
      <c r="D236" s="7">
        <v>47.7</v>
      </c>
      <c r="E236">
        <v>47.703327150312809</v>
      </c>
      <c r="F236" s="7">
        <v>52.3</v>
      </c>
      <c r="G236" s="6">
        <v>214027</v>
      </c>
      <c r="H236" s="6">
        <v>102098</v>
      </c>
      <c r="I236" s="6">
        <v>111929</v>
      </c>
      <c r="J236" t="s">
        <v>200</v>
      </c>
    </row>
    <row r="237" spans="1:10" x14ac:dyDescent="0.35">
      <c r="A237" t="s">
        <v>1050</v>
      </c>
      <c r="B237" t="s">
        <v>742</v>
      </c>
      <c r="C237" t="s">
        <v>743</v>
      </c>
      <c r="D237" s="7">
        <v>47.6</v>
      </c>
      <c r="E237">
        <v>47.61090772046947</v>
      </c>
      <c r="F237" s="7">
        <v>52.4</v>
      </c>
      <c r="G237" s="6">
        <v>297184</v>
      </c>
      <c r="H237" s="6">
        <v>141492</v>
      </c>
      <c r="I237" s="6">
        <v>155692</v>
      </c>
      <c r="J237" t="s">
        <v>200</v>
      </c>
    </row>
    <row r="238" spans="1:10" x14ac:dyDescent="0.35">
      <c r="A238" t="s">
        <v>1050</v>
      </c>
      <c r="B238" t="s">
        <v>744</v>
      </c>
      <c r="C238" t="s">
        <v>745</v>
      </c>
      <c r="D238" s="7">
        <v>47.6</v>
      </c>
      <c r="E238">
        <v>47.574558857281723</v>
      </c>
      <c r="F238" s="7">
        <v>52.4</v>
      </c>
      <c r="G238" s="6">
        <v>74069</v>
      </c>
      <c r="H238" s="6">
        <v>35238</v>
      </c>
      <c r="I238" s="6">
        <v>38831</v>
      </c>
      <c r="J238" t="s">
        <v>200</v>
      </c>
    </row>
    <row r="239" spans="1:10" x14ac:dyDescent="0.35">
      <c r="A239" t="s">
        <v>1050</v>
      </c>
      <c r="B239" t="s">
        <v>746</v>
      </c>
      <c r="C239" t="s">
        <v>747</v>
      </c>
      <c r="D239" s="7">
        <v>47.4</v>
      </c>
      <c r="E239">
        <v>47.434469972359352</v>
      </c>
      <c r="F239" s="7">
        <v>52.6</v>
      </c>
      <c r="G239" s="6">
        <v>590073</v>
      </c>
      <c r="H239" s="6">
        <v>279898</v>
      </c>
      <c r="I239" s="6">
        <v>310175</v>
      </c>
      <c r="J239" t="s">
        <v>200</v>
      </c>
    </row>
    <row r="240" spans="1:10" x14ac:dyDescent="0.35">
      <c r="A240" t="s">
        <v>1050</v>
      </c>
      <c r="B240" t="s">
        <v>748</v>
      </c>
      <c r="C240" t="s">
        <v>749</v>
      </c>
      <c r="D240" s="7">
        <v>47.4</v>
      </c>
      <c r="E240">
        <v>47.396927838496097</v>
      </c>
      <c r="F240" s="7">
        <v>52.6</v>
      </c>
      <c r="G240" s="6">
        <v>113731</v>
      </c>
      <c r="H240" s="6">
        <v>53905</v>
      </c>
      <c r="I240" s="6">
        <v>59826</v>
      </c>
      <c r="J240" t="s">
        <v>200</v>
      </c>
    </row>
    <row r="241" spans="1:10" x14ac:dyDescent="0.35">
      <c r="A241" t="s">
        <v>1050</v>
      </c>
      <c r="B241" t="s">
        <v>750</v>
      </c>
      <c r="C241" t="s">
        <v>751</v>
      </c>
      <c r="D241" s="7">
        <v>47.3</v>
      </c>
      <c r="E241">
        <v>47.347312408624518</v>
      </c>
      <c r="F241" s="7">
        <v>52.7</v>
      </c>
      <c r="G241" s="6">
        <v>151846</v>
      </c>
      <c r="H241" s="6">
        <v>71895</v>
      </c>
      <c r="I241" s="6">
        <v>79951</v>
      </c>
      <c r="J241" t="s">
        <v>200</v>
      </c>
    </row>
    <row r="242" spans="1:10" x14ac:dyDescent="0.35">
      <c r="A242" t="s">
        <v>1050</v>
      </c>
      <c r="B242" t="s">
        <v>752</v>
      </c>
      <c r="C242" t="s">
        <v>753</v>
      </c>
      <c r="D242" s="7">
        <v>47.3</v>
      </c>
      <c r="E242">
        <v>47.313332231110657</v>
      </c>
      <c r="F242" s="7">
        <v>52.7</v>
      </c>
      <c r="G242" s="6">
        <v>78629</v>
      </c>
      <c r="H242" s="6">
        <v>37202</v>
      </c>
      <c r="I242" s="6">
        <v>41427</v>
      </c>
      <c r="J242" t="s">
        <v>200</v>
      </c>
    </row>
    <row r="243" spans="1:10" x14ac:dyDescent="0.35">
      <c r="A243" t="s">
        <v>1050</v>
      </c>
      <c r="B243" t="s">
        <v>754</v>
      </c>
      <c r="C243" t="s">
        <v>755</v>
      </c>
      <c r="D243" s="7">
        <v>47.3</v>
      </c>
      <c r="E243">
        <v>47.296726242263041</v>
      </c>
      <c r="F243" s="7">
        <v>52.7</v>
      </c>
      <c r="G243" s="6">
        <v>80458</v>
      </c>
      <c r="H243" s="6">
        <v>38054</v>
      </c>
      <c r="I243" s="6">
        <v>42404</v>
      </c>
      <c r="J243" t="s">
        <v>200</v>
      </c>
    </row>
    <row r="244" spans="1:10" x14ac:dyDescent="0.35">
      <c r="A244" t="s">
        <v>1050</v>
      </c>
      <c r="B244" t="s">
        <v>756</v>
      </c>
      <c r="C244" t="s">
        <v>757</v>
      </c>
      <c r="D244" s="7">
        <v>47.3</v>
      </c>
      <c r="E244">
        <v>47.257462225189798</v>
      </c>
      <c r="F244" s="7">
        <v>52.7</v>
      </c>
      <c r="G244" s="6">
        <v>80874</v>
      </c>
      <c r="H244" s="6">
        <v>38219</v>
      </c>
      <c r="I244" s="6">
        <v>42655</v>
      </c>
      <c r="J244" t="s">
        <v>200</v>
      </c>
    </row>
    <row r="245" spans="1:10" x14ac:dyDescent="0.35">
      <c r="A245" t="s">
        <v>1050</v>
      </c>
      <c r="B245" t="s">
        <v>758</v>
      </c>
      <c r="C245" t="s">
        <v>759</v>
      </c>
      <c r="D245" s="7">
        <v>47.3</v>
      </c>
      <c r="E245">
        <v>47.255889395721873</v>
      </c>
      <c r="F245" s="7">
        <v>52.7</v>
      </c>
      <c r="G245" s="6">
        <v>311959</v>
      </c>
      <c r="H245" s="6">
        <v>147419</v>
      </c>
      <c r="I245" s="6">
        <v>164540</v>
      </c>
      <c r="J245" t="s">
        <v>200</v>
      </c>
    </row>
    <row r="246" spans="1:10" x14ac:dyDescent="0.35">
      <c r="A246" t="s">
        <v>1050</v>
      </c>
      <c r="B246" t="s">
        <v>760</v>
      </c>
      <c r="C246" t="s">
        <v>761</v>
      </c>
      <c r="D246" s="7">
        <v>47.2</v>
      </c>
      <c r="E246">
        <v>47.186045692910263</v>
      </c>
      <c r="F246" s="7">
        <v>52.8</v>
      </c>
      <c r="G246" s="6">
        <v>1335043</v>
      </c>
      <c r="H246" s="6">
        <v>629954</v>
      </c>
      <c r="I246" s="6">
        <v>705089</v>
      </c>
      <c r="J246" t="s">
        <v>200</v>
      </c>
    </row>
    <row r="247" spans="1:10" x14ac:dyDescent="0.35">
      <c r="A247" t="s">
        <v>1050</v>
      </c>
      <c r="B247" t="s">
        <v>762</v>
      </c>
      <c r="C247" t="s">
        <v>763</v>
      </c>
      <c r="D247" s="7">
        <v>47.2</v>
      </c>
      <c r="E247">
        <v>47.167338149446977</v>
      </c>
      <c r="F247" s="7">
        <v>52.8</v>
      </c>
      <c r="G247" s="6">
        <v>1781381</v>
      </c>
      <c r="H247" s="6">
        <v>840230</v>
      </c>
      <c r="I247" s="6">
        <v>941151</v>
      </c>
      <c r="J247" t="s">
        <v>200</v>
      </c>
    </row>
    <row r="248" spans="1:10" x14ac:dyDescent="0.35">
      <c r="A248" t="s">
        <v>1050</v>
      </c>
      <c r="B248" t="s">
        <v>764</v>
      </c>
      <c r="C248" t="s">
        <v>765</v>
      </c>
      <c r="D248" s="7">
        <v>47.1</v>
      </c>
      <c r="E248">
        <v>47.131554400955807</v>
      </c>
      <c r="F248" s="7">
        <v>52.9</v>
      </c>
      <c r="G248" s="6">
        <v>633601</v>
      </c>
      <c r="H248" s="6">
        <v>298626</v>
      </c>
      <c r="I248" s="6">
        <v>334975</v>
      </c>
      <c r="J248" t="s">
        <v>200</v>
      </c>
    </row>
    <row r="249" spans="1:10" x14ac:dyDescent="0.35">
      <c r="A249" t="s">
        <v>1050</v>
      </c>
      <c r="B249" t="s">
        <v>766</v>
      </c>
      <c r="C249" t="s">
        <v>767</v>
      </c>
      <c r="D249" s="7">
        <v>47.1</v>
      </c>
      <c r="E249">
        <v>47.084908403605702</v>
      </c>
      <c r="F249" s="7">
        <v>52.9</v>
      </c>
      <c r="G249" s="6">
        <v>68780</v>
      </c>
      <c r="H249" s="6">
        <v>32385</v>
      </c>
      <c r="I249" s="6">
        <v>36395</v>
      </c>
      <c r="J249" t="s">
        <v>200</v>
      </c>
    </row>
    <row r="250" spans="1:10" x14ac:dyDescent="0.35">
      <c r="A250" t="s">
        <v>1050</v>
      </c>
      <c r="B250" t="s">
        <v>768</v>
      </c>
      <c r="C250" t="s">
        <v>769</v>
      </c>
      <c r="D250" s="7">
        <v>46.9</v>
      </c>
      <c r="E250">
        <v>46.944924557387772</v>
      </c>
      <c r="F250" s="7">
        <v>53.1</v>
      </c>
      <c r="G250" s="6">
        <v>42814</v>
      </c>
      <c r="H250" s="6">
        <v>20099</v>
      </c>
      <c r="I250" s="6">
        <v>22715</v>
      </c>
      <c r="J250" t="s">
        <v>200</v>
      </c>
    </row>
    <row r="251" spans="1:10" x14ac:dyDescent="0.35">
      <c r="A251" t="s">
        <v>1050</v>
      </c>
      <c r="B251" t="s">
        <v>770</v>
      </c>
      <c r="C251" t="s">
        <v>771</v>
      </c>
      <c r="D251" s="7">
        <v>46.9</v>
      </c>
      <c r="E251">
        <v>46.921326787211108</v>
      </c>
      <c r="F251" s="7">
        <v>53.1</v>
      </c>
      <c r="G251" s="6">
        <v>41755</v>
      </c>
      <c r="H251" s="6">
        <v>19592</v>
      </c>
      <c r="I251" s="6">
        <v>22163</v>
      </c>
      <c r="J251" t="s">
        <v>200</v>
      </c>
    </row>
    <row r="252" spans="1:10" x14ac:dyDescent="0.35">
      <c r="A252" t="s">
        <v>1050</v>
      </c>
      <c r="B252" t="s">
        <v>772</v>
      </c>
      <c r="C252" t="s">
        <v>773</v>
      </c>
      <c r="D252" s="7">
        <v>46.9</v>
      </c>
      <c r="E252">
        <v>46.906780392630843</v>
      </c>
      <c r="F252" s="7">
        <v>53.1</v>
      </c>
      <c r="G252" s="6">
        <v>57917</v>
      </c>
      <c r="H252" s="6">
        <v>27167</v>
      </c>
      <c r="I252" s="6">
        <v>30750</v>
      </c>
      <c r="J252" t="s">
        <v>200</v>
      </c>
    </row>
    <row r="253" spans="1:10" x14ac:dyDescent="0.35">
      <c r="A253" t="s">
        <v>1050</v>
      </c>
      <c r="B253" t="s">
        <v>774</v>
      </c>
      <c r="C253" t="s">
        <v>775</v>
      </c>
      <c r="D253" s="7">
        <v>46.8</v>
      </c>
      <c r="E253">
        <v>46.843180872804879</v>
      </c>
      <c r="F253" s="7">
        <v>53.2</v>
      </c>
      <c r="G253" s="6">
        <v>55293</v>
      </c>
      <c r="H253" s="6">
        <v>25901</v>
      </c>
      <c r="I253" s="6">
        <v>29392</v>
      </c>
      <c r="J253" t="s">
        <v>200</v>
      </c>
    </row>
    <row r="254" spans="1:10" x14ac:dyDescent="0.35">
      <c r="A254" t="s">
        <v>1050</v>
      </c>
      <c r="B254" t="s">
        <v>776</v>
      </c>
      <c r="C254" t="s">
        <v>777</v>
      </c>
      <c r="D254" s="7">
        <v>46.8</v>
      </c>
      <c r="E254">
        <v>46.797558455228717</v>
      </c>
      <c r="F254" s="7">
        <v>53.2</v>
      </c>
      <c r="G254" s="6">
        <v>155803</v>
      </c>
      <c r="H254" s="6">
        <v>72912</v>
      </c>
      <c r="I254" s="6">
        <v>82891</v>
      </c>
      <c r="J254" t="s">
        <v>200</v>
      </c>
    </row>
    <row r="255" spans="1:10" x14ac:dyDescent="0.35">
      <c r="A255" t="s">
        <v>1050</v>
      </c>
      <c r="B255" t="s">
        <v>778</v>
      </c>
      <c r="C255" t="s">
        <v>779</v>
      </c>
      <c r="D255" s="7">
        <v>46.7</v>
      </c>
      <c r="E255">
        <v>46.673288547393753</v>
      </c>
      <c r="F255" s="7">
        <v>53.3</v>
      </c>
      <c r="G255" s="6">
        <v>2360860</v>
      </c>
      <c r="H255" s="6">
        <v>1101891</v>
      </c>
      <c r="I255" s="6">
        <v>1258969</v>
      </c>
      <c r="J255" t="s">
        <v>200</v>
      </c>
    </row>
    <row r="256" spans="1:10" x14ac:dyDescent="0.35">
      <c r="A256" t="s">
        <v>1050</v>
      </c>
      <c r="B256" t="s">
        <v>780</v>
      </c>
      <c r="C256" t="s">
        <v>781</v>
      </c>
      <c r="D256" s="7">
        <v>46.7</v>
      </c>
      <c r="E256">
        <v>46.657779999444593</v>
      </c>
      <c r="F256" s="7">
        <v>53.3</v>
      </c>
      <c r="G256" s="6">
        <v>36009</v>
      </c>
      <c r="H256" s="6">
        <v>16801</v>
      </c>
      <c r="I256" s="6">
        <v>19208</v>
      </c>
      <c r="J256" t="s">
        <v>200</v>
      </c>
    </row>
    <row r="257" spans="1:10" x14ac:dyDescent="0.35">
      <c r="A257" t="s">
        <v>1050</v>
      </c>
      <c r="B257" t="s">
        <v>782</v>
      </c>
      <c r="C257" t="s">
        <v>783</v>
      </c>
      <c r="D257" s="7">
        <v>46.6</v>
      </c>
      <c r="E257">
        <v>46.623141281856853</v>
      </c>
      <c r="F257" s="7">
        <v>53.4</v>
      </c>
      <c r="G257" s="6">
        <v>77809</v>
      </c>
      <c r="H257" s="6">
        <v>36277</v>
      </c>
      <c r="I257" s="6">
        <v>41532</v>
      </c>
      <c r="J257" t="s">
        <v>200</v>
      </c>
    </row>
    <row r="258" spans="1:10" x14ac:dyDescent="0.35">
      <c r="A258" t="s">
        <v>1050</v>
      </c>
      <c r="B258" t="s">
        <v>784</v>
      </c>
      <c r="C258" t="s">
        <v>785</v>
      </c>
      <c r="D258" s="7">
        <v>46.5</v>
      </c>
      <c r="E258">
        <v>46.467712021581519</v>
      </c>
      <c r="F258" s="7">
        <v>53.5</v>
      </c>
      <c r="G258" s="6">
        <v>65241</v>
      </c>
      <c r="H258" s="6">
        <v>30316</v>
      </c>
      <c r="I258" s="6">
        <v>34925</v>
      </c>
      <c r="J258" t="s">
        <v>200</v>
      </c>
    </row>
    <row r="259" spans="1:10" x14ac:dyDescent="0.35">
      <c r="A259" t="s">
        <v>1050</v>
      </c>
      <c r="B259" t="s">
        <v>786</v>
      </c>
      <c r="C259" t="s">
        <v>787</v>
      </c>
      <c r="D259" s="7">
        <v>46.4</v>
      </c>
      <c r="E259">
        <v>46.439042078787793</v>
      </c>
      <c r="F259" s="7">
        <v>53.6</v>
      </c>
      <c r="G259" s="6">
        <v>259228</v>
      </c>
      <c r="H259" s="6">
        <v>120383</v>
      </c>
      <c r="I259" s="6">
        <v>138845</v>
      </c>
      <c r="J259" t="s">
        <v>200</v>
      </c>
    </row>
    <row r="260" spans="1:10" x14ac:dyDescent="0.35">
      <c r="A260" t="s">
        <v>1050</v>
      </c>
      <c r="B260" t="s">
        <v>788</v>
      </c>
      <c r="C260" t="s">
        <v>789</v>
      </c>
      <c r="D260" s="7">
        <v>46.4</v>
      </c>
      <c r="E260">
        <v>46.373225832887798</v>
      </c>
      <c r="F260" s="7">
        <v>53.6</v>
      </c>
      <c r="G260" s="6">
        <v>256247</v>
      </c>
      <c r="H260" s="6">
        <v>118830</v>
      </c>
      <c r="I260" s="6">
        <v>137417</v>
      </c>
      <c r="J260" t="s">
        <v>200</v>
      </c>
    </row>
    <row r="261" spans="1:10" x14ac:dyDescent="0.35">
      <c r="A261" t="s">
        <v>1050</v>
      </c>
      <c r="B261" t="s">
        <v>790</v>
      </c>
      <c r="C261" t="s">
        <v>791</v>
      </c>
      <c r="D261" s="7">
        <v>46.4</v>
      </c>
      <c r="E261">
        <v>46.370138547501497</v>
      </c>
      <c r="F261" s="7">
        <v>53.6</v>
      </c>
      <c r="G261" s="6">
        <v>433281</v>
      </c>
      <c r="H261" s="6">
        <v>200913</v>
      </c>
      <c r="I261" s="6">
        <v>232368</v>
      </c>
      <c r="J261" t="s">
        <v>200</v>
      </c>
    </row>
    <row r="262" spans="1:10" x14ac:dyDescent="0.35">
      <c r="A262" t="s">
        <v>1050</v>
      </c>
      <c r="B262" t="s">
        <v>792</v>
      </c>
      <c r="C262" t="s">
        <v>793</v>
      </c>
      <c r="D262" s="7">
        <v>46.4</v>
      </c>
      <c r="E262">
        <v>46.363987125204339</v>
      </c>
      <c r="F262" s="7">
        <v>53.6</v>
      </c>
      <c r="G262" s="6">
        <v>196974</v>
      </c>
      <c r="H262" s="6">
        <v>91325</v>
      </c>
      <c r="I262" s="6">
        <v>105649</v>
      </c>
      <c r="J262" t="s">
        <v>200</v>
      </c>
    </row>
    <row r="263" spans="1:10" x14ac:dyDescent="0.35">
      <c r="A263" t="s">
        <v>1050</v>
      </c>
      <c r="B263" t="s">
        <v>794</v>
      </c>
      <c r="C263" t="s">
        <v>795</v>
      </c>
      <c r="D263" s="7">
        <v>46.3</v>
      </c>
      <c r="E263">
        <v>46.344810913865949</v>
      </c>
      <c r="F263" s="7">
        <v>53.7</v>
      </c>
      <c r="G263" s="6">
        <v>2730105</v>
      </c>
      <c r="H263" s="6">
        <v>1265262</v>
      </c>
      <c r="I263" s="6">
        <v>1464843</v>
      </c>
      <c r="J263" t="s">
        <v>200</v>
      </c>
    </row>
    <row r="264" spans="1:10" x14ac:dyDescent="0.35">
      <c r="A264" t="s">
        <v>1050</v>
      </c>
      <c r="B264" t="s">
        <v>796</v>
      </c>
      <c r="C264" t="s">
        <v>797</v>
      </c>
      <c r="D264" s="7">
        <v>46.3</v>
      </c>
      <c r="E264">
        <v>46.337887109126967</v>
      </c>
      <c r="F264" s="7">
        <v>53.7</v>
      </c>
      <c r="G264" s="6">
        <v>152767</v>
      </c>
      <c r="H264" s="6">
        <v>70789</v>
      </c>
      <c r="I264" s="6">
        <v>81978</v>
      </c>
      <c r="J264" t="s">
        <v>200</v>
      </c>
    </row>
    <row r="265" spans="1:10" x14ac:dyDescent="0.35">
      <c r="A265" t="s">
        <v>1050</v>
      </c>
      <c r="B265" t="s">
        <v>798</v>
      </c>
      <c r="C265" t="s">
        <v>799</v>
      </c>
      <c r="D265" s="7">
        <v>46.3</v>
      </c>
      <c r="E265">
        <v>46.330796289428001</v>
      </c>
      <c r="F265" s="7">
        <v>53.7</v>
      </c>
      <c r="G265" s="6">
        <v>946377</v>
      </c>
      <c r="H265" s="6">
        <v>438464</v>
      </c>
      <c r="I265" s="6">
        <v>507913</v>
      </c>
      <c r="J265" t="s">
        <v>200</v>
      </c>
    </row>
    <row r="266" spans="1:10" x14ac:dyDescent="0.35">
      <c r="A266" t="s">
        <v>1050</v>
      </c>
      <c r="B266" t="s">
        <v>800</v>
      </c>
      <c r="C266" t="s">
        <v>801</v>
      </c>
      <c r="D266" s="7">
        <v>46.3</v>
      </c>
      <c r="E266">
        <v>46.257249101265963</v>
      </c>
      <c r="F266" s="7">
        <v>53.7</v>
      </c>
      <c r="G266" s="6">
        <v>97081</v>
      </c>
      <c r="H266" s="6">
        <v>44907</v>
      </c>
      <c r="I266" s="6">
        <v>52174</v>
      </c>
      <c r="J266" t="s">
        <v>200</v>
      </c>
    </row>
    <row r="267" spans="1:10" x14ac:dyDescent="0.35">
      <c r="A267" t="s">
        <v>1050</v>
      </c>
      <c r="B267" t="s">
        <v>802</v>
      </c>
      <c r="C267" t="s">
        <v>803</v>
      </c>
      <c r="D267" s="7">
        <v>46.2</v>
      </c>
      <c r="E267">
        <v>46.160635481023832</v>
      </c>
      <c r="F267" s="7">
        <v>53.8</v>
      </c>
      <c r="G267" s="6">
        <v>61182</v>
      </c>
      <c r="H267" s="6">
        <v>28242</v>
      </c>
      <c r="I267" s="6">
        <v>32940</v>
      </c>
      <c r="J267" t="s">
        <v>200</v>
      </c>
    </row>
    <row r="268" spans="1:10" x14ac:dyDescent="0.35">
      <c r="A268" t="s">
        <v>1050</v>
      </c>
      <c r="B268" t="s">
        <v>804</v>
      </c>
      <c r="C268" t="s">
        <v>805</v>
      </c>
      <c r="D268" s="7">
        <v>46</v>
      </c>
      <c r="E268">
        <v>46.023691538539957</v>
      </c>
      <c r="F268" s="7">
        <v>54</v>
      </c>
      <c r="G268" s="6">
        <v>2765882</v>
      </c>
      <c r="H268" s="6">
        <v>1272961</v>
      </c>
      <c r="I268" s="6">
        <v>1492921</v>
      </c>
      <c r="J268" t="s">
        <v>200</v>
      </c>
    </row>
    <row r="269" spans="1:10" x14ac:dyDescent="0.35">
      <c r="A269" t="s">
        <v>1050</v>
      </c>
      <c r="B269" t="s">
        <v>806</v>
      </c>
      <c r="C269" t="s">
        <v>807</v>
      </c>
      <c r="D269" s="7">
        <v>46</v>
      </c>
      <c r="E269">
        <v>45.967088461760021</v>
      </c>
      <c r="F269" s="7">
        <v>54</v>
      </c>
      <c r="G269" s="6">
        <v>520790</v>
      </c>
      <c r="H269" s="6">
        <v>239392</v>
      </c>
      <c r="I269" s="6">
        <v>281398</v>
      </c>
      <c r="J269" t="s">
        <v>200</v>
      </c>
    </row>
    <row r="270" spans="1:10" x14ac:dyDescent="0.35">
      <c r="A270" t="s">
        <v>1050</v>
      </c>
      <c r="B270" t="s">
        <v>808</v>
      </c>
      <c r="C270" t="s">
        <v>809</v>
      </c>
      <c r="D270" s="7">
        <v>45.9</v>
      </c>
      <c r="E270">
        <v>45.943770984911957</v>
      </c>
      <c r="F270" s="7">
        <v>54.1</v>
      </c>
      <c r="G270" s="6">
        <v>331786</v>
      </c>
      <c r="H270" s="6">
        <v>152435</v>
      </c>
      <c r="I270" s="6">
        <v>179351</v>
      </c>
      <c r="J270" t="s">
        <v>200</v>
      </c>
    </row>
    <row r="271" spans="1:10" x14ac:dyDescent="0.35">
      <c r="A271" t="s">
        <v>1050</v>
      </c>
      <c r="B271" t="s">
        <v>810</v>
      </c>
      <c r="C271" t="s">
        <v>811</v>
      </c>
      <c r="D271" s="7">
        <v>45.9</v>
      </c>
      <c r="E271">
        <v>45.929334611150267</v>
      </c>
      <c r="F271" s="7">
        <v>54.1</v>
      </c>
      <c r="G271" s="6">
        <v>126257</v>
      </c>
      <c r="H271" s="6">
        <v>57989</v>
      </c>
      <c r="I271" s="6">
        <v>68268</v>
      </c>
      <c r="J271" t="s">
        <v>200</v>
      </c>
    </row>
    <row r="272" spans="1:10" x14ac:dyDescent="0.35">
      <c r="A272" t="s">
        <v>1050</v>
      </c>
      <c r="B272" t="s">
        <v>812</v>
      </c>
      <c r="C272" t="s">
        <v>813</v>
      </c>
      <c r="D272" s="7">
        <v>45.8</v>
      </c>
      <c r="E272">
        <v>45.816815963588539</v>
      </c>
      <c r="F272" s="7">
        <v>54.2</v>
      </c>
      <c r="G272" s="6">
        <v>1840739</v>
      </c>
      <c r="H272" s="6">
        <v>843368</v>
      </c>
      <c r="I272" s="6">
        <v>997371</v>
      </c>
      <c r="J272" t="s">
        <v>200</v>
      </c>
    </row>
    <row r="273" spans="1:10" x14ac:dyDescent="0.35">
      <c r="A273" t="s">
        <v>1050</v>
      </c>
      <c r="B273" t="s">
        <v>814</v>
      </c>
      <c r="C273" t="s">
        <v>815</v>
      </c>
      <c r="D273" s="7">
        <v>45.8</v>
      </c>
      <c r="E273">
        <v>45.803114763519339</v>
      </c>
      <c r="F273" s="7">
        <v>54.2</v>
      </c>
      <c r="G273" s="6">
        <v>87005</v>
      </c>
      <c r="H273" s="6">
        <v>39851</v>
      </c>
      <c r="I273" s="6">
        <v>47154</v>
      </c>
      <c r="J273" t="s">
        <v>200</v>
      </c>
    </row>
    <row r="274" spans="1:10" x14ac:dyDescent="0.35">
      <c r="A274" t="s">
        <v>1050</v>
      </c>
      <c r="B274" t="s">
        <v>816</v>
      </c>
      <c r="C274" t="s">
        <v>817</v>
      </c>
      <c r="D274" s="7">
        <v>45.7</v>
      </c>
      <c r="E274">
        <v>45.730192408827953</v>
      </c>
      <c r="F274" s="7">
        <v>54.3</v>
      </c>
      <c r="G274" s="6">
        <v>55143</v>
      </c>
      <c r="H274" s="6">
        <v>25217</v>
      </c>
      <c r="I274" s="6">
        <v>29926</v>
      </c>
      <c r="J274" t="s">
        <v>200</v>
      </c>
    </row>
    <row r="275" spans="1:10" x14ac:dyDescent="0.35">
      <c r="A275" t="s">
        <v>1050</v>
      </c>
      <c r="B275" t="s">
        <v>818</v>
      </c>
      <c r="C275" t="s">
        <v>819</v>
      </c>
      <c r="D275" s="7">
        <v>45.7</v>
      </c>
      <c r="E275">
        <v>45.712362161068043</v>
      </c>
      <c r="F275" s="7">
        <v>54.3</v>
      </c>
      <c r="G275" s="6">
        <v>227258</v>
      </c>
      <c r="H275" s="6">
        <v>103885</v>
      </c>
      <c r="I275" s="6">
        <v>123373</v>
      </c>
      <c r="J275" t="s">
        <v>200</v>
      </c>
    </row>
    <row r="276" spans="1:10" x14ac:dyDescent="0.35">
      <c r="A276" t="s">
        <v>1050</v>
      </c>
      <c r="B276" t="s">
        <v>820</v>
      </c>
      <c r="C276" t="s">
        <v>821</v>
      </c>
      <c r="D276" s="7">
        <v>45.7</v>
      </c>
      <c r="E276">
        <v>45.665599268069528</v>
      </c>
      <c r="F276" s="7">
        <v>54.3</v>
      </c>
      <c r="G276" s="6">
        <v>52464</v>
      </c>
      <c r="H276" s="6">
        <v>23958</v>
      </c>
      <c r="I276" s="6">
        <v>28506</v>
      </c>
      <c r="J276" t="s">
        <v>200</v>
      </c>
    </row>
    <row r="277" spans="1:10" x14ac:dyDescent="0.35">
      <c r="A277" t="s">
        <v>1050</v>
      </c>
      <c r="B277" t="s">
        <v>822</v>
      </c>
      <c r="C277" t="s">
        <v>823</v>
      </c>
      <c r="D277" s="7">
        <v>45.5</v>
      </c>
      <c r="E277">
        <v>45.541717827281772</v>
      </c>
      <c r="F277" s="7">
        <v>54.5</v>
      </c>
      <c r="G277" s="6">
        <v>34206</v>
      </c>
      <c r="H277" s="6">
        <v>15578</v>
      </c>
      <c r="I277" s="6">
        <v>18628</v>
      </c>
      <c r="J277" t="s">
        <v>200</v>
      </c>
    </row>
    <row r="278" spans="1:10" x14ac:dyDescent="0.35">
      <c r="A278" t="s">
        <v>1050</v>
      </c>
      <c r="B278" t="s">
        <v>824</v>
      </c>
      <c r="C278" t="s">
        <v>825</v>
      </c>
      <c r="D278" s="7">
        <v>45.5</v>
      </c>
      <c r="E278">
        <v>45.519954632451977</v>
      </c>
      <c r="F278" s="7">
        <v>54.5</v>
      </c>
      <c r="G278" s="6">
        <v>141070</v>
      </c>
      <c r="H278" s="6">
        <v>64215</v>
      </c>
      <c r="I278" s="6">
        <v>76855</v>
      </c>
      <c r="J278" t="s">
        <v>200</v>
      </c>
    </row>
    <row r="279" spans="1:10" x14ac:dyDescent="0.35">
      <c r="A279" t="s">
        <v>1050</v>
      </c>
      <c r="B279" t="s">
        <v>826</v>
      </c>
      <c r="C279" t="s">
        <v>827</v>
      </c>
      <c r="D279" s="7">
        <v>45.5</v>
      </c>
      <c r="E279">
        <v>45.513275033483019</v>
      </c>
      <c r="F279" s="7">
        <v>54.5</v>
      </c>
      <c r="G279" s="6">
        <v>38079</v>
      </c>
      <c r="H279" s="6">
        <v>17331</v>
      </c>
      <c r="I279" s="6">
        <v>20748</v>
      </c>
      <c r="J279" t="s">
        <v>200</v>
      </c>
    </row>
    <row r="280" spans="1:10" x14ac:dyDescent="0.35">
      <c r="A280" t="s">
        <v>1050</v>
      </c>
      <c r="B280" t="s">
        <v>828</v>
      </c>
      <c r="C280" t="s">
        <v>829</v>
      </c>
      <c r="D280" s="7">
        <v>45.5</v>
      </c>
      <c r="E280">
        <v>45.49354452831745</v>
      </c>
      <c r="F280" s="7">
        <v>54.5</v>
      </c>
      <c r="G280" s="6">
        <v>145458</v>
      </c>
      <c r="H280" s="6">
        <v>66174</v>
      </c>
      <c r="I280" s="6">
        <v>79284</v>
      </c>
      <c r="J280" t="s">
        <v>200</v>
      </c>
    </row>
    <row r="281" spans="1:10" x14ac:dyDescent="0.35">
      <c r="A281" t="s">
        <v>1050</v>
      </c>
      <c r="B281" t="s">
        <v>830</v>
      </c>
      <c r="C281" t="s">
        <v>831</v>
      </c>
      <c r="D281" s="7">
        <v>45.4</v>
      </c>
      <c r="E281">
        <v>45.427796082116068</v>
      </c>
      <c r="F281" s="7">
        <v>54.6</v>
      </c>
      <c r="G281" s="6">
        <v>161771</v>
      </c>
      <c r="H281" s="6">
        <v>73489</v>
      </c>
      <c r="I281" s="6">
        <v>88282</v>
      </c>
      <c r="J281" t="s">
        <v>200</v>
      </c>
    </row>
    <row r="282" spans="1:10" x14ac:dyDescent="0.35">
      <c r="A282" t="s">
        <v>1050</v>
      </c>
      <c r="B282" t="s">
        <v>832</v>
      </c>
      <c r="C282" t="s">
        <v>833</v>
      </c>
      <c r="D282" s="7">
        <v>45.4</v>
      </c>
      <c r="E282">
        <v>45.420232196794338</v>
      </c>
      <c r="F282" s="7">
        <v>54.6</v>
      </c>
      <c r="G282" s="6">
        <v>436354</v>
      </c>
      <c r="H282" s="6">
        <v>198193</v>
      </c>
      <c r="I282" s="6">
        <v>238161</v>
      </c>
      <c r="J282" t="s">
        <v>200</v>
      </c>
    </row>
    <row r="283" spans="1:10" x14ac:dyDescent="0.35">
      <c r="A283" t="s">
        <v>1050</v>
      </c>
      <c r="B283" t="s">
        <v>834</v>
      </c>
      <c r="C283" t="s">
        <v>835</v>
      </c>
      <c r="D283" s="7">
        <v>45.3</v>
      </c>
      <c r="E283">
        <v>45.326892513116142</v>
      </c>
      <c r="F283" s="7">
        <v>54.7</v>
      </c>
      <c r="G283" s="6">
        <v>351094</v>
      </c>
      <c r="H283" s="6">
        <v>159140</v>
      </c>
      <c r="I283" s="6">
        <v>191954</v>
      </c>
      <c r="J283" t="s">
        <v>200</v>
      </c>
    </row>
    <row r="284" spans="1:10" x14ac:dyDescent="0.35">
      <c r="A284" t="s">
        <v>1050</v>
      </c>
      <c r="B284" t="s">
        <v>836</v>
      </c>
      <c r="C284" t="s">
        <v>837</v>
      </c>
      <c r="D284" s="7">
        <v>45.3</v>
      </c>
      <c r="E284">
        <v>45.30938515776139</v>
      </c>
      <c r="F284" s="7">
        <v>54.7</v>
      </c>
      <c r="G284" s="6">
        <v>101831</v>
      </c>
      <c r="H284" s="6">
        <v>46139</v>
      </c>
      <c r="I284" s="6">
        <v>55692</v>
      </c>
      <c r="J284" t="s">
        <v>200</v>
      </c>
    </row>
    <row r="285" spans="1:10" x14ac:dyDescent="0.35">
      <c r="A285" t="s">
        <v>1050</v>
      </c>
      <c r="B285" t="s">
        <v>838</v>
      </c>
      <c r="C285" t="s">
        <v>839</v>
      </c>
      <c r="D285" s="7">
        <v>45.2</v>
      </c>
      <c r="E285">
        <v>45.236870411074207</v>
      </c>
      <c r="F285" s="7">
        <v>54.8</v>
      </c>
      <c r="G285" s="6">
        <v>64149</v>
      </c>
      <c r="H285" s="6">
        <v>29019</v>
      </c>
      <c r="I285" s="6">
        <v>35130</v>
      </c>
      <c r="J285" t="s">
        <v>200</v>
      </c>
    </row>
    <row r="286" spans="1:10" x14ac:dyDescent="0.35">
      <c r="A286" t="s">
        <v>1050</v>
      </c>
      <c r="B286" t="s">
        <v>840</v>
      </c>
      <c r="C286" t="s">
        <v>841</v>
      </c>
      <c r="D286" s="7">
        <v>45.2</v>
      </c>
      <c r="E286">
        <v>45.231508718346703</v>
      </c>
      <c r="F286" s="7">
        <v>54.8</v>
      </c>
      <c r="G286" s="6">
        <v>159778</v>
      </c>
      <c r="H286" s="6">
        <v>72270</v>
      </c>
      <c r="I286" s="6">
        <v>87508</v>
      </c>
      <c r="J286" t="s">
        <v>200</v>
      </c>
    </row>
    <row r="287" spans="1:10" x14ac:dyDescent="0.35">
      <c r="A287" t="s">
        <v>1050</v>
      </c>
      <c r="B287" t="s">
        <v>842</v>
      </c>
      <c r="C287" t="s">
        <v>843</v>
      </c>
      <c r="D287" s="7">
        <v>45.2</v>
      </c>
      <c r="E287">
        <v>45.215715344699781</v>
      </c>
      <c r="F287" s="7">
        <v>54.8</v>
      </c>
      <c r="G287" s="6">
        <v>101175</v>
      </c>
      <c r="H287" s="6">
        <v>45747</v>
      </c>
      <c r="I287" s="6">
        <v>55428</v>
      </c>
      <c r="J287" t="s">
        <v>200</v>
      </c>
    </row>
    <row r="288" spans="1:10" x14ac:dyDescent="0.35">
      <c r="A288" t="s">
        <v>1050</v>
      </c>
      <c r="B288" t="s">
        <v>844</v>
      </c>
      <c r="C288" t="s">
        <v>845</v>
      </c>
      <c r="D288" s="7">
        <v>45.2</v>
      </c>
      <c r="E288">
        <v>45.187528414843342</v>
      </c>
      <c r="F288" s="7">
        <v>54.8</v>
      </c>
      <c r="G288" s="6">
        <v>261747</v>
      </c>
      <c r="H288" s="6">
        <v>118277</v>
      </c>
      <c r="I288" s="6">
        <v>143470</v>
      </c>
      <c r="J288" t="s">
        <v>200</v>
      </c>
    </row>
    <row r="289" spans="1:10" x14ac:dyDescent="0.35">
      <c r="A289" t="s">
        <v>1050</v>
      </c>
      <c r="B289" t="s">
        <v>846</v>
      </c>
      <c r="C289" t="s">
        <v>847</v>
      </c>
      <c r="D289" s="7">
        <v>45.2</v>
      </c>
      <c r="E289">
        <v>45.171630729238927</v>
      </c>
      <c r="F289" s="7">
        <v>54.8</v>
      </c>
      <c r="G289" s="6">
        <v>1369510</v>
      </c>
      <c r="H289" s="6">
        <v>618630</v>
      </c>
      <c r="I289" s="6">
        <v>750880</v>
      </c>
      <c r="J289" t="s">
        <v>200</v>
      </c>
    </row>
    <row r="290" spans="1:10" x14ac:dyDescent="0.35">
      <c r="A290" t="s">
        <v>1050</v>
      </c>
      <c r="B290" t="s">
        <v>848</v>
      </c>
      <c r="C290" t="s">
        <v>849</v>
      </c>
      <c r="D290" s="7">
        <v>45.1</v>
      </c>
      <c r="E290">
        <v>45.142829777554297</v>
      </c>
      <c r="F290" s="7">
        <v>54.9</v>
      </c>
      <c r="G290" s="6">
        <v>41763</v>
      </c>
      <c r="H290" s="6">
        <v>18853</v>
      </c>
      <c r="I290" s="6">
        <v>22910</v>
      </c>
      <c r="J290" t="s">
        <v>200</v>
      </c>
    </row>
    <row r="291" spans="1:10" x14ac:dyDescent="0.35">
      <c r="A291" t="s">
        <v>1050</v>
      </c>
      <c r="B291" t="s">
        <v>850</v>
      </c>
      <c r="C291" t="s">
        <v>851</v>
      </c>
      <c r="D291" s="7">
        <v>45.1</v>
      </c>
      <c r="E291">
        <v>45.136293189898808</v>
      </c>
      <c r="F291" s="7">
        <v>54.9</v>
      </c>
      <c r="G291" s="6">
        <v>32907</v>
      </c>
      <c r="H291" s="6">
        <v>14853</v>
      </c>
      <c r="I291" s="6">
        <v>18054</v>
      </c>
      <c r="J291" t="s">
        <v>200</v>
      </c>
    </row>
    <row r="292" spans="1:10" x14ac:dyDescent="0.35">
      <c r="A292" t="s">
        <v>1050</v>
      </c>
      <c r="B292" t="s">
        <v>852</v>
      </c>
      <c r="C292" t="s">
        <v>853</v>
      </c>
      <c r="D292" s="7">
        <v>45.1</v>
      </c>
      <c r="E292">
        <v>45.115666643964673</v>
      </c>
      <c r="F292" s="7">
        <v>54.9</v>
      </c>
      <c r="G292" s="6">
        <v>44049</v>
      </c>
      <c r="H292" s="6">
        <v>19873</v>
      </c>
      <c r="I292" s="6">
        <v>24176</v>
      </c>
      <c r="J292" t="s">
        <v>200</v>
      </c>
    </row>
    <row r="293" spans="1:10" x14ac:dyDescent="0.35">
      <c r="A293" t="s">
        <v>1050</v>
      </c>
      <c r="B293" t="s">
        <v>854</v>
      </c>
      <c r="C293" t="s">
        <v>855</v>
      </c>
      <c r="D293" s="7">
        <v>45.1</v>
      </c>
      <c r="E293">
        <v>45.106699751861044</v>
      </c>
      <c r="F293" s="7">
        <v>54.9</v>
      </c>
      <c r="G293" s="6">
        <v>40300</v>
      </c>
      <c r="H293" s="6">
        <v>18178</v>
      </c>
      <c r="I293" s="6">
        <v>22122</v>
      </c>
      <c r="J293" t="s">
        <v>200</v>
      </c>
    </row>
    <row r="294" spans="1:10" x14ac:dyDescent="0.35">
      <c r="A294" t="s">
        <v>1050</v>
      </c>
      <c r="B294" t="s">
        <v>856</v>
      </c>
      <c r="C294" t="s">
        <v>857</v>
      </c>
      <c r="D294" s="7">
        <v>45.1</v>
      </c>
      <c r="E294">
        <v>45.087421711899793</v>
      </c>
      <c r="F294" s="7">
        <v>54.9</v>
      </c>
      <c r="G294" s="6">
        <v>30656</v>
      </c>
      <c r="H294" s="6">
        <v>13822</v>
      </c>
      <c r="I294" s="6">
        <v>16834</v>
      </c>
      <c r="J294" t="s">
        <v>200</v>
      </c>
    </row>
    <row r="295" spans="1:10" x14ac:dyDescent="0.35">
      <c r="A295" t="s">
        <v>1050</v>
      </c>
      <c r="B295" t="s">
        <v>858</v>
      </c>
      <c r="C295" t="s">
        <v>859</v>
      </c>
      <c r="D295" s="7">
        <v>45.1</v>
      </c>
      <c r="E295">
        <v>45.063670411985022</v>
      </c>
      <c r="F295" s="7">
        <v>54.9</v>
      </c>
      <c r="G295" s="6">
        <v>126825</v>
      </c>
      <c r="H295" s="6">
        <v>57152</v>
      </c>
      <c r="I295" s="6">
        <v>69673</v>
      </c>
      <c r="J295" t="s">
        <v>200</v>
      </c>
    </row>
    <row r="296" spans="1:10" x14ac:dyDescent="0.35">
      <c r="A296" t="s">
        <v>1050</v>
      </c>
      <c r="B296" t="s">
        <v>860</v>
      </c>
      <c r="C296" t="s">
        <v>861</v>
      </c>
      <c r="D296" s="7">
        <v>45</v>
      </c>
      <c r="E296">
        <v>45.043344827282112</v>
      </c>
      <c r="F296" s="7">
        <v>55</v>
      </c>
      <c r="G296" s="6">
        <v>113393</v>
      </c>
      <c r="H296" s="6">
        <v>51076</v>
      </c>
      <c r="I296" s="6">
        <v>62317</v>
      </c>
      <c r="J296" t="s">
        <v>200</v>
      </c>
    </row>
    <row r="297" spans="1:10" x14ac:dyDescent="0.35">
      <c r="A297" t="s">
        <v>1050</v>
      </c>
      <c r="B297" t="s">
        <v>862</v>
      </c>
      <c r="C297" t="s">
        <v>863</v>
      </c>
      <c r="D297" s="7">
        <v>45</v>
      </c>
      <c r="E297">
        <v>45.037721845945264</v>
      </c>
      <c r="F297" s="7">
        <v>55</v>
      </c>
      <c r="G297" s="6">
        <v>171121</v>
      </c>
      <c r="H297" s="6">
        <v>77069</v>
      </c>
      <c r="I297" s="6">
        <v>94052</v>
      </c>
      <c r="J297" t="s">
        <v>200</v>
      </c>
    </row>
    <row r="298" spans="1:10" x14ac:dyDescent="0.35">
      <c r="A298" t="s">
        <v>1050</v>
      </c>
      <c r="B298" t="s">
        <v>864</v>
      </c>
      <c r="C298" t="s">
        <v>865</v>
      </c>
      <c r="D298" s="7">
        <v>45</v>
      </c>
      <c r="E298">
        <v>45.013124214338283</v>
      </c>
      <c r="F298" s="7">
        <v>55</v>
      </c>
      <c r="G298" s="6">
        <v>153533</v>
      </c>
      <c r="H298" s="6">
        <v>69110</v>
      </c>
      <c r="I298" s="6">
        <v>84423</v>
      </c>
      <c r="J298" t="s">
        <v>200</v>
      </c>
    </row>
    <row r="299" spans="1:10" x14ac:dyDescent="0.35">
      <c r="A299" t="s">
        <v>1050</v>
      </c>
      <c r="B299" t="s">
        <v>866</v>
      </c>
      <c r="C299" t="s">
        <v>867</v>
      </c>
      <c r="D299" s="7">
        <v>45</v>
      </c>
      <c r="E299">
        <v>45.012811826201123</v>
      </c>
      <c r="F299" s="7">
        <v>55</v>
      </c>
      <c r="G299" s="6">
        <v>1230894</v>
      </c>
      <c r="H299" s="6">
        <v>554060</v>
      </c>
      <c r="I299" s="6">
        <v>676834</v>
      </c>
      <c r="J299" t="s">
        <v>200</v>
      </c>
    </row>
    <row r="300" spans="1:10" x14ac:dyDescent="0.35">
      <c r="A300" t="s">
        <v>1050</v>
      </c>
      <c r="B300" t="s">
        <v>868</v>
      </c>
      <c r="C300" t="s">
        <v>869</v>
      </c>
      <c r="D300" s="7">
        <v>45</v>
      </c>
      <c r="E300">
        <v>44.979718284746369</v>
      </c>
      <c r="F300" s="7">
        <v>55</v>
      </c>
      <c r="G300" s="6">
        <v>89736</v>
      </c>
      <c r="H300" s="6">
        <v>40363</v>
      </c>
      <c r="I300" s="6">
        <v>49373</v>
      </c>
      <c r="J300" t="s">
        <v>200</v>
      </c>
    </row>
    <row r="301" spans="1:10" x14ac:dyDescent="0.35">
      <c r="A301" t="s">
        <v>1050</v>
      </c>
      <c r="B301" t="s">
        <v>870</v>
      </c>
      <c r="C301" t="s">
        <v>871</v>
      </c>
      <c r="D301" s="7">
        <v>44.9</v>
      </c>
      <c r="E301">
        <v>44.85370950888192</v>
      </c>
      <c r="F301" s="7">
        <v>55.1</v>
      </c>
      <c r="G301" s="6">
        <v>26796</v>
      </c>
      <c r="H301" s="6">
        <v>12019</v>
      </c>
      <c r="I301" s="6">
        <v>14777</v>
      </c>
      <c r="J301" t="s">
        <v>200</v>
      </c>
    </row>
    <row r="302" spans="1:10" x14ac:dyDescent="0.35">
      <c r="A302" t="s">
        <v>1050</v>
      </c>
      <c r="B302" t="s">
        <v>872</v>
      </c>
      <c r="C302" t="s">
        <v>873</v>
      </c>
      <c r="D302" s="7">
        <v>44.9</v>
      </c>
      <c r="E302">
        <v>44.853673647893487</v>
      </c>
      <c r="F302" s="7">
        <v>55.1</v>
      </c>
      <c r="G302" s="6">
        <v>329264</v>
      </c>
      <c r="H302" s="6">
        <v>147687</v>
      </c>
      <c r="I302" s="6">
        <v>181577</v>
      </c>
      <c r="J302" t="s">
        <v>200</v>
      </c>
    </row>
    <row r="303" spans="1:10" x14ac:dyDescent="0.35">
      <c r="A303" t="s">
        <v>1050</v>
      </c>
      <c r="B303" t="s">
        <v>874</v>
      </c>
      <c r="C303" t="s">
        <v>875</v>
      </c>
      <c r="D303" s="7">
        <v>44.9</v>
      </c>
      <c r="E303">
        <v>44.852612249904404</v>
      </c>
      <c r="F303" s="7">
        <v>55.1</v>
      </c>
      <c r="G303" s="6">
        <v>1108776</v>
      </c>
      <c r="H303" s="6">
        <v>497315</v>
      </c>
      <c r="I303" s="6">
        <v>611461</v>
      </c>
      <c r="J303" t="s">
        <v>200</v>
      </c>
    </row>
    <row r="304" spans="1:10" x14ac:dyDescent="0.35">
      <c r="A304" t="s">
        <v>1050</v>
      </c>
      <c r="B304" t="s">
        <v>876</v>
      </c>
      <c r="C304" t="s">
        <v>877</v>
      </c>
      <c r="D304" s="7">
        <v>44.8</v>
      </c>
      <c r="E304">
        <v>44.815399070745727</v>
      </c>
      <c r="F304" s="7">
        <v>55.2</v>
      </c>
      <c r="G304" s="6">
        <v>232014</v>
      </c>
      <c r="H304" s="6">
        <v>103978</v>
      </c>
      <c r="I304" s="6">
        <v>128036</v>
      </c>
      <c r="J304" t="s">
        <v>200</v>
      </c>
    </row>
    <row r="305" spans="1:10" x14ac:dyDescent="0.35">
      <c r="A305" t="s">
        <v>1050</v>
      </c>
      <c r="B305" t="s">
        <v>878</v>
      </c>
      <c r="C305" t="s">
        <v>879</v>
      </c>
      <c r="D305" s="7">
        <v>44.8</v>
      </c>
      <c r="E305">
        <v>44.808902242346853</v>
      </c>
      <c r="F305" s="7">
        <v>55.2</v>
      </c>
      <c r="G305" s="6">
        <v>470623</v>
      </c>
      <c r="H305" s="6">
        <v>210881</v>
      </c>
      <c r="I305" s="6">
        <v>259742</v>
      </c>
      <c r="J305" t="s">
        <v>200</v>
      </c>
    </row>
    <row r="306" spans="1:10" x14ac:dyDescent="0.35">
      <c r="A306" t="s">
        <v>1050</v>
      </c>
      <c r="B306" t="s">
        <v>880</v>
      </c>
      <c r="C306" t="s">
        <v>881</v>
      </c>
      <c r="D306" s="7">
        <v>44.8</v>
      </c>
      <c r="E306">
        <v>44.786384673538251</v>
      </c>
      <c r="F306" s="7">
        <v>55.2</v>
      </c>
      <c r="G306" s="6">
        <v>54233</v>
      </c>
      <c r="H306" s="6">
        <v>24289</v>
      </c>
      <c r="I306" s="6">
        <v>29944</v>
      </c>
      <c r="J306" t="s">
        <v>200</v>
      </c>
    </row>
    <row r="307" spans="1:10" x14ac:dyDescent="0.35">
      <c r="A307" t="s">
        <v>1050</v>
      </c>
      <c r="B307" t="s">
        <v>882</v>
      </c>
      <c r="C307" t="s">
        <v>883</v>
      </c>
      <c r="D307" s="7">
        <v>44.7</v>
      </c>
      <c r="E307">
        <v>44.679850960160508</v>
      </c>
      <c r="F307" s="7">
        <v>55.3</v>
      </c>
      <c r="G307" s="6">
        <v>348900</v>
      </c>
      <c r="H307" s="6">
        <v>155888</v>
      </c>
      <c r="I307" s="6">
        <v>193012</v>
      </c>
      <c r="J307" t="s">
        <v>200</v>
      </c>
    </row>
    <row r="308" spans="1:10" x14ac:dyDescent="0.35">
      <c r="A308" t="s">
        <v>1050</v>
      </c>
      <c r="B308" t="s">
        <v>884</v>
      </c>
      <c r="C308" t="s">
        <v>885</v>
      </c>
      <c r="D308" s="7">
        <v>44.7</v>
      </c>
      <c r="E308">
        <v>44.660022929711623</v>
      </c>
      <c r="F308" s="7">
        <v>55.3</v>
      </c>
      <c r="G308" s="6">
        <v>68034</v>
      </c>
      <c r="H308" s="6">
        <v>30384</v>
      </c>
      <c r="I308" s="6">
        <v>37650</v>
      </c>
      <c r="J308" t="s">
        <v>200</v>
      </c>
    </row>
    <row r="309" spans="1:10" x14ac:dyDescent="0.35">
      <c r="A309" t="s">
        <v>1050</v>
      </c>
      <c r="B309" t="s">
        <v>886</v>
      </c>
      <c r="C309" t="s">
        <v>887</v>
      </c>
      <c r="D309" s="7">
        <v>44.6</v>
      </c>
      <c r="E309">
        <v>44.635026582327598</v>
      </c>
      <c r="F309" s="7">
        <v>55.4</v>
      </c>
      <c r="G309" s="6">
        <v>77307</v>
      </c>
      <c r="H309" s="6">
        <v>34506</v>
      </c>
      <c r="I309" s="6">
        <v>42801</v>
      </c>
      <c r="J309" t="s">
        <v>200</v>
      </c>
    </row>
    <row r="310" spans="1:10" x14ac:dyDescent="0.35">
      <c r="A310" t="s">
        <v>1050</v>
      </c>
      <c r="B310" t="s">
        <v>888</v>
      </c>
      <c r="C310" t="s">
        <v>889</v>
      </c>
      <c r="D310" s="7">
        <v>44.6</v>
      </c>
      <c r="E310">
        <v>44.62256209203548</v>
      </c>
      <c r="F310" s="7">
        <v>55.4</v>
      </c>
      <c r="G310" s="6">
        <v>4175455</v>
      </c>
      <c r="H310" s="6">
        <v>1863195</v>
      </c>
      <c r="I310" s="6">
        <v>2312260</v>
      </c>
      <c r="J310" t="s">
        <v>200</v>
      </c>
    </row>
    <row r="311" spans="1:10" x14ac:dyDescent="0.35">
      <c r="A311" t="s">
        <v>1050</v>
      </c>
      <c r="B311" t="s">
        <v>890</v>
      </c>
      <c r="C311" t="s">
        <v>891</v>
      </c>
      <c r="D311" s="7">
        <v>44.6</v>
      </c>
      <c r="E311">
        <v>44.576983921911101</v>
      </c>
      <c r="F311" s="7">
        <v>55.4</v>
      </c>
      <c r="G311" s="6">
        <v>917211</v>
      </c>
      <c r="H311" s="6">
        <v>408865</v>
      </c>
      <c r="I311" s="6">
        <v>508346</v>
      </c>
      <c r="J311" t="s">
        <v>200</v>
      </c>
    </row>
    <row r="312" spans="1:10" x14ac:dyDescent="0.35">
      <c r="A312" t="s">
        <v>1050</v>
      </c>
      <c r="B312" t="s">
        <v>892</v>
      </c>
      <c r="C312" t="s">
        <v>893</v>
      </c>
      <c r="D312" s="7">
        <v>44.4</v>
      </c>
      <c r="E312">
        <v>44.422643611230662</v>
      </c>
      <c r="F312" s="7">
        <v>55.6</v>
      </c>
      <c r="G312" s="6">
        <v>78998</v>
      </c>
      <c r="H312" s="6">
        <v>35093</v>
      </c>
      <c r="I312" s="6">
        <v>43905</v>
      </c>
      <c r="J312" t="s">
        <v>200</v>
      </c>
    </row>
    <row r="313" spans="1:10" x14ac:dyDescent="0.35">
      <c r="A313" t="s">
        <v>1050</v>
      </c>
      <c r="B313" t="s">
        <v>894</v>
      </c>
      <c r="C313" t="s">
        <v>895</v>
      </c>
      <c r="D313" s="7">
        <v>44.4</v>
      </c>
      <c r="E313">
        <v>44.393505694059712</v>
      </c>
      <c r="F313" s="7">
        <v>55.6</v>
      </c>
      <c r="G313" s="6">
        <v>2599200</v>
      </c>
      <c r="H313" s="6">
        <v>1153876</v>
      </c>
      <c r="I313" s="6">
        <v>1445324</v>
      </c>
      <c r="J313" t="s">
        <v>200</v>
      </c>
    </row>
    <row r="314" spans="1:10" x14ac:dyDescent="0.35">
      <c r="A314" t="s">
        <v>1050</v>
      </c>
      <c r="B314" t="s">
        <v>896</v>
      </c>
      <c r="C314" t="s">
        <v>897</v>
      </c>
      <c r="D314" s="7">
        <v>44.4</v>
      </c>
      <c r="E314">
        <v>44.379729563584377</v>
      </c>
      <c r="F314" s="7">
        <v>55.6</v>
      </c>
      <c r="G314" s="6">
        <v>1244433</v>
      </c>
      <c r="H314" s="6">
        <v>552276</v>
      </c>
      <c r="I314" s="6">
        <v>692157</v>
      </c>
      <c r="J314" t="s">
        <v>200</v>
      </c>
    </row>
    <row r="315" spans="1:10" x14ac:dyDescent="0.35">
      <c r="A315" t="s">
        <v>1050</v>
      </c>
      <c r="B315" t="s">
        <v>898</v>
      </c>
      <c r="C315" t="s">
        <v>899</v>
      </c>
      <c r="D315" s="7">
        <v>44.4</v>
      </c>
      <c r="E315">
        <v>44.357147346707883</v>
      </c>
      <c r="F315" s="7">
        <v>55.6</v>
      </c>
      <c r="G315" s="6">
        <v>175009</v>
      </c>
      <c r="H315" s="6">
        <v>77629</v>
      </c>
      <c r="I315" s="6">
        <v>97380</v>
      </c>
      <c r="J315" t="s">
        <v>200</v>
      </c>
    </row>
    <row r="316" spans="1:10" x14ac:dyDescent="0.35">
      <c r="A316" t="s">
        <v>1050</v>
      </c>
      <c r="B316" t="s">
        <v>900</v>
      </c>
      <c r="C316" t="s">
        <v>901</v>
      </c>
      <c r="D316" s="7">
        <v>44.3</v>
      </c>
      <c r="E316">
        <v>44.325996060679358</v>
      </c>
      <c r="F316" s="7">
        <v>55.7</v>
      </c>
      <c r="G316" s="6">
        <v>57878</v>
      </c>
      <c r="H316" s="6">
        <v>25655</v>
      </c>
      <c r="I316" s="6">
        <v>32223</v>
      </c>
      <c r="J316" t="s">
        <v>200</v>
      </c>
    </row>
    <row r="317" spans="1:10" x14ac:dyDescent="0.35">
      <c r="A317" t="s">
        <v>1050</v>
      </c>
      <c r="B317" t="s">
        <v>902</v>
      </c>
      <c r="C317" t="s">
        <v>903</v>
      </c>
      <c r="D317" s="7">
        <v>44.2</v>
      </c>
      <c r="E317">
        <v>44.194119341959031</v>
      </c>
      <c r="F317" s="7">
        <v>55.8</v>
      </c>
      <c r="G317" s="6">
        <v>72883</v>
      </c>
      <c r="H317" s="6">
        <v>32210</v>
      </c>
      <c r="I317" s="6">
        <v>40673</v>
      </c>
      <c r="J317" t="s">
        <v>200</v>
      </c>
    </row>
    <row r="318" spans="1:10" x14ac:dyDescent="0.35">
      <c r="A318" t="s">
        <v>1050</v>
      </c>
      <c r="B318" t="s">
        <v>904</v>
      </c>
      <c r="C318" t="s">
        <v>905</v>
      </c>
      <c r="D318" s="7">
        <v>44.2</v>
      </c>
      <c r="E318">
        <v>44.180702234644919</v>
      </c>
      <c r="F318" s="7">
        <v>55.8</v>
      </c>
      <c r="G318" s="6">
        <v>138814</v>
      </c>
      <c r="H318" s="6">
        <v>61329</v>
      </c>
      <c r="I318" s="6">
        <v>77485</v>
      </c>
      <c r="J318" t="s">
        <v>200</v>
      </c>
    </row>
    <row r="319" spans="1:10" x14ac:dyDescent="0.35">
      <c r="A319" t="s">
        <v>1050</v>
      </c>
      <c r="B319" t="s">
        <v>906</v>
      </c>
      <c r="C319" t="s">
        <v>907</v>
      </c>
      <c r="D319" s="7">
        <v>44.2</v>
      </c>
      <c r="E319">
        <v>44.152450487133287</v>
      </c>
      <c r="F319" s="7">
        <v>55.8</v>
      </c>
      <c r="G319" s="6">
        <v>128199</v>
      </c>
      <c r="H319" s="6">
        <v>56603</v>
      </c>
      <c r="I319" s="6">
        <v>71596</v>
      </c>
      <c r="J319" t="s">
        <v>200</v>
      </c>
    </row>
    <row r="320" spans="1:10" x14ac:dyDescent="0.35">
      <c r="A320" t="s">
        <v>1050</v>
      </c>
      <c r="B320" t="s">
        <v>908</v>
      </c>
      <c r="C320" t="s">
        <v>909</v>
      </c>
      <c r="D320" s="7">
        <v>44.1</v>
      </c>
      <c r="E320">
        <v>44.141719357792518</v>
      </c>
      <c r="F320" s="7">
        <v>55.9</v>
      </c>
      <c r="G320" s="6">
        <v>990521</v>
      </c>
      <c r="H320" s="6">
        <v>437233</v>
      </c>
      <c r="I320" s="6">
        <v>553288</v>
      </c>
      <c r="J320" t="s">
        <v>200</v>
      </c>
    </row>
    <row r="321" spans="1:10" x14ac:dyDescent="0.35">
      <c r="A321" t="s">
        <v>1050</v>
      </c>
      <c r="B321" t="s">
        <v>910</v>
      </c>
      <c r="C321" t="s">
        <v>911</v>
      </c>
      <c r="D321" s="7">
        <v>44.1</v>
      </c>
      <c r="E321">
        <v>44.119428749102063</v>
      </c>
      <c r="F321" s="7">
        <v>55.9</v>
      </c>
      <c r="G321" s="6">
        <v>373076</v>
      </c>
      <c r="H321" s="6">
        <v>164599</v>
      </c>
      <c r="I321" s="6">
        <v>208477</v>
      </c>
      <c r="J321" t="s">
        <v>200</v>
      </c>
    </row>
    <row r="322" spans="1:10" x14ac:dyDescent="0.35">
      <c r="A322" t="s">
        <v>1050</v>
      </c>
      <c r="B322" t="s">
        <v>912</v>
      </c>
      <c r="C322" t="s">
        <v>913</v>
      </c>
      <c r="D322" s="7">
        <v>44.1</v>
      </c>
      <c r="E322">
        <v>44.057769050484573</v>
      </c>
      <c r="F322" s="7">
        <v>55.9</v>
      </c>
      <c r="G322" s="6">
        <v>78935</v>
      </c>
      <c r="H322" s="6">
        <v>34777</v>
      </c>
      <c r="I322" s="6">
        <v>44158</v>
      </c>
      <c r="J322" t="s">
        <v>200</v>
      </c>
    </row>
    <row r="323" spans="1:10" x14ac:dyDescent="0.35">
      <c r="A323" t="s">
        <v>1050</v>
      </c>
      <c r="B323" t="s">
        <v>914</v>
      </c>
      <c r="C323" t="s">
        <v>915</v>
      </c>
      <c r="D323" s="7">
        <v>44</v>
      </c>
      <c r="E323">
        <v>44.018097597759343</v>
      </c>
      <c r="F323" s="7">
        <v>56</v>
      </c>
      <c r="G323" s="6">
        <v>232075</v>
      </c>
      <c r="H323" s="6">
        <v>102155</v>
      </c>
      <c r="I323" s="6">
        <v>129920</v>
      </c>
      <c r="J323" t="s">
        <v>200</v>
      </c>
    </row>
    <row r="324" spans="1:10" x14ac:dyDescent="0.35">
      <c r="A324" t="s">
        <v>1050</v>
      </c>
      <c r="B324" t="s">
        <v>916</v>
      </c>
      <c r="C324" t="s">
        <v>917</v>
      </c>
      <c r="D324" s="7">
        <v>44</v>
      </c>
      <c r="E324">
        <v>44.0042872454448</v>
      </c>
      <c r="F324" s="7">
        <v>56</v>
      </c>
      <c r="G324" s="6">
        <v>303225</v>
      </c>
      <c r="H324" s="6">
        <v>133432</v>
      </c>
      <c r="I324" s="6">
        <v>169793</v>
      </c>
      <c r="J324" t="s">
        <v>200</v>
      </c>
    </row>
    <row r="325" spans="1:10" x14ac:dyDescent="0.35">
      <c r="A325" t="s">
        <v>1050</v>
      </c>
      <c r="B325" t="s">
        <v>918</v>
      </c>
      <c r="C325" t="s">
        <v>919</v>
      </c>
      <c r="D325" s="7">
        <v>43.9</v>
      </c>
      <c r="E325">
        <v>43.908829863603742</v>
      </c>
      <c r="F325" s="7">
        <v>56.1</v>
      </c>
      <c r="G325" s="6">
        <v>111440</v>
      </c>
      <c r="H325" s="6">
        <v>48932</v>
      </c>
      <c r="I325" s="6">
        <v>62508</v>
      </c>
      <c r="J325" t="s">
        <v>200</v>
      </c>
    </row>
    <row r="326" spans="1:10" x14ac:dyDescent="0.35">
      <c r="A326" t="s">
        <v>1050</v>
      </c>
      <c r="B326" t="s">
        <v>920</v>
      </c>
      <c r="C326" t="s">
        <v>921</v>
      </c>
      <c r="D326" s="7">
        <v>43.9</v>
      </c>
      <c r="E326">
        <v>43.890615915387563</v>
      </c>
      <c r="F326" s="7">
        <v>56.1</v>
      </c>
      <c r="G326" s="6">
        <v>1845497</v>
      </c>
      <c r="H326" s="6">
        <v>810000</v>
      </c>
      <c r="I326" s="6">
        <v>1035497</v>
      </c>
      <c r="J326" t="s">
        <v>200</v>
      </c>
    </row>
    <row r="327" spans="1:10" x14ac:dyDescent="0.35">
      <c r="A327" t="s">
        <v>1050</v>
      </c>
      <c r="B327" t="s">
        <v>922</v>
      </c>
      <c r="C327" t="s">
        <v>923</v>
      </c>
      <c r="D327" s="7">
        <v>43.8</v>
      </c>
      <c r="E327">
        <v>43.834899122131517</v>
      </c>
      <c r="F327" s="7">
        <v>56.2</v>
      </c>
      <c r="G327" s="6">
        <v>97395</v>
      </c>
      <c r="H327" s="6">
        <v>42693</v>
      </c>
      <c r="I327" s="6">
        <v>54702</v>
      </c>
      <c r="J327" t="s">
        <v>200</v>
      </c>
    </row>
    <row r="328" spans="1:10" x14ac:dyDescent="0.35">
      <c r="A328" t="s">
        <v>1050</v>
      </c>
      <c r="B328" t="s">
        <v>924</v>
      </c>
      <c r="C328" t="s">
        <v>925</v>
      </c>
      <c r="D328" s="7">
        <v>43.8</v>
      </c>
      <c r="E328">
        <v>43.819131657102687</v>
      </c>
      <c r="F328" s="7">
        <v>56.2</v>
      </c>
      <c r="G328" s="6">
        <v>233341</v>
      </c>
      <c r="H328" s="6">
        <v>102248</v>
      </c>
      <c r="I328" s="6">
        <v>131093</v>
      </c>
      <c r="J328" t="s">
        <v>200</v>
      </c>
    </row>
    <row r="329" spans="1:10" x14ac:dyDescent="0.35">
      <c r="A329" t="s">
        <v>1050</v>
      </c>
      <c r="B329" t="s">
        <v>926</v>
      </c>
      <c r="C329" t="s">
        <v>927</v>
      </c>
      <c r="D329" s="7">
        <v>43.8</v>
      </c>
      <c r="E329">
        <v>43.794791120433487</v>
      </c>
      <c r="F329" s="7">
        <v>56.2</v>
      </c>
      <c r="G329" s="6">
        <v>320376</v>
      </c>
      <c r="H329" s="6">
        <v>140308</v>
      </c>
      <c r="I329" s="6">
        <v>180068</v>
      </c>
      <c r="J329" t="s">
        <v>200</v>
      </c>
    </row>
    <row r="330" spans="1:10" x14ac:dyDescent="0.35">
      <c r="A330" t="s">
        <v>1050</v>
      </c>
      <c r="B330" t="s">
        <v>928</v>
      </c>
      <c r="C330" t="s">
        <v>929</v>
      </c>
      <c r="D330" s="7">
        <v>43.7</v>
      </c>
      <c r="E330">
        <v>43.705152018770157</v>
      </c>
      <c r="F330" s="7">
        <v>56.3</v>
      </c>
      <c r="G330" s="6">
        <v>358015</v>
      </c>
      <c r="H330" s="6">
        <v>156471</v>
      </c>
      <c r="I330" s="6">
        <v>201544</v>
      </c>
      <c r="J330" t="s">
        <v>200</v>
      </c>
    </row>
    <row r="331" spans="1:10" x14ac:dyDescent="0.35">
      <c r="A331" t="s">
        <v>1050</v>
      </c>
      <c r="B331" t="s">
        <v>930</v>
      </c>
      <c r="C331" t="s">
        <v>931</v>
      </c>
      <c r="D331" s="7">
        <v>43.4</v>
      </c>
      <c r="E331">
        <v>43.43809857633984</v>
      </c>
      <c r="F331" s="7">
        <v>56.6</v>
      </c>
      <c r="G331" s="6">
        <v>564882</v>
      </c>
      <c r="H331" s="6">
        <v>245374</v>
      </c>
      <c r="I331" s="6">
        <v>319508</v>
      </c>
      <c r="J331" t="s">
        <v>200</v>
      </c>
    </row>
    <row r="332" spans="1:10" x14ac:dyDescent="0.35">
      <c r="A332" t="s">
        <v>1050</v>
      </c>
      <c r="B332" t="s">
        <v>932</v>
      </c>
      <c r="C332" t="s">
        <v>933</v>
      </c>
      <c r="D332" s="7">
        <v>43.4</v>
      </c>
      <c r="E332">
        <v>43.419073548731028</v>
      </c>
      <c r="F332" s="7">
        <v>56.6</v>
      </c>
      <c r="G332" s="6">
        <v>52523</v>
      </c>
      <c r="H332" s="6">
        <v>22805</v>
      </c>
      <c r="I332" s="6">
        <v>29718</v>
      </c>
      <c r="J332" t="s">
        <v>200</v>
      </c>
    </row>
    <row r="333" spans="1:10" x14ac:dyDescent="0.35">
      <c r="A333" t="s">
        <v>1050</v>
      </c>
      <c r="B333" t="s">
        <v>934</v>
      </c>
      <c r="C333" t="s">
        <v>935</v>
      </c>
      <c r="D333" s="7">
        <v>43.2</v>
      </c>
      <c r="E333">
        <v>43.181133248822022</v>
      </c>
      <c r="F333" s="7">
        <v>56.8</v>
      </c>
      <c r="G333" s="6">
        <v>209045</v>
      </c>
      <c r="H333" s="6">
        <v>90268</v>
      </c>
      <c r="I333" s="6">
        <v>118777</v>
      </c>
      <c r="J333" t="s">
        <v>200</v>
      </c>
    </row>
    <row r="334" spans="1:10" x14ac:dyDescent="0.35">
      <c r="A334" t="s">
        <v>1050</v>
      </c>
      <c r="B334" t="s">
        <v>936</v>
      </c>
      <c r="C334" t="s">
        <v>937</v>
      </c>
      <c r="D334" s="7">
        <v>43.1</v>
      </c>
      <c r="E334">
        <v>43.097070960518799</v>
      </c>
      <c r="F334" s="7">
        <v>56.9</v>
      </c>
      <c r="G334" s="6">
        <v>2567019</v>
      </c>
      <c r="H334" s="6">
        <v>1106310</v>
      </c>
      <c r="I334" s="6">
        <v>1460709</v>
      </c>
      <c r="J334" t="s">
        <v>200</v>
      </c>
    </row>
    <row r="335" spans="1:10" x14ac:dyDescent="0.35">
      <c r="A335" t="s">
        <v>1050</v>
      </c>
      <c r="B335" t="s">
        <v>938</v>
      </c>
      <c r="C335" t="s">
        <v>939</v>
      </c>
      <c r="D335" s="7">
        <v>43.1</v>
      </c>
      <c r="E335">
        <v>43.060041216818917</v>
      </c>
      <c r="F335" s="7">
        <v>56.9</v>
      </c>
      <c r="G335" s="6">
        <v>130044</v>
      </c>
      <c r="H335" s="6">
        <v>55997</v>
      </c>
      <c r="I335" s="6">
        <v>74047</v>
      </c>
      <c r="J335" t="s">
        <v>200</v>
      </c>
    </row>
    <row r="336" spans="1:10" x14ac:dyDescent="0.35">
      <c r="A336" t="s">
        <v>1050</v>
      </c>
      <c r="B336" t="s">
        <v>940</v>
      </c>
      <c r="C336" t="s">
        <v>941</v>
      </c>
      <c r="D336" s="7">
        <v>43</v>
      </c>
      <c r="E336">
        <v>43.024019649844341</v>
      </c>
      <c r="F336" s="7">
        <v>57</v>
      </c>
      <c r="G336" s="6">
        <v>35013</v>
      </c>
      <c r="H336" s="6">
        <v>15064</v>
      </c>
      <c r="I336" s="6">
        <v>19949</v>
      </c>
      <c r="J336" t="s">
        <v>200</v>
      </c>
    </row>
    <row r="337" spans="1:10" x14ac:dyDescent="0.35">
      <c r="A337" t="s">
        <v>1050</v>
      </c>
      <c r="B337" t="s">
        <v>942</v>
      </c>
      <c r="C337" t="s">
        <v>943</v>
      </c>
      <c r="D337" s="7">
        <v>43</v>
      </c>
      <c r="E337">
        <v>42.971563981042657</v>
      </c>
      <c r="F337" s="7">
        <v>57</v>
      </c>
      <c r="G337" s="6">
        <v>42200</v>
      </c>
      <c r="H337" s="6">
        <v>18134</v>
      </c>
      <c r="I337" s="6">
        <v>24066</v>
      </c>
      <c r="J337" t="s">
        <v>200</v>
      </c>
    </row>
    <row r="338" spans="1:10" x14ac:dyDescent="0.35">
      <c r="A338" t="s">
        <v>1050</v>
      </c>
      <c r="B338" t="s">
        <v>944</v>
      </c>
      <c r="C338" t="s">
        <v>945</v>
      </c>
      <c r="D338" s="7">
        <v>42.9</v>
      </c>
      <c r="E338">
        <v>42.888297833150368</v>
      </c>
      <c r="F338" s="7">
        <v>57.1</v>
      </c>
      <c r="G338" s="6">
        <v>135727</v>
      </c>
      <c r="H338" s="6">
        <v>58211</v>
      </c>
      <c r="I338" s="6">
        <v>77516</v>
      </c>
      <c r="J338" t="s">
        <v>200</v>
      </c>
    </row>
    <row r="339" spans="1:10" x14ac:dyDescent="0.35">
      <c r="A339" t="s">
        <v>1050</v>
      </c>
      <c r="B339" t="s">
        <v>946</v>
      </c>
      <c r="C339" t="s">
        <v>947</v>
      </c>
      <c r="D339" s="7">
        <v>42.8</v>
      </c>
      <c r="E339">
        <v>42.791045635034813</v>
      </c>
      <c r="F339" s="7">
        <v>57.2</v>
      </c>
      <c r="G339" s="6">
        <v>86885</v>
      </c>
      <c r="H339" s="6">
        <v>37179</v>
      </c>
      <c r="I339" s="6">
        <v>49706</v>
      </c>
      <c r="J339" t="s">
        <v>200</v>
      </c>
    </row>
    <row r="340" spans="1:10" x14ac:dyDescent="0.35">
      <c r="A340" t="s">
        <v>1050</v>
      </c>
      <c r="B340" t="s">
        <v>948</v>
      </c>
      <c r="C340" t="s">
        <v>949</v>
      </c>
      <c r="D340" s="7">
        <v>42.7</v>
      </c>
      <c r="E340">
        <v>42.718390508775123</v>
      </c>
      <c r="F340" s="7">
        <v>57.3</v>
      </c>
      <c r="G340" s="6">
        <v>951953</v>
      </c>
      <c r="H340" s="6">
        <v>406659</v>
      </c>
      <c r="I340" s="6">
        <v>545294</v>
      </c>
      <c r="J340" t="s">
        <v>200</v>
      </c>
    </row>
    <row r="341" spans="1:10" x14ac:dyDescent="0.35">
      <c r="A341" t="s">
        <v>1050</v>
      </c>
      <c r="B341" t="s">
        <v>950</v>
      </c>
      <c r="C341" t="s">
        <v>951</v>
      </c>
      <c r="D341" s="7">
        <v>42.6</v>
      </c>
      <c r="E341">
        <v>42.600025520863298</v>
      </c>
      <c r="F341" s="7">
        <v>57.4</v>
      </c>
      <c r="G341" s="6">
        <v>1998365</v>
      </c>
      <c r="H341" s="6">
        <v>851304</v>
      </c>
      <c r="I341" s="6">
        <v>1147061</v>
      </c>
      <c r="J341" t="s">
        <v>200</v>
      </c>
    </row>
    <row r="342" spans="1:10" x14ac:dyDescent="0.35">
      <c r="A342" t="s">
        <v>1050</v>
      </c>
      <c r="B342" t="s">
        <v>952</v>
      </c>
      <c r="C342" t="s">
        <v>953</v>
      </c>
      <c r="D342" s="7">
        <v>42.5</v>
      </c>
      <c r="E342">
        <v>42.548277574932023</v>
      </c>
      <c r="F342" s="7">
        <v>57.5</v>
      </c>
      <c r="G342" s="6">
        <v>195277</v>
      </c>
      <c r="H342" s="6">
        <v>83087</v>
      </c>
      <c r="I342" s="6">
        <v>112190</v>
      </c>
      <c r="J342" t="s">
        <v>200</v>
      </c>
    </row>
    <row r="343" spans="1:10" x14ac:dyDescent="0.35">
      <c r="A343" t="s">
        <v>1050</v>
      </c>
      <c r="B343" t="s">
        <v>954</v>
      </c>
      <c r="C343" t="s">
        <v>955</v>
      </c>
      <c r="D343" s="7">
        <v>42.5</v>
      </c>
      <c r="E343">
        <v>42.492400485407728</v>
      </c>
      <c r="F343" s="7">
        <v>57.5</v>
      </c>
      <c r="G343" s="6">
        <v>249687</v>
      </c>
      <c r="H343" s="6">
        <v>106098</v>
      </c>
      <c r="I343" s="6">
        <v>143589</v>
      </c>
      <c r="J343" t="s">
        <v>200</v>
      </c>
    </row>
    <row r="344" spans="1:10" x14ac:dyDescent="0.35">
      <c r="A344" t="s">
        <v>1050</v>
      </c>
      <c r="B344" t="s">
        <v>956</v>
      </c>
      <c r="C344" t="s">
        <v>957</v>
      </c>
      <c r="D344" s="7">
        <v>42.4</v>
      </c>
      <c r="E344">
        <v>42.388180348482123</v>
      </c>
      <c r="F344" s="7">
        <v>57.6</v>
      </c>
      <c r="G344" s="6">
        <v>89072</v>
      </c>
      <c r="H344" s="6">
        <v>37756</v>
      </c>
      <c r="I344" s="6">
        <v>51316</v>
      </c>
      <c r="J344" t="s">
        <v>200</v>
      </c>
    </row>
    <row r="345" spans="1:10" x14ac:dyDescent="0.35">
      <c r="A345" t="s">
        <v>1050</v>
      </c>
      <c r="B345" t="s">
        <v>958</v>
      </c>
      <c r="C345" t="s">
        <v>959</v>
      </c>
      <c r="D345" s="7">
        <v>42.4</v>
      </c>
      <c r="E345">
        <v>42.387167846174393</v>
      </c>
      <c r="F345" s="7">
        <v>57.6</v>
      </c>
      <c r="G345" s="6">
        <v>59912</v>
      </c>
      <c r="H345" s="6">
        <v>25395</v>
      </c>
      <c r="I345" s="6">
        <v>34517</v>
      </c>
      <c r="J345" t="s">
        <v>200</v>
      </c>
    </row>
    <row r="346" spans="1:10" x14ac:dyDescent="0.35">
      <c r="A346" t="s">
        <v>1050</v>
      </c>
      <c r="B346" t="s">
        <v>960</v>
      </c>
      <c r="C346" t="s">
        <v>961</v>
      </c>
      <c r="D346" s="7">
        <v>42.4</v>
      </c>
      <c r="E346">
        <v>42.371853671429243</v>
      </c>
      <c r="F346" s="7">
        <v>57.6</v>
      </c>
      <c r="G346" s="6">
        <v>64321</v>
      </c>
      <c r="H346" s="6">
        <v>27254</v>
      </c>
      <c r="I346" s="6">
        <v>37067</v>
      </c>
      <c r="J346" t="s">
        <v>200</v>
      </c>
    </row>
    <row r="347" spans="1:10" x14ac:dyDescent="0.35">
      <c r="A347" t="s">
        <v>1050</v>
      </c>
      <c r="B347" t="s">
        <v>962</v>
      </c>
      <c r="C347" t="s">
        <v>963</v>
      </c>
      <c r="D347" s="7">
        <v>42.4</v>
      </c>
      <c r="E347">
        <v>42.369838420107719</v>
      </c>
      <c r="F347" s="7">
        <v>57.6</v>
      </c>
      <c r="G347" s="6">
        <v>74638</v>
      </c>
      <c r="H347" s="6">
        <v>31624</v>
      </c>
      <c r="I347" s="6">
        <v>43014</v>
      </c>
      <c r="J347" t="s">
        <v>200</v>
      </c>
    </row>
    <row r="348" spans="1:10" x14ac:dyDescent="0.35">
      <c r="A348" t="s">
        <v>1050</v>
      </c>
      <c r="B348" t="s">
        <v>964</v>
      </c>
      <c r="C348" t="s">
        <v>965</v>
      </c>
      <c r="D348" s="7">
        <v>42.4</v>
      </c>
      <c r="E348">
        <v>42.3658561481761</v>
      </c>
      <c r="F348" s="7">
        <v>57.6</v>
      </c>
      <c r="G348" s="6">
        <v>646582</v>
      </c>
      <c r="H348" s="6">
        <v>273930</v>
      </c>
      <c r="I348" s="6">
        <v>372652</v>
      </c>
      <c r="J348" t="s">
        <v>200</v>
      </c>
    </row>
    <row r="349" spans="1:10" x14ac:dyDescent="0.35">
      <c r="A349" t="s">
        <v>1050</v>
      </c>
      <c r="B349" t="s">
        <v>966</v>
      </c>
      <c r="C349" t="s">
        <v>967</v>
      </c>
      <c r="D349" s="7">
        <v>42.1</v>
      </c>
      <c r="E349">
        <v>42.149128685645039</v>
      </c>
      <c r="F349" s="7">
        <v>57.9</v>
      </c>
      <c r="G349" s="6">
        <v>3439459</v>
      </c>
      <c r="H349" s="6">
        <v>1449702</v>
      </c>
      <c r="I349" s="6">
        <v>1989757</v>
      </c>
      <c r="J349" t="s">
        <v>200</v>
      </c>
    </row>
    <row r="350" spans="1:10" x14ac:dyDescent="0.35">
      <c r="A350" t="s">
        <v>1050</v>
      </c>
      <c r="B350" t="s">
        <v>968</v>
      </c>
      <c r="C350" t="s">
        <v>969</v>
      </c>
      <c r="D350" s="7">
        <v>42.1</v>
      </c>
      <c r="E350">
        <v>42.143976595966983</v>
      </c>
      <c r="F350" s="7">
        <v>57.9</v>
      </c>
      <c r="G350" s="6">
        <v>47855</v>
      </c>
      <c r="H350" s="6">
        <v>20168</v>
      </c>
      <c r="I350" s="6">
        <v>27687</v>
      </c>
      <c r="J350" t="s">
        <v>200</v>
      </c>
    </row>
    <row r="351" spans="1:10" x14ac:dyDescent="0.35">
      <c r="A351" t="s">
        <v>1050</v>
      </c>
      <c r="B351" t="s">
        <v>970</v>
      </c>
      <c r="C351" t="s">
        <v>971</v>
      </c>
      <c r="D351" s="7">
        <v>42.1</v>
      </c>
      <c r="E351">
        <v>42.121327575629273</v>
      </c>
      <c r="F351" s="7">
        <v>57.9</v>
      </c>
      <c r="G351" s="6">
        <v>1178479</v>
      </c>
      <c r="H351" s="6">
        <v>496391</v>
      </c>
      <c r="I351" s="6">
        <v>682088</v>
      </c>
      <c r="J351" t="s">
        <v>200</v>
      </c>
    </row>
    <row r="352" spans="1:10" x14ac:dyDescent="0.35">
      <c r="A352" t="s">
        <v>1050</v>
      </c>
      <c r="B352" t="s">
        <v>972</v>
      </c>
      <c r="C352" t="s">
        <v>973</v>
      </c>
      <c r="D352" s="7">
        <v>42</v>
      </c>
      <c r="E352">
        <v>42.026292562828083</v>
      </c>
      <c r="F352" s="7">
        <v>58</v>
      </c>
      <c r="G352" s="6">
        <v>64581</v>
      </c>
      <c r="H352" s="6">
        <v>27141</v>
      </c>
      <c r="I352" s="6">
        <v>37440</v>
      </c>
      <c r="J352" t="s">
        <v>200</v>
      </c>
    </row>
    <row r="353" spans="1:10" x14ac:dyDescent="0.35">
      <c r="A353" t="s">
        <v>1050</v>
      </c>
      <c r="B353" t="s">
        <v>974</v>
      </c>
      <c r="C353" t="s">
        <v>975</v>
      </c>
      <c r="D353" s="7">
        <v>42</v>
      </c>
      <c r="E353">
        <v>41.975752093089262</v>
      </c>
      <c r="F353" s="7">
        <v>58</v>
      </c>
      <c r="G353" s="6">
        <v>676512</v>
      </c>
      <c r="H353" s="6">
        <v>283971</v>
      </c>
      <c r="I353" s="6">
        <v>392541</v>
      </c>
      <c r="J353" t="s">
        <v>200</v>
      </c>
    </row>
    <row r="354" spans="1:10" x14ac:dyDescent="0.35">
      <c r="A354" t="s">
        <v>1050</v>
      </c>
      <c r="B354" t="s">
        <v>976</v>
      </c>
      <c r="C354" t="s">
        <v>977</v>
      </c>
      <c r="D354" s="7">
        <v>42</v>
      </c>
      <c r="E354">
        <v>41.959942486415812</v>
      </c>
      <c r="F354" s="7">
        <v>58</v>
      </c>
      <c r="G354" s="6">
        <v>544567</v>
      </c>
      <c r="H354" s="6">
        <v>228500</v>
      </c>
      <c r="I354" s="6">
        <v>316067</v>
      </c>
      <c r="J354" t="s">
        <v>200</v>
      </c>
    </row>
    <row r="355" spans="1:10" x14ac:dyDescent="0.35">
      <c r="A355" t="s">
        <v>1050</v>
      </c>
      <c r="B355" t="s">
        <v>978</v>
      </c>
      <c r="C355" t="s">
        <v>979</v>
      </c>
      <c r="D355" s="7">
        <v>41.9</v>
      </c>
      <c r="E355">
        <v>41.906254175320967</v>
      </c>
      <c r="F355" s="7">
        <v>58.1</v>
      </c>
      <c r="G355" s="6">
        <v>82329</v>
      </c>
      <c r="H355" s="6">
        <v>34501</v>
      </c>
      <c r="I355" s="6">
        <v>47828</v>
      </c>
      <c r="J355" t="s">
        <v>200</v>
      </c>
    </row>
    <row r="356" spans="1:10" x14ac:dyDescent="0.35">
      <c r="A356" t="s">
        <v>1050</v>
      </c>
      <c r="B356" t="s">
        <v>980</v>
      </c>
      <c r="C356" t="s">
        <v>981</v>
      </c>
      <c r="D356" s="7">
        <v>41.8</v>
      </c>
      <c r="E356">
        <v>41.790289129561657</v>
      </c>
      <c r="F356" s="7">
        <v>58.2</v>
      </c>
      <c r="G356" s="6">
        <v>1003391</v>
      </c>
      <c r="H356" s="6">
        <v>419320</v>
      </c>
      <c r="I356" s="6">
        <v>584071</v>
      </c>
      <c r="J356" t="s">
        <v>200</v>
      </c>
    </row>
    <row r="357" spans="1:10" x14ac:dyDescent="0.35">
      <c r="A357" t="s">
        <v>1050</v>
      </c>
      <c r="B357" t="s">
        <v>982</v>
      </c>
      <c r="C357" t="s">
        <v>983</v>
      </c>
      <c r="D357" s="7">
        <v>41.8</v>
      </c>
      <c r="E357">
        <v>41.755264980243602</v>
      </c>
      <c r="F357" s="7">
        <v>58.2</v>
      </c>
      <c r="G357" s="6">
        <v>98196</v>
      </c>
      <c r="H357" s="6">
        <v>41002</v>
      </c>
      <c r="I357" s="6">
        <v>57194</v>
      </c>
      <c r="J357" t="s">
        <v>200</v>
      </c>
    </row>
    <row r="358" spans="1:10" x14ac:dyDescent="0.35">
      <c r="A358" t="s">
        <v>1050</v>
      </c>
      <c r="B358" t="s">
        <v>984</v>
      </c>
      <c r="C358" t="s">
        <v>985</v>
      </c>
      <c r="D358" s="7">
        <v>41.4</v>
      </c>
      <c r="E358">
        <v>41.420390147940672</v>
      </c>
      <c r="F358" s="7">
        <v>58.6</v>
      </c>
      <c r="G358" s="6">
        <v>200283</v>
      </c>
      <c r="H358" s="6">
        <v>82958</v>
      </c>
      <c r="I358" s="6">
        <v>117325</v>
      </c>
      <c r="J358" t="s">
        <v>200</v>
      </c>
    </row>
    <row r="359" spans="1:10" x14ac:dyDescent="0.35">
      <c r="A359" t="s">
        <v>1050</v>
      </c>
      <c r="B359" t="s">
        <v>986</v>
      </c>
      <c r="C359" t="s">
        <v>987</v>
      </c>
      <c r="D359" s="7">
        <v>41.4</v>
      </c>
      <c r="E359">
        <v>41.413506800808882</v>
      </c>
      <c r="F359" s="7">
        <v>58.6</v>
      </c>
      <c r="G359" s="6">
        <v>953416</v>
      </c>
      <c r="H359" s="6">
        <v>394843</v>
      </c>
      <c r="I359" s="6">
        <v>558573</v>
      </c>
      <c r="J359" t="s">
        <v>200</v>
      </c>
    </row>
    <row r="360" spans="1:10" x14ac:dyDescent="0.35">
      <c r="A360" t="s">
        <v>1050</v>
      </c>
      <c r="B360" t="s">
        <v>988</v>
      </c>
      <c r="C360" t="s">
        <v>989</v>
      </c>
      <c r="D360" s="7">
        <v>41.3</v>
      </c>
      <c r="E360">
        <v>41.334469839633677</v>
      </c>
      <c r="F360" s="7">
        <v>58.7</v>
      </c>
      <c r="G360" s="6">
        <v>50447</v>
      </c>
      <c r="H360" s="6">
        <v>20852</v>
      </c>
      <c r="I360" s="6">
        <v>29595</v>
      </c>
      <c r="J360" t="s">
        <v>200</v>
      </c>
    </row>
    <row r="361" spans="1:10" x14ac:dyDescent="0.35">
      <c r="A361" t="s">
        <v>1050</v>
      </c>
      <c r="B361" t="s">
        <v>990</v>
      </c>
      <c r="C361" t="s">
        <v>991</v>
      </c>
      <c r="D361" s="7">
        <v>41.1</v>
      </c>
      <c r="E361">
        <v>41.092189539507643</v>
      </c>
      <c r="F361" s="7">
        <v>58.9</v>
      </c>
      <c r="G361" s="6">
        <v>230601</v>
      </c>
      <c r="H361" s="6">
        <v>94759</v>
      </c>
      <c r="I361" s="6">
        <v>135842</v>
      </c>
      <c r="J361" t="s">
        <v>200</v>
      </c>
    </row>
    <row r="362" spans="1:10" x14ac:dyDescent="0.35">
      <c r="A362" t="s">
        <v>1050</v>
      </c>
      <c r="B362" t="s">
        <v>992</v>
      </c>
      <c r="C362" t="s">
        <v>993</v>
      </c>
      <c r="D362" s="7">
        <v>41</v>
      </c>
      <c r="E362">
        <v>40.975635537233757</v>
      </c>
      <c r="F362" s="7">
        <v>59</v>
      </c>
      <c r="G362" s="6">
        <v>75684</v>
      </c>
      <c r="H362" s="6">
        <v>31012</v>
      </c>
      <c r="I362" s="6">
        <v>44672</v>
      </c>
      <c r="J362" t="s">
        <v>200</v>
      </c>
    </row>
    <row r="363" spans="1:10" x14ac:dyDescent="0.35">
      <c r="A363" t="s">
        <v>1050</v>
      </c>
      <c r="B363" t="s">
        <v>994</v>
      </c>
      <c r="C363" t="s">
        <v>995</v>
      </c>
      <c r="D363" s="7">
        <v>40.9</v>
      </c>
      <c r="E363">
        <v>40.927689937291689</v>
      </c>
      <c r="F363" s="7">
        <v>59.1</v>
      </c>
      <c r="G363" s="6">
        <v>946286</v>
      </c>
      <c r="H363" s="6">
        <v>387293</v>
      </c>
      <c r="I363" s="6">
        <v>558993</v>
      </c>
      <c r="J363" t="s">
        <v>200</v>
      </c>
    </row>
    <row r="364" spans="1:10" x14ac:dyDescent="0.35">
      <c r="A364" t="s">
        <v>1050</v>
      </c>
      <c r="B364" t="s">
        <v>996</v>
      </c>
      <c r="C364" t="s">
        <v>997</v>
      </c>
      <c r="D364" s="7">
        <v>40.9</v>
      </c>
      <c r="E364">
        <v>40.893376768099962</v>
      </c>
      <c r="F364" s="7">
        <v>59.1</v>
      </c>
      <c r="G364" s="6">
        <v>350871</v>
      </c>
      <c r="H364" s="6">
        <v>143483</v>
      </c>
      <c r="I364" s="6">
        <v>207388</v>
      </c>
      <c r="J364" t="s">
        <v>200</v>
      </c>
    </row>
    <row r="365" spans="1:10" x14ac:dyDescent="0.35">
      <c r="A365" t="s">
        <v>1050</v>
      </c>
      <c r="B365" t="s">
        <v>998</v>
      </c>
      <c r="C365" t="s">
        <v>999</v>
      </c>
      <c r="D365" s="7">
        <v>40.799999999999997</v>
      </c>
      <c r="E365">
        <v>40.760245878356123</v>
      </c>
      <c r="F365" s="7">
        <v>59.2</v>
      </c>
      <c r="G365" s="6">
        <v>352044</v>
      </c>
      <c r="H365" s="6">
        <v>143494</v>
      </c>
      <c r="I365" s="6">
        <v>208550</v>
      </c>
      <c r="J365" t="s">
        <v>200</v>
      </c>
    </row>
    <row r="366" spans="1:10" x14ac:dyDescent="0.35">
      <c r="A366" t="s">
        <v>1050</v>
      </c>
      <c r="B366" t="s">
        <v>1000</v>
      </c>
      <c r="C366" t="s">
        <v>1001</v>
      </c>
      <c r="D366" s="7">
        <v>40.6</v>
      </c>
      <c r="E366">
        <v>40.553954867610251</v>
      </c>
      <c r="F366" s="7">
        <v>59.4</v>
      </c>
      <c r="G366" s="6">
        <v>47549</v>
      </c>
      <c r="H366" s="6">
        <v>19283</v>
      </c>
      <c r="I366" s="6">
        <v>28266</v>
      </c>
      <c r="J366" t="s">
        <v>200</v>
      </c>
    </row>
    <row r="367" spans="1:10" x14ac:dyDescent="0.35">
      <c r="A367" t="s">
        <v>1050</v>
      </c>
      <c r="B367" t="s">
        <v>1002</v>
      </c>
      <c r="C367" t="s">
        <v>1003</v>
      </c>
      <c r="D367" s="7">
        <v>40.5</v>
      </c>
      <c r="E367">
        <v>40.500487912516377</v>
      </c>
      <c r="F367" s="7">
        <v>59.5</v>
      </c>
      <c r="G367" s="6">
        <v>933569</v>
      </c>
      <c r="H367" s="6">
        <v>378100</v>
      </c>
      <c r="I367" s="6">
        <v>555469</v>
      </c>
      <c r="J367" t="s">
        <v>200</v>
      </c>
    </row>
    <row r="368" spans="1:10" x14ac:dyDescent="0.35">
      <c r="A368" t="s">
        <v>1050</v>
      </c>
      <c r="B368" t="s">
        <v>1004</v>
      </c>
      <c r="C368" t="s">
        <v>1005</v>
      </c>
      <c r="D368" s="7">
        <v>40.4</v>
      </c>
      <c r="E368">
        <v>40.439686684073109</v>
      </c>
      <c r="F368" s="7">
        <v>59.6</v>
      </c>
      <c r="G368" s="6">
        <v>95750</v>
      </c>
      <c r="H368" s="6">
        <v>38721</v>
      </c>
      <c r="I368" s="6">
        <v>57029</v>
      </c>
      <c r="J368" t="s">
        <v>200</v>
      </c>
    </row>
    <row r="369" spans="1:10" x14ac:dyDescent="0.35">
      <c r="A369" t="s">
        <v>1050</v>
      </c>
      <c r="B369" t="s">
        <v>1006</v>
      </c>
      <c r="C369" t="s">
        <v>1007</v>
      </c>
      <c r="D369" s="7">
        <v>40.200000000000003</v>
      </c>
      <c r="E369">
        <v>40.218320349703291</v>
      </c>
      <c r="F369" s="7">
        <v>59.8</v>
      </c>
      <c r="G369" s="6">
        <v>40949</v>
      </c>
      <c r="H369" s="6">
        <v>16469</v>
      </c>
      <c r="I369" s="6">
        <v>24480</v>
      </c>
      <c r="J369" t="s">
        <v>200</v>
      </c>
    </row>
    <row r="370" spans="1:10" x14ac:dyDescent="0.35">
      <c r="A370" t="s">
        <v>1050</v>
      </c>
      <c r="B370" t="s">
        <v>1008</v>
      </c>
      <c r="C370" t="s">
        <v>1009</v>
      </c>
      <c r="D370" s="7">
        <v>40.1</v>
      </c>
      <c r="E370">
        <v>40.145713220319543</v>
      </c>
      <c r="F370" s="7">
        <v>59.9</v>
      </c>
      <c r="G370" s="6">
        <v>34863</v>
      </c>
      <c r="H370" s="6">
        <v>13996</v>
      </c>
      <c r="I370" s="6">
        <v>20867</v>
      </c>
      <c r="J370" t="s">
        <v>200</v>
      </c>
    </row>
    <row r="371" spans="1:10" x14ac:dyDescent="0.35">
      <c r="A371" t="s">
        <v>1050</v>
      </c>
      <c r="B371" t="s">
        <v>1010</v>
      </c>
      <c r="C371" t="s">
        <v>1011</v>
      </c>
      <c r="D371" s="7">
        <v>40</v>
      </c>
      <c r="E371">
        <v>40.042299781779732</v>
      </c>
      <c r="F371" s="7">
        <v>60</v>
      </c>
      <c r="G371" s="6">
        <v>223169</v>
      </c>
      <c r="H371" s="6">
        <v>89362</v>
      </c>
      <c r="I371" s="6">
        <v>133807</v>
      </c>
      <c r="J371" t="s">
        <v>200</v>
      </c>
    </row>
    <row r="372" spans="1:10" x14ac:dyDescent="0.35">
      <c r="A372" t="s">
        <v>1050</v>
      </c>
      <c r="B372" t="s">
        <v>1012</v>
      </c>
      <c r="C372" t="s">
        <v>1013</v>
      </c>
      <c r="D372" s="7">
        <v>39.9</v>
      </c>
      <c r="E372">
        <v>39.878879300783069</v>
      </c>
      <c r="F372" s="7">
        <v>60.1</v>
      </c>
      <c r="G372" s="6">
        <v>90158</v>
      </c>
      <c r="H372" s="6">
        <v>35954</v>
      </c>
      <c r="I372" s="6">
        <v>54204</v>
      </c>
      <c r="J372" t="s">
        <v>200</v>
      </c>
    </row>
    <row r="373" spans="1:10" x14ac:dyDescent="0.35">
      <c r="A373" t="s">
        <v>1050</v>
      </c>
      <c r="B373" t="s">
        <v>1014</v>
      </c>
      <c r="C373" t="s">
        <v>1015</v>
      </c>
      <c r="D373" s="7">
        <v>39.799999999999997</v>
      </c>
      <c r="E373">
        <v>39.838632660863659</v>
      </c>
      <c r="F373" s="7">
        <v>60.2</v>
      </c>
      <c r="G373" s="6">
        <v>630363</v>
      </c>
      <c r="H373" s="6">
        <v>251128</v>
      </c>
      <c r="I373" s="6">
        <v>379235</v>
      </c>
      <c r="J373" t="s">
        <v>200</v>
      </c>
    </row>
    <row r="374" spans="1:10" x14ac:dyDescent="0.35">
      <c r="A374" t="s">
        <v>1050</v>
      </c>
      <c r="B374" t="s">
        <v>1016</v>
      </c>
      <c r="C374" t="s">
        <v>1017</v>
      </c>
      <c r="D374" s="7">
        <v>39.200000000000003</v>
      </c>
      <c r="E374">
        <v>39.193452517031687</v>
      </c>
      <c r="F374" s="7">
        <v>60.8</v>
      </c>
      <c r="G374" s="6">
        <v>43742</v>
      </c>
      <c r="H374" s="6">
        <v>17144</v>
      </c>
      <c r="I374" s="6">
        <v>26598</v>
      </c>
      <c r="J374" t="s">
        <v>200</v>
      </c>
    </row>
    <row r="375" spans="1:10" x14ac:dyDescent="0.35">
      <c r="A375" t="s">
        <v>1050</v>
      </c>
      <c r="B375" t="s">
        <v>1018</v>
      </c>
      <c r="C375" t="s">
        <v>1019</v>
      </c>
      <c r="D375" s="7">
        <v>39.1</v>
      </c>
      <c r="E375">
        <v>39.114616461010051</v>
      </c>
      <c r="F375" s="7">
        <v>60.9</v>
      </c>
      <c r="G375" s="6">
        <v>39305</v>
      </c>
      <c r="H375" s="6">
        <v>15374</v>
      </c>
      <c r="I375" s="6">
        <v>23931</v>
      </c>
      <c r="J375" t="s">
        <v>200</v>
      </c>
    </row>
    <row r="376" spans="1:10" x14ac:dyDescent="0.35">
      <c r="A376" t="s">
        <v>1050</v>
      </c>
      <c r="B376" t="s">
        <v>1020</v>
      </c>
      <c r="C376" t="s">
        <v>1021</v>
      </c>
      <c r="D376" s="7">
        <v>38.700000000000003</v>
      </c>
      <c r="E376">
        <v>38.723890888298413</v>
      </c>
      <c r="F376" s="7">
        <v>61.3</v>
      </c>
      <c r="G376" s="6">
        <v>29731</v>
      </c>
      <c r="H376" s="6">
        <v>11513</v>
      </c>
      <c r="I376" s="6">
        <v>18218</v>
      </c>
      <c r="J376" t="s">
        <v>200</v>
      </c>
    </row>
    <row r="377" spans="1:10" x14ac:dyDescent="0.35">
      <c r="A377" t="s">
        <v>1050</v>
      </c>
      <c r="B377" t="s">
        <v>1022</v>
      </c>
      <c r="C377" t="s">
        <v>1023</v>
      </c>
      <c r="D377" s="7">
        <v>38.6</v>
      </c>
      <c r="E377">
        <v>38.618792264740421</v>
      </c>
      <c r="F377" s="7">
        <v>61.4</v>
      </c>
      <c r="G377" s="6">
        <v>1192927</v>
      </c>
      <c r="H377" s="6">
        <v>460694</v>
      </c>
      <c r="I377" s="6">
        <v>732233</v>
      </c>
      <c r="J377" t="s">
        <v>200</v>
      </c>
    </row>
    <row r="378" spans="1:10" x14ac:dyDescent="0.35">
      <c r="A378" t="s">
        <v>1050</v>
      </c>
      <c r="B378" t="s">
        <v>1024</v>
      </c>
      <c r="C378" t="s">
        <v>1025</v>
      </c>
      <c r="D378" s="7">
        <v>38.6</v>
      </c>
      <c r="E378">
        <v>38.594434609048719</v>
      </c>
      <c r="F378" s="7">
        <v>61.4</v>
      </c>
      <c r="G378" s="6">
        <v>292594</v>
      </c>
      <c r="H378" s="6">
        <v>112925</v>
      </c>
      <c r="I378" s="6">
        <v>179669</v>
      </c>
      <c r="J378" t="s">
        <v>200</v>
      </c>
    </row>
    <row r="379" spans="1:10" x14ac:dyDescent="0.35">
      <c r="A379" t="s">
        <v>1050</v>
      </c>
      <c r="B379" t="s">
        <v>1026</v>
      </c>
      <c r="C379" t="s">
        <v>1027</v>
      </c>
      <c r="D379" s="7">
        <v>38.4</v>
      </c>
      <c r="E379">
        <v>38.394818125405273</v>
      </c>
      <c r="F379" s="7">
        <v>61.6</v>
      </c>
      <c r="G379" s="6">
        <v>143423</v>
      </c>
      <c r="H379" s="6">
        <v>55067</v>
      </c>
      <c r="I379" s="6">
        <v>88356</v>
      </c>
      <c r="J379" t="s">
        <v>200</v>
      </c>
    </row>
    <row r="380" spans="1:10" x14ac:dyDescent="0.35">
      <c r="A380" t="s">
        <v>1050</v>
      </c>
      <c r="B380" t="s">
        <v>1028</v>
      </c>
      <c r="C380" t="s">
        <v>1029</v>
      </c>
      <c r="D380" s="7">
        <v>38.1</v>
      </c>
      <c r="E380">
        <v>38.069039913700109</v>
      </c>
      <c r="F380" s="7">
        <v>61.9</v>
      </c>
      <c r="G380" s="6">
        <v>55620</v>
      </c>
      <c r="H380" s="6">
        <v>21174</v>
      </c>
      <c r="I380" s="6">
        <v>34446</v>
      </c>
      <c r="J380" t="s">
        <v>200</v>
      </c>
    </row>
    <row r="381" spans="1:10" x14ac:dyDescent="0.35">
      <c r="A381" t="s">
        <v>1050</v>
      </c>
      <c r="B381" t="s">
        <v>1030</v>
      </c>
      <c r="C381" t="s">
        <v>1031</v>
      </c>
      <c r="D381" s="7">
        <v>37.6</v>
      </c>
      <c r="E381">
        <v>37.623695725345002</v>
      </c>
      <c r="F381" s="7">
        <v>62.4</v>
      </c>
      <c r="G381" s="6">
        <v>14855</v>
      </c>
      <c r="H381" s="6">
        <v>5589</v>
      </c>
      <c r="I381" s="6">
        <v>9266</v>
      </c>
      <c r="J381" t="s">
        <v>200</v>
      </c>
    </row>
    <row r="382" spans="1:10" x14ac:dyDescent="0.35">
      <c r="A382" t="s">
        <v>1050</v>
      </c>
      <c r="B382" t="s">
        <v>1032</v>
      </c>
      <c r="C382" t="s">
        <v>1033</v>
      </c>
      <c r="D382" s="7">
        <v>37.6</v>
      </c>
      <c r="E382">
        <v>37.588162079933618</v>
      </c>
      <c r="F382" s="7">
        <v>62.4</v>
      </c>
      <c r="G382" s="6">
        <v>151851</v>
      </c>
      <c r="H382" s="6">
        <v>57078</v>
      </c>
      <c r="I382" s="6">
        <v>94773</v>
      </c>
      <c r="J382" t="s">
        <v>200</v>
      </c>
    </row>
    <row r="383" spans="1:10" x14ac:dyDescent="0.35">
      <c r="A383" t="s">
        <v>1050</v>
      </c>
      <c r="B383" t="s">
        <v>1034</v>
      </c>
      <c r="C383" t="s">
        <v>1035</v>
      </c>
      <c r="D383" s="7">
        <v>37.6</v>
      </c>
      <c r="E383">
        <v>37.564971516487169</v>
      </c>
      <c r="F383" s="7">
        <v>62.4</v>
      </c>
      <c r="G383" s="6">
        <v>48098</v>
      </c>
      <c r="H383" s="6">
        <v>18068</v>
      </c>
      <c r="I383" s="6">
        <v>30030</v>
      </c>
      <c r="J383" t="s">
        <v>200</v>
      </c>
    </row>
    <row r="384" spans="1:10" x14ac:dyDescent="0.35">
      <c r="A384" t="s">
        <v>1050</v>
      </c>
      <c r="B384" t="s">
        <v>1036</v>
      </c>
      <c r="C384" t="s">
        <v>1037</v>
      </c>
      <c r="D384" s="7">
        <v>37.5</v>
      </c>
      <c r="E384">
        <v>37.492309044563591</v>
      </c>
      <c r="F384" s="7">
        <v>62.5</v>
      </c>
      <c r="G384" s="6">
        <v>45508</v>
      </c>
      <c r="H384" s="6">
        <v>17062</v>
      </c>
      <c r="I384" s="6">
        <v>28446</v>
      </c>
      <c r="J384" t="s">
        <v>200</v>
      </c>
    </row>
    <row r="385" spans="1:10" x14ac:dyDescent="0.35">
      <c r="A385" t="s">
        <v>1050</v>
      </c>
      <c r="B385" t="s">
        <v>1038</v>
      </c>
      <c r="C385" t="s">
        <v>1039</v>
      </c>
      <c r="D385" s="7">
        <v>37</v>
      </c>
      <c r="E385">
        <v>36.993175064095468</v>
      </c>
      <c r="F385" s="7">
        <v>63</v>
      </c>
      <c r="G385" s="6">
        <v>1147117</v>
      </c>
      <c r="H385" s="6">
        <v>424355</v>
      </c>
      <c r="I385" s="6">
        <v>722762</v>
      </c>
      <c r="J385" t="s">
        <v>200</v>
      </c>
    </row>
    <row r="386" spans="1:10" x14ac:dyDescent="0.35">
      <c r="A386" t="s">
        <v>1050</v>
      </c>
      <c r="B386" t="s">
        <v>1040</v>
      </c>
      <c r="C386" t="s">
        <v>1041</v>
      </c>
      <c r="D386" s="7">
        <v>37</v>
      </c>
      <c r="E386">
        <v>36.98342127112516</v>
      </c>
      <c r="F386" s="7">
        <v>63</v>
      </c>
      <c r="G386" s="6">
        <v>74674</v>
      </c>
      <c r="H386" s="6">
        <v>27617</v>
      </c>
      <c r="I386" s="6">
        <v>47057</v>
      </c>
      <c r="J386" t="s">
        <v>200</v>
      </c>
    </row>
    <row r="387" spans="1:10" x14ac:dyDescent="0.35">
      <c r="A387" t="s">
        <v>1050</v>
      </c>
      <c r="B387" t="s">
        <v>1042</v>
      </c>
      <c r="C387" t="s">
        <v>1043</v>
      </c>
      <c r="D387" s="7">
        <v>35.9</v>
      </c>
      <c r="E387">
        <v>35.891445003594526</v>
      </c>
      <c r="F387" s="7">
        <v>64.099999999999994</v>
      </c>
      <c r="G387" s="6">
        <v>294892</v>
      </c>
      <c r="H387" s="6">
        <v>105841</v>
      </c>
      <c r="I387" s="6">
        <v>189051</v>
      </c>
      <c r="J387" t="s">
        <v>200</v>
      </c>
    </row>
    <row r="388" spans="1:10" x14ac:dyDescent="0.35">
      <c r="A388" t="s">
        <v>1050</v>
      </c>
      <c r="B388" t="s">
        <v>1044</v>
      </c>
      <c r="C388" t="s">
        <v>1045</v>
      </c>
      <c r="D388" s="7">
        <v>35.700000000000003</v>
      </c>
      <c r="E388">
        <v>35.678273332771269</v>
      </c>
      <c r="F388" s="7">
        <v>64.3</v>
      </c>
      <c r="G388" s="6">
        <v>118610</v>
      </c>
      <c r="H388" s="6">
        <v>42318</v>
      </c>
      <c r="I388" s="6">
        <v>76292</v>
      </c>
      <c r="J388" t="s">
        <v>200</v>
      </c>
    </row>
    <row r="389" spans="1:10" x14ac:dyDescent="0.35">
      <c r="A389" t="s">
        <v>1051</v>
      </c>
      <c r="B389" t="s">
        <v>1052</v>
      </c>
      <c r="C389" t="s">
        <v>1053</v>
      </c>
      <c r="D389" s="7">
        <v>87</v>
      </c>
      <c r="E389">
        <v>86.964653076491487</v>
      </c>
      <c r="F389" s="7">
        <v>13</v>
      </c>
      <c r="G389" s="6">
        <v>5347</v>
      </c>
      <c r="H389" s="6">
        <v>4650</v>
      </c>
      <c r="I389" s="6">
        <v>697</v>
      </c>
      <c r="J389" t="s">
        <v>200</v>
      </c>
    </row>
    <row r="390" spans="1:10" x14ac:dyDescent="0.35">
      <c r="A390" t="s">
        <v>1051</v>
      </c>
      <c r="B390" t="s">
        <v>1054</v>
      </c>
      <c r="C390" t="s">
        <v>1055</v>
      </c>
      <c r="D390" s="7">
        <v>84.3</v>
      </c>
      <c r="E390">
        <v>84.339211052535902</v>
      </c>
      <c r="F390" s="7">
        <v>15.7</v>
      </c>
      <c r="G390" s="6">
        <v>11002</v>
      </c>
      <c r="H390" s="6">
        <v>9279</v>
      </c>
      <c r="I390" s="6">
        <v>1723</v>
      </c>
      <c r="J390" t="s">
        <v>200</v>
      </c>
    </row>
    <row r="391" spans="1:10" x14ac:dyDescent="0.35">
      <c r="A391" t="s">
        <v>1051</v>
      </c>
      <c r="B391" t="s">
        <v>1056</v>
      </c>
      <c r="C391" t="s">
        <v>1057</v>
      </c>
      <c r="D391" s="7">
        <v>84.2</v>
      </c>
      <c r="E391">
        <v>84.198645598194133</v>
      </c>
      <c r="F391" s="7">
        <v>15.8</v>
      </c>
      <c r="G391" s="6">
        <v>5759</v>
      </c>
      <c r="H391" s="6">
        <v>4849</v>
      </c>
      <c r="I391" s="6">
        <v>910</v>
      </c>
      <c r="J391" t="s">
        <v>200</v>
      </c>
    </row>
    <row r="392" spans="1:10" x14ac:dyDescent="0.35">
      <c r="A392" t="s">
        <v>1051</v>
      </c>
      <c r="B392" t="s">
        <v>1058</v>
      </c>
      <c r="C392" t="s">
        <v>1059</v>
      </c>
      <c r="D392" s="7">
        <v>82.6</v>
      </c>
      <c r="E392">
        <v>82.575227431770472</v>
      </c>
      <c r="F392" s="7">
        <v>17.399999999999999</v>
      </c>
      <c r="G392" s="6">
        <v>5716</v>
      </c>
      <c r="H392" s="6">
        <v>4720</v>
      </c>
      <c r="I392" s="6">
        <v>996</v>
      </c>
      <c r="J392" t="s">
        <v>200</v>
      </c>
    </row>
    <row r="393" spans="1:10" x14ac:dyDescent="0.35">
      <c r="A393" t="s">
        <v>1051</v>
      </c>
      <c r="B393" t="s">
        <v>1060</v>
      </c>
      <c r="C393" t="s">
        <v>1061</v>
      </c>
      <c r="D393" s="7">
        <v>81.400000000000006</v>
      </c>
      <c r="E393">
        <v>81.431646932185146</v>
      </c>
      <c r="F393" s="7">
        <v>18.600000000000001</v>
      </c>
      <c r="G393" s="6">
        <v>5574</v>
      </c>
      <c r="H393" s="6">
        <v>4539</v>
      </c>
      <c r="I393" s="6">
        <v>1035</v>
      </c>
      <c r="J393" t="s">
        <v>200</v>
      </c>
    </row>
    <row r="394" spans="1:10" x14ac:dyDescent="0.35">
      <c r="A394" t="s">
        <v>1051</v>
      </c>
      <c r="B394" t="s">
        <v>1062</v>
      </c>
      <c r="C394" t="s">
        <v>1063</v>
      </c>
      <c r="D394" s="7">
        <v>80.099999999999994</v>
      </c>
      <c r="E394">
        <v>80.059615582279775</v>
      </c>
      <c r="F394" s="7">
        <v>19.899999999999999</v>
      </c>
      <c r="G394" s="6">
        <v>9729</v>
      </c>
      <c r="H394" s="6">
        <v>7789</v>
      </c>
      <c r="I394" s="6">
        <v>1940</v>
      </c>
      <c r="J394" t="s">
        <v>200</v>
      </c>
    </row>
    <row r="395" spans="1:10" x14ac:dyDescent="0.35">
      <c r="A395" t="s">
        <v>1051</v>
      </c>
      <c r="B395" t="s">
        <v>1064</v>
      </c>
      <c r="C395" t="s">
        <v>1065</v>
      </c>
      <c r="D395" s="7">
        <v>79.5</v>
      </c>
      <c r="E395">
        <v>79.518791012129654</v>
      </c>
      <c r="F395" s="7">
        <v>20.5</v>
      </c>
      <c r="G395" s="6">
        <v>5029</v>
      </c>
      <c r="H395" s="6">
        <v>3999</v>
      </c>
      <c r="I395" s="6">
        <v>1030</v>
      </c>
      <c r="J395" t="s">
        <v>200</v>
      </c>
    </row>
    <row r="396" spans="1:10" x14ac:dyDescent="0.35">
      <c r="A396" t="s">
        <v>1051</v>
      </c>
      <c r="B396" t="s">
        <v>1066</v>
      </c>
      <c r="C396" t="s">
        <v>1067</v>
      </c>
      <c r="D396" s="7">
        <v>78.599999999999994</v>
      </c>
      <c r="E396">
        <v>78.645907727467502</v>
      </c>
      <c r="F396" s="7">
        <v>21.4</v>
      </c>
      <c r="G396" s="6">
        <v>7001</v>
      </c>
      <c r="H396" s="6">
        <v>5506</v>
      </c>
      <c r="I396" s="6">
        <v>1495</v>
      </c>
      <c r="J396" t="s">
        <v>200</v>
      </c>
    </row>
    <row r="397" spans="1:10" x14ac:dyDescent="0.35">
      <c r="A397" t="s">
        <v>1051</v>
      </c>
      <c r="B397" t="s">
        <v>1068</v>
      </c>
      <c r="C397" t="s">
        <v>1069</v>
      </c>
      <c r="D397" s="7">
        <v>78.3</v>
      </c>
      <c r="E397">
        <v>78.31512586899261</v>
      </c>
      <c r="F397" s="7">
        <v>21.7</v>
      </c>
      <c r="G397" s="6">
        <v>23159</v>
      </c>
      <c r="H397" s="6">
        <v>18137</v>
      </c>
      <c r="I397" s="6">
        <v>5022</v>
      </c>
      <c r="J397" t="s">
        <v>200</v>
      </c>
    </row>
    <row r="398" spans="1:10" x14ac:dyDescent="0.35">
      <c r="A398" t="s">
        <v>1051</v>
      </c>
      <c r="B398" t="s">
        <v>1070</v>
      </c>
      <c r="C398" t="s">
        <v>1071</v>
      </c>
      <c r="D398" s="7">
        <v>77.099999999999994</v>
      </c>
      <c r="E398">
        <v>77.1264367816092</v>
      </c>
      <c r="F398" s="7">
        <v>22.9</v>
      </c>
      <c r="G398" s="6">
        <v>9570</v>
      </c>
      <c r="H398" s="6">
        <v>7381</v>
      </c>
      <c r="I398" s="6">
        <v>2189</v>
      </c>
      <c r="J398" t="s">
        <v>200</v>
      </c>
    </row>
    <row r="399" spans="1:10" x14ac:dyDescent="0.35">
      <c r="A399" t="s">
        <v>1051</v>
      </c>
      <c r="B399" t="s">
        <v>1072</v>
      </c>
      <c r="C399" t="s">
        <v>1073</v>
      </c>
      <c r="D399" s="7">
        <v>76.8</v>
      </c>
      <c r="E399">
        <v>76.776429809358746</v>
      </c>
      <c r="F399" s="7">
        <v>23.2</v>
      </c>
      <c r="G399" s="6">
        <v>6347</v>
      </c>
      <c r="H399" s="6">
        <v>4873</v>
      </c>
      <c r="I399" s="6">
        <v>1474</v>
      </c>
      <c r="J399" t="s">
        <v>200</v>
      </c>
    </row>
    <row r="400" spans="1:10" x14ac:dyDescent="0.35">
      <c r="A400" t="s">
        <v>1051</v>
      </c>
      <c r="B400" t="s">
        <v>1074</v>
      </c>
      <c r="C400" t="s">
        <v>1075</v>
      </c>
      <c r="D400" s="7">
        <v>76.2</v>
      </c>
      <c r="E400">
        <v>76.199154395684502</v>
      </c>
      <c r="F400" s="7">
        <v>23.8</v>
      </c>
      <c r="G400" s="6">
        <v>13718</v>
      </c>
      <c r="H400" s="6">
        <v>10453</v>
      </c>
      <c r="I400" s="6">
        <v>3265</v>
      </c>
      <c r="J400" t="s">
        <v>200</v>
      </c>
    </row>
    <row r="401" spans="1:10" x14ac:dyDescent="0.35">
      <c r="A401" t="s">
        <v>1051</v>
      </c>
      <c r="B401" t="s">
        <v>1076</v>
      </c>
      <c r="C401" t="s">
        <v>1077</v>
      </c>
      <c r="D401" s="7">
        <v>76.099999999999994</v>
      </c>
      <c r="E401">
        <v>76.096181046676094</v>
      </c>
      <c r="F401" s="7">
        <v>23.9</v>
      </c>
      <c r="G401" s="6">
        <v>9191</v>
      </c>
      <c r="H401" s="6">
        <v>6994</v>
      </c>
      <c r="I401" s="6">
        <v>2197</v>
      </c>
      <c r="J401" t="s">
        <v>200</v>
      </c>
    </row>
    <row r="402" spans="1:10" x14ac:dyDescent="0.35">
      <c r="A402" t="s">
        <v>1051</v>
      </c>
      <c r="B402" t="s">
        <v>1078</v>
      </c>
      <c r="C402" t="s">
        <v>1079</v>
      </c>
      <c r="D402" s="7">
        <v>76.099999999999994</v>
      </c>
      <c r="E402">
        <v>76.081166772352574</v>
      </c>
      <c r="F402" s="7">
        <v>23.9</v>
      </c>
      <c r="G402" s="6">
        <v>23655</v>
      </c>
      <c r="H402" s="6">
        <v>17997</v>
      </c>
      <c r="I402" s="6">
        <v>5658</v>
      </c>
      <c r="J402" t="s">
        <v>200</v>
      </c>
    </row>
    <row r="403" spans="1:10" x14ac:dyDescent="0.35">
      <c r="A403" t="s">
        <v>1051</v>
      </c>
      <c r="B403" t="s">
        <v>1080</v>
      </c>
      <c r="C403" t="s">
        <v>1081</v>
      </c>
      <c r="D403" s="7">
        <v>76</v>
      </c>
      <c r="E403">
        <v>76.011937530785502</v>
      </c>
      <c r="F403" s="7">
        <v>24</v>
      </c>
      <c r="G403" s="6">
        <v>34513</v>
      </c>
      <c r="H403" s="6">
        <v>26234</v>
      </c>
      <c r="I403" s="6">
        <v>8279</v>
      </c>
      <c r="J403" t="s">
        <v>200</v>
      </c>
    </row>
    <row r="404" spans="1:10" x14ac:dyDescent="0.35">
      <c r="A404" t="s">
        <v>1051</v>
      </c>
      <c r="B404" t="s">
        <v>1082</v>
      </c>
      <c r="C404" t="s">
        <v>1083</v>
      </c>
      <c r="D404" s="7">
        <v>75.900000000000006</v>
      </c>
      <c r="E404">
        <v>75.870331219168435</v>
      </c>
      <c r="F404" s="7">
        <v>24.1</v>
      </c>
      <c r="G404" s="6">
        <v>7095</v>
      </c>
      <c r="H404" s="6">
        <v>5383</v>
      </c>
      <c r="I404" s="6">
        <v>1712</v>
      </c>
      <c r="J404" t="s">
        <v>200</v>
      </c>
    </row>
    <row r="405" spans="1:10" x14ac:dyDescent="0.35">
      <c r="A405" t="s">
        <v>1051</v>
      </c>
      <c r="B405" t="s">
        <v>1084</v>
      </c>
      <c r="C405" t="s">
        <v>1085</v>
      </c>
      <c r="D405" s="7">
        <v>75.5</v>
      </c>
      <c r="E405">
        <v>75.516187386937801</v>
      </c>
      <c r="F405" s="7">
        <v>24.5</v>
      </c>
      <c r="G405" s="6">
        <v>16031</v>
      </c>
      <c r="H405" s="6">
        <v>12106</v>
      </c>
      <c r="I405" s="6">
        <v>3925</v>
      </c>
      <c r="J405" t="s">
        <v>200</v>
      </c>
    </row>
    <row r="406" spans="1:10" x14ac:dyDescent="0.35">
      <c r="A406" t="s">
        <v>1051</v>
      </c>
      <c r="B406" t="s">
        <v>1086</v>
      </c>
      <c r="C406" t="s">
        <v>1087</v>
      </c>
      <c r="D406" s="7">
        <v>75.400000000000006</v>
      </c>
      <c r="E406">
        <v>75.413086582947784</v>
      </c>
      <c r="F406" s="7">
        <v>24.6</v>
      </c>
      <c r="G406" s="6">
        <v>1513</v>
      </c>
      <c r="H406" s="6">
        <v>1141</v>
      </c>
      <c r="I406" s="6">
        <v>372</v>
      </c>
      <c r="J406" t="s">
        <v>200</v>
      </c>
    </row>
    <row r="407" spans="1:10" x14ac:dyDescent="0.35">
      <c r="A407" t="s">
        <v>1051</v>
      </c>
      <c r="B407" t="s">
        <v>1088</v>
      </c>
      <c r="C407" t="s">
        <v>1089</v>
      </c>
      <c r="D407" s="7">
        <v>75.3</v>
      </c>
      <c r="E407">
        <v>75.346831646044251</v>
      </c>
      <c r="F407" s="7">
        <v>24.7</v>
      </c>
      <c r="G407" s="6">
        <v>16002</v>
      </c>
      <c r="H407" s="6">
        <v>12057</v>
      </c>
      <c r="I407" s="6">
        <v>3945</v>
      </c>
      <c r="J407" t="s">
        <v>200</v>
      </c>
    </row>
    <row r="408" spans="1:10" x14ac:dyDescent="0.35">
      <c r="A408" t="s">
        <v>1051</v>
      </c>
      <c r="B408" t="s">
        <v>1090</v>
      </c>
      <c r="C408" t="s">
        <v>1091</v>
      </c>
      <c r="D408" s="7">
        <v>75.3</v>
      </c>
      <c r="E408">
        <v>75.286709350594521</v>
      </c>
      <c r="F408" s="7">
        <v>24.7</v>
      </c>
      <c r="G408" s="6">
        <v>28426</v>
      </c>
      <c r="H408" s="6">
        <v>21401</v>
      </c>
      <c r="I408" s="6">
        <v>7025</v>
      </c>
      <c r="J408" t="s">
        <v>200</v>
      </c>
    </row>
    <row r="409" spans="1:10" x14ac:dyDescent="0.35">
      <c r="A409" t="s">
        <v>1051</v>
      </c>
      <c r="B409" t="s">
        <v>1092</v>
      </c>
      <c r="C409" t="s">
        <v>1093</v>
      </c>
      <c r="D409" s="7">
        <v>74.599999999999994</v>
      </c>
      <c r="E409">
        <v>74.597191426459716</v>
      </c>
      <c r="F409" s="7">
        <v>25.4</v>
      </c>
      <c r="G409" s="6">
        <v>13530</v>
      </c>
      <c r="H409" s="6">
        <v>10093</v>
      </c>
      <c r="I409" s="6">
        <v>3437</v>
      </c>
      <c r="J409" t="s">
        <v>200</v>
      </c>
    </row>
    <row r="410" spans="1:10" x14ac:dyDescent="0.35">
      <c r="A410" t="s">
        <v>1051</v>
      </c>
      <c r="B410" t="s">
        <v>1094</v>
      </c>
      <c r="C410" t="s">
        <v>1095</v>
      </c>
      <c r="D410" s="7">
        <v>74</v>
      </c>
      <c r="E410">
        <v>73.962162162162159</v>
      </c>
      <c r="F410" s="7">
        <v>26</v>
      </c>
      <c r="G410" s="6">
        <v>18500</v>
      </c>
      <c r="H410" s="6">
        <v>13683</v>
      </c>
      <c r="I410" s="6">
        <v>4817</v>
      </c>
      <c r="J410" t="s">
        <v>200</v>
      </c>
    </row>
    <row r="411" spans="1:10" x14ac:dyDescent="0.35">
      <c r="A411" t="s">
        <v>1051</v>
      </c>
      <c r="B411" t="s">
        <v>1096</v>
      </c>
      <c r="C411" t="s">
        <v>1097</v>
      </c>
      <c r="D411" s="7">
        <v>73.7</v>
      </c>
      <c r="E411">
        <v>73.703290574456219</v>
      </c>
      <c r="F411" s="7">
        <v>26.3</v>
      </c>
      <c r="G411" s="6">
        <v>10758</v>
      </c>
      <c r="H411" s="6">
        <v>7929</v>
      </c>
      <c r="I411" s="6">
        <v>2829</v>
      </c>
      <c r="J411" t="s">
        <v>200</v>
      </c>
    </row>
    <row r="412" spans="1:10" x14ac:dyDescent="0.35">
      <c r="A412" t="s">
        <v>1051</v>
      </c>
      <c r="B412" t="s">
        <v>1098</v>
      </c>
      <c r="C412" t="s">
        <v>1099</v>
      </c>
      <c r="D412" s="7">
        <v>73.599999999999994</v>
      </c>
      <c r="E412">
        <v>73.637434940587255</v>
      </c>
      <c r="F412" s="7">
        <v>26.4</v>
      </c>
      <c r="G412" s="6">
        <v>20366</v>
      </c>
      <c r="H412" s="6">
        <v>14997</v>
      </c>
      <c r="I412" s="6">
        <v>5369</v>
      </c>
      <c r="J412" t="s">
        <v>200</v>
      </c>
    </row>
    <row r="413" spans="1:10" x14ac:dyDescent="0.35">
      <c r="A413" t="s">
        <v>1051</v>
      </c>
      <c r="B413" t="s">
        <v>1100</v>
      </c>
      <c r="C413" t="s">
        <v>1101</v>
      </c>
      <c r="D413" s="7">
        <v>73.599999999999994</v>
      </c>
      <c r="E413">
        <v>73.579769953463867</v>
      </c>
      <c r="F413" s="7">
        <v>26.4</v>
      </c>
      <c r="G413" s="6">
        <v>11389</v>
      </c>
      <c r="H413" s="6">
        <v>8380</v>
      </c>
      <c r="I413" s="6">
        <v>3009</v>
      </c>
      <c r="J413" t="s">
        <v>200</v>
      </c>
    </row>
    <row r="414" spans="1:10" x14ac:dyDescent="0.35">
      <c r="A414" t="s">
        <v>1051</v>
      </c>
      <c r="B414" t="s">
        <v>1102</v>
      </c>
      <c r="C414" t="s">
        <v>1103</v>
      </c>
      <c r="D414" s="7">
        <v>73.2</v>
      </c>
      <c r="E414">
        <v>73.172503996512134</v>
      </c>
      <c r="F414" s="7">
        <v>26.8</v>
      </c>
      <c r="G414" s="6">
        <v>6881</v>
      </c>
      <c r="H414" s="6">
        <v>5035</v>
      </c>
      <c r="I414" s="6">
        <v>1846</v>
      </c>
      <c r="J414" t="s">
        <v>200</v>
      </c>
    </row>
    <row r="415" spans="1:10" x14ac:dyDescent="0.35">
      <c r="A415" t="s">
        <v>1051</v>
      </c>
      <c r="B415" t="s">
        <v>1104</v>
      </c>
      <c r="C415" t="s">
        <v>1105</v>
      </c>
      <c r="D415" s="7">
        <v>73.099999999999994</v>
      </c>
      <c r="E415">
        <v>73.062983641884614</v>
      </c>
      <c r="F415" s="7">
        <v>26.9</v>
      </c>
      <c r="G415" s="6">
        <v>10209</v>
      </c>
      <c r="H415" s="6">
        <v>7459</v>
      </c>
      <c r="I415" s="6">
        <v>2750</v>
      </c>
      <c r="J415" t="s">
        <v>200</v>
      </c>
    </row>
    <row r="416" spans="1:10" x14ac:dyDescent="0.35">
      <c r="A416" t="s">
        <v>1051</v>
      </c>
      <c r="B416" t="s">
        <v>1106</v>
      </c>
      <c r="C416" t="s">
        <v>1107</v>
      </c>
      <c r="D416" s="7">
        <v>73.099999999999994</v>
      </c>
      <c r="E416">
        <v>73.060680151144695</v>
      </c>
      <c r="F416" s="7">
        <v>26.9</v>
      </c>
      <c r="G416" s="6">
        <v>4499</v>
      </c>
      <c r="H416" s="6">
        <v>3287</v>
      </c>
      <c r="I416" s="6">
        <v>1212</v>
      </c>
      <c r="J416" t="s">
        <v>200</v>
      </c>
    </row>
    <row r="417" spans="1:10" x14ac:dyDescent="0.35">
      <c r="A417" t="s">
        <v>1051</v>
      </c>
      <c r="B417" t="s">
        <v>1108</v>
      </c>
      <c r="C417" t="s">
        <v>1109</v>
      </c>
      <c r="D417" s="7">
        <v>73</v>
      </c>
      <c r="E417">
        <v>72.959759308010533</v>
      </c>
      <c r="F417" s="7">
        <v>27</v>
      </c>
      <c r="G417" s="6">
        <v>5318</v>
      </c>
      <c r="H417" s="6">
        <v>3880</v>
      </c>
      <c r="I417" s="6">
        <v>1438</v>
      </c>
      <c r="J417" t="s">
        <v>200</v>
      </c>
    </row>
    <row r="418" spans="1:10" x14ac:dyDescent="0.35">
      <c r="A418" t="s">
        <v>1051</v>
      </c>
      <c r="B418" t="s">
        <v>1110</v>
      </c>
      <c r="C418" t="s">
        <v>1111</v>
      </c>
      <c r="D418" s="7">
        <v>72.599999999999994</v>
      </c>
      <c r="E418">
        <v>72.576566451250358</v>
      </c>
      <c r="F418" s="7">
        <v>27.4</v>
      </c>
      <c r="G418" s="6">
        <v>7118</v>
      </c>
      <c r="H418" s="6">
        <v>5166</v>
      </c>
      <c r="I418" s="6">
        <v>1952</v>
      </c>
      <c r="J418" t="s">
        <v>200</v>
      </c>
    </row>
    <row r="419" spans="1:10" x14ac:dyDescent="0.35">
      <c r="A419" t="s">
        <v>1051</v>
      </c>
      <c r="B419" t="s">
        <v>1112</v>
      </c>
      <c r="C419" t="s">
        <v>1113</v>
      </c>
      <c r="D419" s="7">
        <v>72.5</v>
      </c>
      <c r="E419">
        <v>72.491651298410005</v>
      </c>
      <c r="F419" s="7">
        <v>27.5</v>
      </c>
      <c r="G419" s="6">
        <v>20063</v>
      </c>
      <c r="H419" s="6">
        <v>14544</v>
      </c>
      <c r="I419" s="6">
        <v>5519</v>
      </c>
      <c r="J419" t="s">
        <v>200</v>
      </c>
    </row>
    <row r="420" spans="1:10" x14ac:dyDescent="0.35">
      <c r="A420" t="s">
        <v>1051</v>
      </c>
      <c r="B420" t="s">
        <v>1114</v>
      </c>
      <c r="C420" t="s">
        <v>1115</v>
      </c>
      <c r="D420" s="7">
        <v>72.400000000000006</v>
      </c>
      <c r="E420">
        <v>72.426367461430573</v>
      </c>
      <c r="F420" s="7">
        <v>27.6</v>
      </c>
      <c r="G420" s="6">
        <v>10695</v>
      </c>
      <c r="H420" s="6">
        <v>7746</v>
      </c>
      <c r="I420" s="6">
        <v>2949</v>
      </c>
      <c r="J420" t="s">
        <v>200</v>
      </c>
    </row>
    <row r="421" spans="1:10" x14ac:dyDescent="0.35">
      <c r="A421" t="s">
        <v>1051</v>
      </c>
      <c r="B421" t="s">
        <v>1116</v>
      </c>
      <c r="C421" t="s">
        <v>1117</v>
      </c>
      <c r="D421" s="7">
        <v>72.2</v>
      </c>
      <c r="E421">
        <v>72.215259859933653</v>
      </c>
      <c r="F421" s="7">
        <v>27.8</v>
      </c>
      <c r="G421" s="6">
        <v>13565</v>
      </c>
      <c r="H421" s="6">
        <v>9796</v>
      </c>
      <c r="I421" s="6">
        <v>3769</v>
      </c>
      <c r="J421" t="s">
        <v>200</v>
      </c>
    </row>
    <row r="422" spans="1:10" x14ac:dyDescent="0.35">
      <c r="A422" t="s">
        <v>1051</v>
      </c>
      <c r="B422" t="s">
        <v>1118</v>
      </c>
      <c r="C422" t="s">
        <v>1119</v>
      </c>
      <c r="D422" s="7">
        <v>72</v>
      </c>
      <c r="E422">
        <v>72.012917115177615</v>
      </c>
      <c r="F422" s="7">
        <v>28</v>
      </c>
      <c r="G422" s="6">
        <v>8361</v>
      </c>
      <c r="H422" s="6">
        <v>6021</v>
      </c>
      <c r="I422" s="6">
        <v>2340</v>
      </c>
      <c r="J422" t="s">
        <v>200</v>
      </c>
    </row>
    <row r="423" spans="1:10" x14ac:dyDescent="0.35">
      <c r="A423" t="s">
        <v>1051</v>
      </c>
      <c r="B423" t="s">
        <v>1120</v>
      </c>
      <c r="C423" t="s">
        <v>1121</v>
      </c>
      <c r="D423" s="7">
        <v>71.900000000000006</v>
      </c>
      <c r="E423">
        <v>71.915584415584419</v>
      </c>
      <c r="F423" s="7">
        <v>28.1</v>
      </c>
      <c r="G423" s="6">
        <v>3696</v>
      </c>
      <c r="H423" s="6">
        <v>2658</v>
      </c>
      <c r="I423" s="6">
        <v>1038</v>
      </c>
      <c r="J423" t="s">
        <v>200</v>
      </c>
    </row>
    <row r="424" spans="1:10" x14ac:dyDescent="0.35">
      <c r="A424" t="s">
        <v>1051</v>
      </c>
      <c r="B424" t="s">
        <v>1122</v>
      </c>
      <c r="C424" t="s">
        <v>1123</v>
      </c>
      <c r="D424" s="7">
        <v>71.900000000000006</v>
      </c>
      <c r="E424">
        <v>71.913423432577986</v>
      </c>
      <c r="F424" s="7">
        <v>28.1</v>
      </c>
      <c r="G424" s="6">
        <v>9841</v>
      </c>
      <c r="H424" s="6">
        <v>7077</v>
      </c>
      <c r="I424" s="6">
        <v>2764</v>
      </c>
      <c r="J424" t="s">
        <v>200</v>
      </c>
    </row>
    <row r="425" spans="1:10" x14ac:dyDescent="0.35">
      <c r="A425" t="s">
        <v>1051</v>
      </c>
      <c r="B425" t="s">
        <v>1124</v>
      </c>
      <c r="C425" t="s">
        <v>1125</v>
      </c>
      <c r="D425" s="7">
        <v>71.2</v>
      </c>
      <c r="E425">
        <v>71.188106647008226</v>
      </c>
      <c r="F425" s="7">
        <v>28.8</v>
      </c>
      <c r="G425" s="6">
        <v>8139</v>
      </c>
      <c r="H425" s="6">
        <v>5794</v>
      </c>
      <c r="I425" s="6">
        <v>2345</v>
      </c>
      <c r="J425" t="s">
        <v>200</v>
      </c>
    </row>
    <row r="426" spans="1:10" x14ac:dyDescent="0.35">
      <c r="A426" t="s">
        <v>1051</v>
      </c>
      <c r="B426" t="s">
        <v>1126</v>
      </c>
      <c r="C426" t="s">
        <v>1127</v>
      </c>
      <c r="D426" s="7">
        <v>71</v>
      </c>
      <c r="E426">
        <v>70.975029000549483</v>
      </c>
      <c r="F426" s="7">
        <v>29</v>
      </c>
      <c r="G426" s="6">
        <v>16379</v>
      </c>
      <c r="H426" s="6">
        <v>11625</v>
      </c>
      <c r="I426" s="6">
        <v>4754</v>
      </c>
      <c r="J426" t="s">
        <v>200</v>
      </c>
    </row>
    <row r="427" spans="1:10" x14ac:dyDescent="0.35">
      <c r="A427" t="s">
        <v>1051</v>
      </c>
      <c r="B427" t="s">
        <v>1128</v>
      </c>
      <c r="C427" t="s">
        <v>1129</v>
      </c>
      <c r="D427" s="7">
        <v>70.900000000000006</v>
      </c>
      <c r="E427">
        <v>70.947835309999036</v>
      </c>
      <c r="F427" s="7">
        <v>29.1</v>
      </c>
      <c r="G427" s="6">
        <v>10371</v>
      </c>
      <c r="H427" s="6">
        <v>7358</v>
      </c>
      <c r="I427" s="6">
        <v>3013</v>
      </c>
      <c r="J427" t="s">
        <v>200</v>
      </c>
    </row>
    <row r="428" spans="1:10" x14ac:dyDescent="0.35">
      <c r="A428" t="s">
        <v>1051</v>
      </c>
      <c r="B428" t="s">
        <v>1130</v>
      </c>
      <c r="C428" t="s">
        <v>1131</v>
      </c>
      <c r="D428" s="7">
        <v>70.5</v>
      </c>
      <c r="E428">
        <v>70.531447142037848</v>
      </c>
      <c r="F428" s="7">
        <v>29.5</v>
      </c>
      <c r="G428" s="6">
        <v>10462</v>
      </c>
      <c r="H428" s="6">
        <v>7379</v>
      </c>
      <c r="I428" s="6">
        <v>3083</v>
      </c>
      <c r="J428" t="s">
        <v>200</v>
      </c>
    </row>
    <row r="429" spans="1:10" x14ac:dyDescent="0.35">
      <c r="A429" t="s">
        <v>1051</v>
      </c>
      <c r="B429" t="s">
        <v>1132</v>
      </c>
      <c r="C429" t="s">
        <v>1133</v>
      </c>
      <c r="D429" s="7">
        <v>70.400000000000006</v>
      </c>
      <c r="E429">
        <v>70.360031901560902</v>
      </c>
      <c r="F429" s="7">
        <v>29.6</v>
      </c>
      <c r="G429" s="6">
        <v>17554</v>
      </c>
      <c r="H429" s="6">
        <v>12351</v>
      </c>
      <c r="I429" s="6">
        <v>5203</v>
      </c>
      <c r="J429" t="s">
        <v>200</v>
      </c>
    </row>
    <row r="430" spans="1:10" x14ac:dyDescent="0.35">
      <c r="A430" t="s">
        <v>1051</v>
      </c>
      <c r="B430" t="s">
        <v>1134</v>
      </c>
      <c r="C430" t="s">
        <v>1135</v>
      </c>
      <c r="D430" s="7">
        <v>70.3</v>
      </c>
      <c r="E430">
        <v>70.27304454937385</v>
      </c>
      <c r="F430" s="7">
        <v>29.7</v>
      </c>
      <c r="G430" s="6">
        <v>4871</v>
      </c>
      <c r="H430" s="6">
        <v>3423</v>
      </c>
      <c r="I430" s="6">
        <v>1448</v>
      </c>
      <c r="J430" t="s">
        <v>200</v>
      </c>
    </row>
    <row r="431" spans="1:10" x14ac:dyDescent="0.35">
      <c r="A431" t="s">
        <v>1051</v>
      </c>
      <c r="B431" t="s">
        <v>1136</v>
      </c>
      <c r="C431" t="s">
        <v>1137</v>
      </c>
      <c r="D431" s="7">
        <v>70.2</v>
      </c>
      <c r="E431">
        <v>70.246433203631653</v>
      </c>
      <c r="F431" s="7">
        <v>29.8</v>
      </c>
      <c r="G431" s="6">
        <v>11565</v>
      </c>
      <c r="H431" s="6">
        <v>8124</v>
      </c>
      <c r="I431" s="6">
        <v>3441</v>
      </c>
      <c r="J431" t="s">
        <v>200</v>
      </c>
    </row>
    <row r="432" spans="1:10" x14ac:dyDescent="0.35">
      <c r="A432" t="s">
        <v>1051</v>
      </c>
      <c r="B432" t="s">
        <v>1138</v>
      </c>
      <c r="C432" t="s">
        <v>1139</v>
      </c>
      <c r="D432" s="7">
        <v>70.2</v>
      </c>
      <c r="E432">
        <v>70.150083379655371</v>
      </c>
      <c r="F432" s="7">
        <v>29.8</v>
      </c>
      <c r="G432" s="6">
        <v>7196</v>
      </c>
      <c r="H432" s="6">
        <v>5048</v>
      </c>
      <c r="I432" s="6">
        <v>2148</v>
      </c>
      <c r="J432" t="s">
        <v>200</v>
      </c>
    </row>
    <row r="433" spans="1:10" x14ac:dyDescent="0.35">
      <c r="A433" t="s">
        <v>1051</v>
      </c>
      <c r="B433" t="s">
        <v>1140</v>
      </c>
      <c r="C433" t="s">
        <v>1141</v>
      </c>
      <c r="D433" s="7">
        <v>70.099999999999994</v>
      </c>
      <c r="E433">
        <v>70.126986946097148</v>
      </c>
      <c r="F433" s="7">
        <v>29.9</v>
      </c>
      <c r="G433" s="6">
        <v>11261</v>
      </c>
      <c r="H433" s="6">
        <v>7897</v>
      </c>
      <c r="I433" s="6">
        <v>3364</v>
      </c>
      <c r="J433" t="s">
        <v>200</v>
      </c>
    </row>
    <row r="434" spans="1:10" x14ac:dyDescent="0.35">
      <c r="A434" t="s">
        <v>1051</v>
      </c>
      <c r="B434" t="s">
        <v>1142</v>
      </c>
      <c r="C434" t="s">
        <v>1143</v>
      </c>
      <c r="D434" s="7">
        <v>70.099999999999994</v>
      </c>
      <c r="E434">
        <v>70.097623089983017</v>
      </c>
      <c r="F434" s="7">
        <v>29.9</v>
      </c>
      <c r="G434" s="6">
        <v>18848</v>
      </c>
      <c r="H434" s="6">
        <v>13212</v>
      </c>
      <c r="I434" s="6">
        <v>5636</v>
      </c>
      <c r="J434" t="s">
        <v>200</v>
      </c>
    </row>
    <row r="435" spans="1:10" x14ac:dyDescent="0.35">
      <c r="A435" t="s">
        <v>1051</v>
      </c>
      <c r="B435" t="s">
        <v>1144</v>
      </c>
      <c r="C435" t="s">
        <v>1145</v>
      </c>
      <c r="D435" s="7">
        <v>70</v>
      </c>
      <c r="E435">
        <v>69.981383803909395</v>
      </c>
      <c r="F435" s="7">
        <v>30</v>
      </c>
      <c r="G435" s="6">
        <v>12892</v>
      </c>
      <c r="H435" s="6">
        <v>9022</v>
      </c>
      <c r="I435" s="6">
        <v>3870</v>
      </c>
      <c r="J435" t="s">
        <v>200</v>
      </c>
    </row>
    <row r="436" spans="1:10" x14ac:dyDescent="0.35">
      <c r="A436" t="s">
        <v>1051</v>
      </c>
      <c r="B436" t="s">
        <v>1146</v>
      </c>
      <c r="C436" t="s">
        <v>1147</v>
      </c>
      <c r="D436" s="7">
        <v>69.900000000000006</v>
      </c>
      <c r="E436">
        <v>69.914570762889056</v>
      </c>
      <c r="F436" s="7">
        <v>30.1</v>
      </c>
      <c r="G436" s="6">
        <v>16739</v>
      </c>
      <c r="H436" s="6">
        <v>11703</v>
      </c>
      <c r="I436" s="6">
        <v>5036</v>
      </c>
      <c r="J436" t="s">
        <v>200</v>
      </c>
    </row>
    <row r="437" spans="1:10" x14ac:dyDescent="0.35">
      <c r="A437" t="s">
        <v>1051</v>
      </c>
      <c r="B437" t="s">
        <v>1148</v>
      </c>
      <c r="C437" t="s">
        <v>1149</v>
      </c>
      <c r="D437" s="7">
        <v>69.8</v>
      </c>
      <c r="E437">
        <v>69.818357621382688</v>
      </c>
      <c r="F437" s="7">
        <v>30.2</v>
      </c>
      <c r="G437" s="6">
        <v>14479</v>
      </c>
      <c r="H437" s="6">
        <v>10109</v>
      </c>
      <c r="I437" s="6">
        <v>4370</v>
      </c>
      <c r="J437" t="s">
        <v>200</v>
      </c>
    </row>
    <row r="438" spans="1:10" x14ac:dyDescent="0.35">
      <c r="A438" t="s">
        <v>1051</v>
      </c>
      <c r="B438" t="s">
        <v>1150</v>
      </c>
      <c r="C438" t="s">
        <v>1151</v>
      </c>
      <c r="D438" s="7">
        <v>69.599999999999994</v>
      </c>
      <c r="E438">
        <v>69.586948976049982</v>
      </c>
      <c r="F438" s="7">
        <v>30.4</v>
      </c>
      <c r="G438" s="6">
        <v>14405</v>
      </c>
      <c r="H438" s="6">
        <v>10024</v>
      </c>
      <c r="I438" s="6">
        <v>4381</v>
      </c>
      <c r="J438" t="s">
        <v>200</v>
      </c>
    </row>
    <row r="439" spans="1:10" x14ac:dyDescent="0.35">
      <c r="A439" t="s">
        <v>1051</v>
      </c>
      <c r="B439" t="s">
        <v>1152</v>
      </c>
      <c r="C439" t="s">
        <v>1153</v>
      </c>
      <c r="D439" s="7">
        <v>69.5</v>
      </c>
      <c r="E439">
        <v>69.473965644007748</v>
      </c>
      <c r="F439" s="7">
        <v>30.5</v>
      </c>
      <c r="G439" s="6">
        <v>14961</v>
      </c>
      <c r="H439" s="6">
        <v>10394</v>
      </c>
      <c r="I439" s="6">
        <v>4567</v>
      </c>
      <c r="J439" t="s">
        <v>200</v>
      </c>
    </row>
    <row r="440" spans="1:10" x14ac:dyDescent="0.35">
      <c r="A440" t="s">
        <v>1051</v>
      </c>
      <c r="B440" t="s">
        <v>1154</v>
      </c>
      <c r="C440" t="s">
        <v>1155</v>
      </c>
      <c r="D440" s="7">
        <v>69.400000000000006</v>
      </c>
      <c r="E440">
        <v>69.410277043338311</v>
      </c>
      <c r="F440" s="7">
        <v>30.6</v>
      </c>
      <c r="G440" s="6">
        <v>8699</v>
      </c>
      <c r="H440" s="6">
        <v>6038</v>
      </c>
      <c r="I440" s="6">
        <v>2661</v>
      </c>
      <c r="J440" t="s">
        <v>200</v>
      </c>
    </row>
    <row r="441" spans="1:10" x14ac:dyDescent="0.35">
      <c r="A441" t="s">
        <v>1051</v>
      </c>
      <c r="B441" t="s">
        <v>1156</v>
      </c>
      <c r="C441" t="s">
        <v>1157</v>
      </c>
      <c r="D441" s="7">
        <v>69.400000000000006</v>
      </c>
      <c r="E441">
        <v>69.383816308574353</v>
      </c>
      <c r="F441" s="7">
        <v>30.6</v>
      </c>
      <c r="G441" s="6">
        <v>35233</v>
      </c>
      <c r="H441" s="6">
        <v>24446</v>
      </c>
      <c r="I441" s="6">
        <v>10787</v>
      </c>
      <c r="J441" t="s">
        <v>200</v>
      </c>
    </row>
    <row r="442" spans="1:10" x14ac:dyDescent="0.35">
      <c r="A442" t="s">
        <v>1051</v>
      </c>
      <c r="B442" t="s">
        <v>1158</v>
      </c>
      <c r="C442" t="s">
        <v>1159</v>
      </c>
      <c r="D442" s="7">
        <v>69.2</v>
      </c>
      <c r="E442">
        <v>69.208920681674726</v>
      </c>
      <c r="F442" s="7">
        <v>30.8</v>
      </c>
      <c r="G442" s="6">
        <v>9506</v>
      </c>
      <c r="H442" s="6">
        <v>6579</v>
      </c>
      <c r="I442" s="6">
        <v>2927</v>
      </c>
      <c r="J442" t="s">
        <v>200</v>
      </c>
    </row>
    <row r="443" spans="1:10" x14ac:dyDescent="0.35">
      <c r="A443" t="s">
        <v>1051</v>
      </c>
      <c r="B443" t="s">
        <v>1160</v>
      </c>
      <c r="C443" t="s">
        <v>1161</v>
      </c>
      <c r="D443" s="7">
        <v>68.900000000000006</v>
      </c>
      <c r="E443">
        <v>68.921634293369053</v>
      </c>
      <c r="F443" s="7">
        <v>31.1</v>
      </c>
      <c r="G443" s="6">
        <v>5972</v>
      </c>
      <c r="H443" s="6">
        <v>4116</v>
      </c>
      <c r="I443" s="6">
        <v>1856</v>
      </c>
      <c r="J443" t="s">
        <v>200</v>
      </c>
    </row>
    <row r="444" spans="1:10" x14ac:dyDescent="0.35">
      <c r="A444" t="s">
        <v>1051</v>
      </c>
      <c r="B444" t="s">
        <v>1162</v>
      </c>
      <c r="C444" t="s">
        <v>1163</v>
      </c>
      <c r="D444" s="7">
        <v>68.599999999999994</v>
      </c>
      <c r="E444">
        <v>68.610208373160006</v>
      </c>
      <c r="F444" s="7">
        <v>31.4</v>
      </c>
      <c r="G444" s="6">
        <v>15693</v>
      </c>
      <c r="H444" s="6">
        <v>10767</v>
      </c>
      <c r="I444" s="6">
        <v>4926</v>
      </c>
      <c r="J444" t="s">
        <v>200</v>
      </c>
    </row>
    <row r="445" spans="1:10" x14ac:dyDescent="0.35">
      <c r="A445" t="s">
        <v>1051</v>
      </c>
      <c r="B445" t="s">
        <v>1164</v>
      </c>
      <c r="C445" t="s">
        <v>1165</v>
      </c>
      <c r="D445" s="7">
        <v>68.599999999999994</v>
      </c>
      <c r="E445">
        <v>68.595041322314046</v>
      </c>
      <c r="F445" s="7">
        <v>31.4</v>
      </c>
      <c r="G445" s="6">
        <v>9922</v>
      </c>
      <c r="H445" s="6">
        <v>6806</v>
      </c>
      <c r="I445" s="6">
        <v>3116</v>
      </c>
      <c r="J445" t="s">
        <v>200</v>
      </c>
    </row>
    <row r="446" spans="1:10" x14ac:dyDescent="0.35">
      <c r="A446" t="s">
        <v>1051</v>
      </c>
      <c r="B446" t="s">
        <v>1166</v>
      </c>
      <c r="C446" t="s">
        <v>1167</v>
      </c>
      <c r="D446" s="7">
        <v>68.599999999999994</v>
      </c>
      <c r="E446">
        <v>68.578916715200933</v>
      </c>
      <c r="F446" s="7">
        <v>31.4</v>
      </c>
      <c r="G446" s="6">
        <v>30906</v>
      </c>
      <c r="H446" s="6">
        <v>21195</v>
      </c>
      <c r="I446" s="6">
        <v>9711</v>
      </c>
      <c r="J446" t="s">
        <v>200</v>
      </c>
    </row>
    <row r="447" spans="1:10" x14ac:dyDescent="0.35">
      <c r="A447" t="s">
        <v>1051</v>
      </c>
      <c r="B447" t="s">
        <v>1168</v>
      </c>
      <c r="C447" t="s">
        <v>1169</v>
      </c>
      <c r="D447" s="7">
        <v>68.599999999999994</v>
      </c>
      <c r="E447">
        <v>68.569742278182176</v>
      </c>
      <c r="F447" s="7">
        <v>31.4</v>
      </c>
      <c r="G447" s="6">
        <v>25415</v>
      </c>
      <c r="H447" s="6">
        <v>17427</v>
      </c>
      <c r="I447" s="6">
        <v>7988</v>
      </c>
      <c r="J447" t="s">
        <v>200</v>
      </c>
    </row>
    <row r="448" spans="1:10" x14ac:dyDescent="0.35">
      <c r="A448" t="s">
        <v>1051</v>
      </c>
      <c r="B448" t="s">
        <v>1170</v>
      </c>
      <c r="C448" t="s">
        <v>1171</v>
      </c>
      <c r="D448" s="7">
        <v>68.599999999999994</v>
      </c>
      <c r="E448">
        <v>68.561434193266294</v>
      </c>
      <c r="F448" s="7">
        <v>31.4</v>
      </c>
      <c r="G448" s="6">
        <v>11435</v>
      </c>
      <c r="H448" s="6">
        <v>7840</v>
      </c>
      <c r="I448" s="6">
        <v>3595</v>
      </c>
      <c r="J448" t="s">
        <v>200</v>
      </c>
    </row>
    <row r="449" spans="1:10" x14ac:dyDescent="0.35">
      <c r="A449" t="s">
        <v>1051</v>
      </c>
      <c r="B449" t="s">
        <v>1172</v>
      </c>
      <c r="C449" t="s">
        <v>1173</v>
      </c>
      <c r="D449" s="7">
        <v>68.400000000000006</v>
      </c>
      <c r="E449">
        <v>68.368336025848137</v>
      </c>
      <c r="F449" s="7">
        <v>31.6</v>
      </c>
      <c r="G449" s="6">
        <v>6190</v>
      </c>
      <c r="H449" s="6">
        <v>4232</v>
      </c>
      <c r="I449" s="6">
        <v>1958</v>
      </c>
      <c r="J449" t="s">
        <v>200</v>
      </c>
    </row>
    <row r="450" spans="1:10" x14ac:dyDescent="0.35">
      <c r="A450" t="s">
        <v>1051</v>
      </c>
      <c r="B450" t="s">
        <v>1174</v>
      </c>
      <c r="C450" t="s">
        <v>1175</v>
      </c>
      <c r="D450" s="7">
        <v>68.3</v>
      </c>
      <c r="E450">
        <v>68.271145355380483</v>
      </c>
      <c r="F450" s="7">
        <v>31.7</v>
      </c>
      <c r="G450" s="6">
        <v>23102</v>
      </c>
      <c r="H450" s="6">
        <v>15772</v>
      </c>
      <c r="I450" s="6">
        <v>7330</v>
      </c>
      <c r="J450" t="s">
        <v>200</v>
      </c>
    </row>
    <row r="451" spans="1:10" x14ac:dyDescent="0.35">
      <c r="A451" t="s">
        <v>1051</v>
      </c>
      <c r="B451" t="s">
        <v>1176</v>
      </c>
      <c r="C451" t="s">
        <v>1177</v>
      </c>
      <c r="D451" s="7">
        <v>68.099999999999994</v>
      </c>
      <c r="E451">
        <v>68.145242405954534</v>
      </c>
      <c r="F451" s="7">
        <v>31.9</v>
      </c>
      <c r="G451" s="6">
        <v>9942</v>
      </c>
      <c r="H451" s="6">
        <v>6775</v>
      </c>
      <c r="I451" s="6">
        <v>3167</v>
      </c>
      <c r="J451" t="s">
        <v>200</v>
      </c>
    </row>
    <row r="452" spans="1:10" x14ac:dyDescent="0.35">
      <c r="A452" t="s">
        <v>1051</v>
      </c>
      <c r="B452" t="s">
        <v>1178</v>
      </c>
      <c r="C452" t="s">
        <v>1179</v>
      </c>
      <c r="D452" s="7">
        <v>68</v>
      </c>
      <c r="E452">
        <v>68.018892910744242</v>
      </c>
      <c r="F452" s="7">
        <v>32</v>
      </c>
      <c r="G452" s="6">
        <v>22654</v>
      </c>
      <c r="H452" s="6">
        <v>15409</v>
      </c>
      <c r="I452" s="6">
        <v>7245</v>
      </c>
      <c r="J452" t="s">
        <v>200</v>
      </c>
    </row>
    <row r="453" spans="1:10" x14ac:dyDescent="0.35">
      <c r="A453" t="s">
        <v>1051</v>
      </c>
      <c r="B453" t="s">
        <v>1180</v>
      </c>
      <c r="C453" t="s">
        <v>1181</v>
      </c>
      <c r="D453" s="7">
        <v>67.900000000000006</v>
      </c>
      <c r="E453">
        <v>67.860240366745131</v>
      </c>
      <c r="F453" s="7">
        <v>32.1</v>
      </c>
      <c r="G453" s="6">
        <v>8071</v>
      </c>
      <c r="H453" s="6">
        <v>5477</v>
      </c>
      <c r="I453" s="6">
        <v>2594</v>
      </c>
      <c r="J453" t="s">
        <v>200</v>
      </c>
    </row>
    <row r="454" spans="1:10" x14ac:dyDescent="0.35">
      <c r="A454" t="s">
        <v>1051</v>
      </c>
      <c r="B454" t="s">
        <v>1182</v>
      </c>
      <c r="C454" t="s">
        <v>1183</v>
      </c>
      <c r="D454" s="7">
        <v>67.7</v>
      </c>
      <c r="E454">
        <v>67.68440145102781</v>
      </c>
      <c r="F454" s="7">
        <v>32.299999999999997</v>
      </c>
      <c r="G454" s="6">
        <v>9924</v>
      </c>
      <c r="H454" s="6">
        <v>6717</v>
      </c>
      <c r="I454" s="6">
        <v>3207</v>
      </c>
      <c r="J454" t="s">
        <v>200</v>
      </c>
    </row>
    <row r="455" spans="1:10" x14ac:dyDescent="0.35">
      <c r="A455" t="s">
        <v>1051</v>
      </c>
      <c r="B455" t="s">
        <v>1184</v>
      </c>
      <c r="C455" t="s">
        <v>1185</v>
      </c>
      <c r="D455" s="7">
        <v>67.7</v>
      </c>
      <c r="E455">
        <v>67.683738951446912</v>
      </c>
      <c r="F455" s="7">
        <v>32.299999999999997</v>
      </c>
      <c r="G455" s="6">
        <v>8259</v>
      </c>
      <c r="H455" s="6">
        <v>5590</v>
      </c>
      <c r="I455" s="6">
        <v>2669</v>
      </c>
      <c r="J455" t="s">
        <v>200</v>
      </c>
    </row>
    <row r="456" spans="1:10" x14ac:dyDescent="0.35">
      <c r="A456" t="s">
        <v>1051</v>
      </c>
      <c r="B456" t="s">
        <v>1186</v>
      </c>
      <c r="C456" t="s">
        <v>1187</v>
      </c>
      <c r="D456" s="7">
        <v>67.599999999999994</v>
      </c>
      <c r="E456">
        <v>67.632647347053066</v>
      </c>
      <c r="F456" s="7">
        <v>32.4</v>
      </c>
      <c r="G456" s="6">
        <v>14286</v>
      </c>
      <c r="H456" s="6">
        <v>9662</v>
      </c>
      <c r="I456" s="6">
        <v>4624</v>
      </c>
      <c r="J456" t="s">
        <v>200</v>
      </c>
    </row>
    <row r="457" spans="1:10" x14ac:dyDescent="0.35">
      <c r="A457" t="s">
        <v>1051</v>
      </c>
      <c r="B457" t="s">
        <v>1188</v>
      </c>
      <c r="C457" t="s">
        <v>1189</v>
      </c>
      <c r="D457" s="7">
        <v>67.599999999999994</v>
      </c>
      <c r="E457">
        <v>67.600816461631823</v>
      </c>
      <c r="F457" s="7">
        <v>32.4</v>
      </c>
      <c r="G457" s="6">
        <v>18127</v>
      </c>
      <c r="H457" s="6">
        <v>12254</v>
      </c>
      <c r="I457" s="6">
        <v>5873</v>
      </c>
      <c r="J457" t="s">
        <v>200</v>
      </c>
    </row>
    <row r="458" spans="1:10" x14ac:dyDescent="0.35">
      <c r="A458" t="s">
        <v>1051</v>
      </c>
      <c r="B458" t="s">
        <v>1190</v>
      </c>
      <c r="C458" t="s">
        <v>1191</v>
      </c>
      <c r="D458" s="7">
        <v>67.599999999999994</v>
      </c>
      <c r="E458">
        <v>67.557476910984477</v>
      </c>
      <c r="F458" s="7">
        <v>32.4</v>
      </c>
      <c r="G458" s="6">
        <v>10178</v>
      </c>
      <c r="H458" s="6">
        <v>6876</v>
      </c>
      <c r="I458" s="6">
        <v>3302</v>
      </c>
      <c r="J458" t="s">
        <v>200</v>
      </c>
    </row>
    <row r="459" spans="1:10" x14ac:dyDescent="0.35">
      <c r="A459" t="s">
        <v>1051</v>
      </c>
      <c r="B459" t="s">
        <v>1192</v>
      </c>
      <c r="C459" t="s">
        <v>1193</v>
      </c>
      <c r="D459" s="7">
        <v>67.400000000000006</v>
      </c>
      <c r="E459">
        <v>67.405867405867411</v>
      </c>
      <c r="F459" s="7">
        <v>32.6</v>
      </c>
      <c r="G459" s="6">
        <v>4329</v>
      </c>
      <c r="H459" s="6">
        <v>2918</v>
      </c>
      <c r="I459" s="6">
        <v>1411</v>
      </c>
      <c r="J459" t="s">
        <v>200</v>
      </c>
    </row>
    <row r="460" spans="1:10" x14ac:dyDescent="0.35">
      <c r="A460" t="s">
        <v>1051</v>
      </c>
      <c r="B460" t="s">
        <v>1194</v>
      </c>
      <c r="C460" t="s">
        <v>1195</v>
      </c>
      <c r="D460" s="7">
        <v>67.400000000000006</v>
      </c>
      <c r="E460">
        <v>67.396247868106883</v>
      </c>
      <c r="F460" s="7">
        <v>32.6</v>
      </c>
      <c r="G460" s="6">
        <v>7036</v>
      </c>
      <c r="H460" s="6">
        <v>4742</v>
      </c>
      <c r="I460" s="6">
        <v>2294</v>
      </c>
      <c r="J460" t="s">
        <v>200</v>
      </c>
    </row>
    <row r="461" spans="1:10" x14ac:dyDescent="0.35">
      <c r="A461" t="s">
        <v>1051</v>
      </c>
      <c r="B461" t="s">
        <v>1196</v>
      </c>
      <c r="C461" t="s">
        <v>1197</v>
      </c>
      <c r="D461" s="7">
        <v>67.2</v>
      </c>
      <c r="E461">
        <v>67.151737779033624</v>
      </c>
      <c r="F461" s="7">
        <v>32.799999999999997</v>
      </c>
      <c r="G461" s="6">
        <v>21234</v>
      </c>
      <c r="H461" s="6">
        <v>14259</v>
      </c>
      <c r="I461" s="6">
        <v>6975</v>
      </c>
      <c r="J461" t="s">
        <v>200</v>
      </c>
    </row>
    <row r="462" spans="1:10" x14ac:dyDescent="0.35">
      <c r="A462" t="s">
        <v>1051</v>
      </c>
      <c r="B462" t="s">
        <v>1198</v>
      </c>
      <c r="C462" t="s">
        <v>1199</v>
      </c>
      <c r="D462" s="7">
        <v>67.099999999999994</v>
      </c>
      <c r="E462">
        <v>67.083685545224</v>
      </c>
      <c r="F462" s="7">
        <v>32.9</v>
      </c>
      <c r="G462" s="6">
        <v>5915</v>
      </c>
      <c r="H462" s="6">
        <v>3968</v>
      </c>
      <c r="I462" s="6">
        <v>1947</v>
      </c>
      <c r="J462" t="s">
        <v>200</v>
      </c>
    </row>
    <row r="463" spans="1:10" x14ac:dyDescent="0.35">
      <c r="A463" t="s">
        <v>1051</v>
      </c>
      <c r="B463" t="s">
        <v>1200</v>
      </c>
      <c r="C463" t="s">
        <v>1201</v>
      </c>
      <c r="D463" s="7">
        <v>67.099999999999994</v>
      </c>
      <c r="E463">
        <v>67.073576212416285</v>
      </c>
      <c r="F463" s="7">
        <v>32.9</v>
      </c>
      <c r="G463" s="6">
        <v>21053</v>
      </c>
      <c r="H463" s="6">
        <v>14121</v>
      </c>
      <c r="I463" s="6">
        <v>6932</v>
      </c>
      <c r="J463" t="s">
        <v>200</v>
      </c>
    </row>
    <row r="464" spans="1:10" x14ac:dyDescent="0.35">
      <c r="A464" t="s">
        <v>1051</v>
      </c>
      <c r="B464" t="s">
        <v>1202</v>
      </c>
      <c r="C464" t="s">
        <v>1203</v>
      </c>
      <c r="D464" s="7">
        <v>66.900000000000006</v>
      </c>
      <c r="E464">
        <v>66.888577435178703</v>
      </c>
      <c r="F464" s="7">
        <v>33.1</v>
      </c>
      <c r="G464" s="6">
        <v>19978</v>
      </c>
      <c r="H464" s="6">
        <v>13363</v>
      </c>
      <c r="I464" s="6">
        <v>6615</v>
      </c>
      <c r="J464" t="s">
        <v>200</v>
      </c>
    </row>
    <row r="465" spans="1:10" x14ac:dyDescent="0.35">
      <c r="A465" t="s">
        <v>1051</v>
      </c>
      <c r="B465" t="s">
        <v>1204</v>
      </c>
      <c r="C465" t="s">
        <v>1205</v>
      </c>
      <c r="D465" s="7">
        <v>66.900000000000006</v>
      </c>
      <c r="E465">
        <v>66.865717348032462</v>
      </c>
      <c r="F465" s="7">
        <v>33.1</v>
      </c>
      <c r="G465" s="6">
        <v>13062</v>
      </c>
      <c r="H465" s="6">
        <v>8734</v>
      </c>
      <c r="I465" s="6">
        <v>4328</v>
      </c>
      <c r="J465" t="s">
        <v>200</v>
      </c>
    </row>
    <row r="466" spans="1:10" x14ac:dyDescent="0.35">
      <c r="A466" t="s">
        <v>1051</v>
      </c>
      <c r="B466" t="s">
        <v>1206</v>
      </c>
      <c r="C466" t="s">
        <v>1207</v>
      </c>
      <c r="D466" s="7">
        <v>66.8</v>
      </c>
      <c r="E466">
        <v>66.792825407273327</v>
      </c>
      <c r="F466" s="7">
        <v>33.200000000000003</v>
      </c>
      <c r="G466" s="6">
        <v>6077</v>
      </c>
      <c r="H466" s="6">
        <v>4059</v>
      </c>
      <c r="I466" s="6">
        <v>2018</v>
      </c>
      <c r="J466" t="s">
        <v>200</v>
      </c>
    </row>
    <row r="467" spans="1:10" x14ac:dyDescent="0.35">
      <c r="A467" t="s">
        <v>1051</v>
      </c>
      <c r="B467" t="s">
        <v>1208</v>
      </c>
      <c r="C467" t="s">
        <v>1209</v>
      </c>
      <c r="D467" s="7">
        <v>66.8</v>
      </c>
      <c r="E467">
        <v>66.764839148164924</v>
      </c>
      <c r="F467" s="7">
        <v>33.200000000000003</v>
      </c>
      <c r="G467" s="6">
        <v>4414</v>
      </c>
      <c r="H467" s="6">
        <v>2947</v>
      </c>
      <c r="I467" s="6">
        <v>1467</v>
      </c>
      <c r="J467" t="s">
        <v>200</v>
      </c>
    </row>
    <row r="468" spans="1:10" x14ac:dyDescent="0.35">
      <c r="A468" t="s">
        <v>1051</v>
      </c>
      <c r="B468" t="s">
        <v>1210</v>
      </c>
      <c r="C468" t="s">
        <v>1211</v>
      </c>
      <c r="D468" s="7">
        <v>66.599999999999994</v>
      </c>
      <c r="E468">
        <v>66.634542575893164</v>
      </c>
      <c r="F468" s="7">
        <v>33.4</v>
      </c>
      <c r="G468" s="6">
        <v>14527</v>
      </c>
      <c r="H468" s="6">
        <v>9680</v>
      </c>
      <c r="I468" s="6">
        <v>4847</v>
      </c>
      <c r="J468" t="s">
        <v>200</v>
      </c>
    </row>
    <row r="469" spans="1:10" x14ac:dyDescent="0.35">
      <c r="A469" t="s">
        <v>1051</v>
      </c>
      <c r="B469" t="s">
        <v>1212</v>
      </c>
      <c r="C469" t="s">
        <v>1213</v>
      </c>
      <c r="D469" s="7">
        <v>66.400000000000006</v>
      </c>
      <c r="E469">
        <v>66.429353778751363</v>
      </c>
      <c r="F469" s="7">
        <v>33.6</v>
      </c>
      <c r="G469" s="6">
        <v>7304</v>
      </c>
      <c r="H469" s="6">
        <v>4852</v>
      </c>
      <c r="I469" s="6">
        <v>2452</v>
      </c>
      <c r="J469" t="s">
        <v>200</v>
      </c>
    </row>
    <row r="470" spans="1:10" x14ac:dyDescent="0.35">
      <c r="A470" t="s">
        <v>1051</v>
      </c>
      <c r="B470" t="s">
        <v>1214</v>
      </c>
      <c r="C470" t="s">
        <v>1215</v>
      </c>
      <c r="D470" s="7">
        <v>66.400000000000006</v>
      </c>
      <c r="E470">
        <v>66.37397513885216</v>
      </c>
      <c r="F470" s="7">
        <v>33.6</v>
      </c>
      <c r="G470" s="6">
        <v>18905</v>
      </c>
      <c r="H470" s="6">
        <v>12548</v>
      </c>
      <c r="I470" s="6">
        <v>6357</v>
      </c>
      <c r="J470" t="s">
        <v>200</v>
      </c>
    </row>
    <row r="471" spans="1:10" x14ac:dyDescent="0.35">
      <c r="A471" t="s">
        <v>1051</v>
      </c>
      <c r="B471" t="s">
        <v>1216</v>
      </c>
      <c r="C471" t="s">
        <v>1217</v>
      </c>
      <c r="D471" s="7">
        <v>66.400000000000006</v>
      </c>
      <c r="E471">
        <v>66.367456073338431</v>
      </c>
      <c r="F471" s="7">
        <v>33.6</v>
      </c>
      <c r="G471" s="6">
        <v>15708</v>
      </c>
      <c r="H471" s="6">
        <v>10425</v>
      </c>
      <c r="I471" s="6">
        <v>5283</v>
      </c>
      <c r="J471" t="s">
        <v>200</v>
      </c>
    </row>
    <row r="472" spans="1:10" x14ac:dyDescent="0.35">
      <c r="A472" t="s">
        <v>1051</v>
      </c>
      <c r="B472" t="s">
        <v>1218</v>
      </c>
      <c r="C472" t="s">
        <v>1219</v>
      </c>
      <c r="D472" s="7">
        <v>66.099999999999994</v>
      </c>
      <c r="E472">
        <v>66.059351276742575</v>
      </c>
      <c r="F472" s="7">
        <v>33.9</v>
      </c>
      <c r="G472" s="6">
        <v>14490</v>
      </c>
      <c r="H472" s="6">
        <v>9572</v>
      </c>
      <c r="I472" s="6">
        <v>4918</v>
      </c>
      <c r="J472" t="s">
        <v>200</v>
      </c>
    </row>
    <row r="473" spans="1:10" x14ac:dyDescent="0.35">
      <c r="A473" t="s">
        <v>1051</v>
      </c>
      <c r="B473" t="s">
        <v>1220</v>
      </c>
      <c r="C473" t="s">
        <v>1221</v>
      </c>
      <c r="D473" s="7">
        <v>66</v>
      </c>
      <c r="E473">
        <v>66.042836348513205</v>
      </c>
      <c r="F473" s="7">
        <v>34</v>
      </c>
      <c r="G473" s="6">
        <v>4809</v>
      </c>
      <c r="H473" s="6">
        <v>3176</v>
      </c>
      <c r="I473" s="6">
        <v>1633</v>
      </c>
      <c r="J473" t="s">
        <v>200</v>
      </c>
    </row>
    <row r="474" spans="1:10" x14ac:dyDescent="0.35">
      <c r="A474" t="s">
        <v>1051</v>
      </c>
      <c r="B474" t="s">
        <v>1222</v>
      </c>
      <c r="C474" t="s">
        <v>1223</v>
      </c>
      <c r="D474" s="7">
        <v>66</v>
      </c>
      <c r="E474">
        <v>66.007905138339922</v>
      </c>
      <c r="F474" s="7">
        <v>34</v>
      </c>
      <c r="G474" s="6">
        <v>19228</v>
      </c>
      <c r="H474" s="6">
        <v>12692</v>
      </c>
      <c r="I474" s="6">
        <v>6536</v>
      </c>
      <c r="J474" t="s">
        <v>200</v>
      </c>
    </row>
    <row r="475" spans="1:10" x14ac:dyDescent="0.35">
      <c r="A475" t="s">
        <v>1051</v>
      </c>
      <c r="B475" t="s">
        <v>1224</v>
      </c>
      <c r="C475" t="s">
        <v>1225</v>
      </c>
      <c r="D475" s="7">
        <v>65.900000000000006</v>
      </c>
      <c r="E475">
        <v>65.862324204293117</v>
      </c>
      <c r="F475" s="7">
        <v>34.1</v>
      </c>
      <c r="G475" s="6">
        <v>6755</v>
      </c>
      <c r="H475" s="6">
        <v>4449</v>
      </c>
      <c r="I475" s="6">
        <v>2306</v>
      </c>
      <c r="J475" t="s">
        <v>200</v>
      </c>
    </row>
    <row r="476" spans="1:10" x14ac:dyDescent="0.35">
      <c r="A476" t="s">
        <v>1051</v>
      </c>
      <c r="B476" t="s">
        <v>1226</v>
      </c>
      <c r="C476" t="s">
        <v>1227</v>
      </c>
      <c r="D476" s="7">
        <v>65.900000000000006</v>
      </c>
      <c r="E476">
        <v>65.862068965517238</v>
      </c>
      <c r="F476" s="7">
        <v>34.1</v>
      </c>
      <c r="G476" s="6">
        <v>12470</v>
      </c>
      <c r="H476" s="6">
        <v>8213</v>
      </c>
      <c r="I476" s="6">
        <v>4257</v>
      </c>
      <c r="J476" t="s">
        <v>200</v>
      </c>
    </row>
    <row r="477" spans="1:10" x14ac:dyDescent="0.35">
      <c r="A477" t="s">
        <v>1051</v>
      </c>
      <c r="B477" t="s">
        <v>1228</v>
      </c>
      <c r="C477" t="s">
        <v>1229</v>
      </c>
      <c r="D477" s="7">
        <v>65.900000000000006</v>
      </c>
      <c r="E477">
        <v>65.850515463917532</v>
      </c>
      <c r="F477" s="7">
        <v>34.1</v>
      </c>
      <c r="G477" s="6">
        <v>4656</v>
      </c>
      <c r="H477" s="6">
        <v>3066</v>
      </c>
      <c r="I477" s="6">
        <v>1590</v>
      </c>
      <c r="J477" t="s">
        <v>200</v>
      </c>
    </row>
    <row r="478" spans="1:10" x14ac:dyDescent="0.35">
      <c r="A478" t="s">
        <v>1051</v>
      </c>
      <c r="B478" t="s">
        <v>1230</v>
      </c>
      <c r="C478" t="s">
        <v>1231</v>
      </c>
      <c r="D478" s="7">
        <v>65.5</v>
      </c>
      <c r="E478">
        <v>65.521327014218016</v>
      </c>
      <c r="F478" s="7">
        <v>34.5</v>
      </c>
      <c r="G478" s="6">
        <v>5908</v>
      </c>
      <c r="H478" s="6">
        <v>3871</v>
      </c>
      <c r="I478" s="6">
        <v>2037</v>
      </c>
      <c r="J478" t="s">
        <v>200</v>
      </c>
    </row>
    <row r="479" spans="1:10" x14ac:dyDescent="0.35">
      <c r="A479" t="s">
        <v>1051</v>
      </c>
      <c r="B479" t="s">
        <v>1232</v>
      </c>
      <c r="C479" t="s">
        <v>1233</v>
      </c>
      <c r="D479" s="7">
        <v>65.2</v>
      </c>
      <c r="E479">
        <v>65.17362518578571</v>
      </c>
      <c r="F479" s="7">
        <v>34.799999999999997</v>
      </c>
      <c r="G479" s="6">
        <v>14802</v>
      </c>
      <c r="H479" s="6">
        <v>9647</v>
      </c>
      <c r="I479" s="6">
        <v>5155</v>
      </c>
      <c r="J479" t="s">
        <v>200</v>
      </c>
    </row>
    <row r="480" spans="1:10" x14ac:dyDescent="0.35">
      <c r="A480" t="s">
        <v>1051</v>
      </c>
      <c r="B480" t="s">
        <v>1234</v>
      </c>
      <c r="C480" t="s">
        <v>1235</v>
      </c>
      <c r="D480" s="7">
        <v>65.099999999999994</v>
      </c>
      <c r="E480">
        <v>65.054865549258409</v>
      </c>
      <c r="F480" s="7">
        <v>34.9</v>
      </c>
      <c r="G480" s="6">
        <v>8293</v>
      </c>
      <c r="H480" s="6">
        <v>5395</v>
      </c>
      <c r="I480" s="6">
        <v>2898</v>
      </c>
      <c r="J480" t="s">
        <v>200</v>
      </c>
    </row>
    <row r="481" spans="1:10" x14ac:dyDescent="0.35">
      <c r="A481" t="s">
        <v>1051</v>
      </c>
      <c r="B481" t="s">
        <v>1236</v>
      </c>
      <c r="C481" t="s">
        <v>1237</v>
      </c>
      <c r="D481" s="7">
        <v>65</v>
      </c>
      <c r="E481">
        <v>64.98289213037998</v>
      </c>
      <c r="F481" s="7">
        <v>35</v>
      </c>
      <c r="G481" s="6">
        <v>11106</v>
      </c>
      <c r="H481" s="6">
        <v>7217</v>
      </c>
      <c r="I481" s="6">
        <v>3889</v>
      </c>
      <c r="J481" t="s">
        <v>200</v>
      </c>
    </row>
    <row r="482" spans="1:10" x14ac:dyDescent="0.35">
      <c r="A482" t="s">
        <v>1051</v>
      </c>
      <c r="B482" t="s">
        <v>1238</v>
      </c>
      <c r="C482" t="s">
        <v>1239</v>
      </c>
      <c r="D482" s="7">
        <v>65</v>
      </c>
      <c r="E482">
        <v>64.982778415614234</v>
      </c>
      <c r="F482" s="7">
        <v>35</v>
      </c>
      <c r="G482" s="6">
        <v>20033</v>
      </c>
      <c r="H482" s="6">
        <v>13018</v>
      </c>
      <c r="I482" s="6">
        <v>7015</v>
      </c>
      <c r="J482" t="s">
        <v>200</v>
      </c>
    </row>
    <row r="483" spans="1:10" x14ac:dyDescent="0.35">
      <c r="A483" t="s">
        <v>1051</v>
      </c>
      <c r="B483" t="s">
        <v>1240</v>
      </c>
      <c r="C483" t="s">
        <v>1241</v>
      </c>
      <c r="D483" s="7">
        <v>64.900000000000006</v>
      </c>
      <c r="E483">
        <v>64.880253580652735</v>
      </c>
      <c r="F483" s="7">
        <v>35.1</v>
      </c>
      <c r="G483" s="6">
        <v>17036</v>
      </c>
      <c r="H483" s="6">
        <v>11053</v>
      </c>
      <c r="I483" s="6">
        <v>5983</v>
      </c>
      <c r="J483" t="s">
        <v>200</v>
      </c>
    </row>
    <row r="484" spans="1:10" x14ac:dyDescent="0.35">
      <c r="A484" t="s">
        <v>1051</v>
      </c>
      <c r="B484" t="s">
        <v>1242</v>
      </c>
      <c r="C484" t="s">
        <v>1243</v>
      </c>
      <c r="D484" s="7">
        <v>64.8</v>
      </c>
      <c r="E484">
        <v>64.784425644684532</v>
      </c>
      <c r="F484" s="7">
        <v>35.200000000000003</v>
      </c>
      <c r="G484" s="6">
        <v>9811</v>
      </c>
      <c r="H484" s="6">
        <v>6356</v>
      </c>
      <c r="I484" s="6">
        <v>3455</v>
      </c>
      <c r="J484" t="s">
        <v>200</v>
      </c>
    </row>
    <row r="485" spans="1:10" x14ac:dyDescent="0.35">
      <c r="A485" t="s">
        <v>1051</v>
      </c>
      <c r="B485" t="s">
        <v>1244</v>
      </c>
      <c r="C485" t="s">
        <v>1245</v>
      </c>
      <c r="D485" s="7">
        <v>64.7</v>
      </c>
      <c r="E485">
        <v>64.719333587412208</v>
      </c>
      <c r="F485" s="7">
        <v>35.299999999999997</v>
      </c>
      <c r="G485" s="6">
        <v>36734</v>
      </c>
      <c r="H485" s="6">
        <v>23774</v>
      </c>
      <c r="I485" s="6">
        <v>12960</v>
      </c>
      <c r="J485" t="s">
        <v>200</v>
      </c>
    </row>
    <row r="486" spans="1:10" x14ac:dyDescent="0.35">
      <c r="A486" t="s">
        <v>1051</v>
      </c>
      <c r="B486" t="s">
        <v>1246</v>
      </c>
      <c r="C486" t="s">
        <v>1247</v>
      </c>
      <c r="D486" s="7">
        <v>64.7</v>
      </c>
      <c r="E486">
        <v>64.699413489736074</v>
      </c>
      <c r="F486" s="7">
        <v>35.299999999999997</v>
      </c>
      <c r="G486" s="6">
        <v>13640</v>
      </c>
      <c r="H486" s="6">
        <v>8825</v>
      </c>
      <c r="I486" s="6">
        <v>4815</v>
      </c>
      <c r="J486" t="s">
        <v>200</v>
      </c>
    </row>
    <row r="487" spans="1:10" x14ac:dyDescent="0.35">
      <c r="A487" t="s">
        <v>1051</v>
      </c>
      <c r="B487" t="s">
        <v>1248</v>
      </c>
      <c r="C487" t="s">
        <v>1249</v>
      </c>
      <c r="D487" s="7">
        <v>64.7</v>
      </c>
      <c r="E487">
        <v>64.662554796615353</v>
      </c>
      <c r="F487" s="7">
        <v>35.299999999999997</v>
      </c>
      <c r="G487" s="6">
        <v>39236</v>
      </c>
      <c r="H487" s="6">
        <v>25371</v>
      </c>
      <c r="I487" s="6">
        <v>13865</v>
      </c>
      <c r="J487" t="s">
        <v>200</v>
      </c>
    </row>
    <row r="488" spans="1:10" x14ac:dyDescent="0.35">
      <c r="A488" t="s">
        <v>1051</v>
      </c>
      <c r="B488" t="s">
        <v>1250</v>
      </c>
      <c r="C488" t="s">
        <v>1251</v>
      </c>
      <c r="D488" s="7">
        <v>64.599999999999994</v>
      </c>
      <c r="E488">
        <v>64.570361145703615</v>
      </c>
      <c r="F488" s="7">
        <v>35.4</v>
      </c>
      <c r="G488" s="6">
        <v>19272</v>
      </c>
      <c r="H488" s="6">
        <v>12444</v>
      </c>
      <c r="I488" s="6">
        <v>6828</v>
      </c>
      <c r="J488" t="s">
        <v>200</v>
      </c>
    </row>
    <row r="489" spans="1:10" x14ac:dyDescent="0.35">
      <c r="A489" t="s">
        <v>1051</v>
      </c>
      <c r="B489" t="s">
        <v>1252</v>
      </c>
      <c r="C489" t="s">
        <v>1253</v>
      </c>
      <c r="D489" s="7">
        <v>64.400000000000006</v>
      </c>
      <c r="E489">
        <v>64.443745412603548</v>
      </c>
      <c r="F489" s="7">
        <v>35.6</v>
      </c>
      <c r="G489" s="6">
        <v>19074</v>
      </c>
      <c r="H489" s="6">
        <v>12292</v>
      </c>
      <c r="I489" s="6">
        <v>6782</v>
      </c>
      <c r="J489" t="s">
        <v>200</v>
      </c>
    </row>
    <row r="490" spans="1:10" x14ac:dyDescent="0.35">
      <c r="A490" t="s">
        <v>1051</v>
      </c>
      <c r="B490" t="s">
        <v>1254</v>
      </c>
      <c r="C490" t="s">
        <v>1255</v>
      </c>
      <c r="D490" s="7">
        <v>64.400000000000006</v>
      </c>
      <c r="E490">
        <v>64.438581728035658</v>
      </c>
      <c r="F490" s="7">
        <v>35.6</v>
      </c>
      <c r="G490" s="6">
        <v>43969</v>
      </c>
      <c r="H490" s="6">
        <v>28333</v>
      </c>
      <c r="I490" s="6">
        <v>15636</v>
      </c>
      <c r="J490" t="s">
        <v>200</v>
      </c>
    </row>
    <row r="491" spans="1:10" x14ac:dyDescent="0.35">
      <c r="A491" t="s">
        <v>1051</v>
      </c>
      <c r="B491" t="s">
        <v>1256</v>
      </c>
      <c r="C491" t="s">
        <v>1257</v>
      </c>
      <c r="D491" s="7">
        <v>64.3</v>
      </c>
      <c r="E491">
        <v>64.283675799086751</v>
      </c>
      <c r="F491" s="7">
        <v>35.700000000000003</v>
      </c>
      <c r="G491" s="6">
        <v>21024</v>
      </c>
      <c r="H491" s="6">
        <v>13515</v>
      </c>
      <c r="I491" s="6">
        <v>7509</v>
      </c>
      <c r="J491" t="s">
        <v>200</v>
      </c>
    </row>
    <row r="492" spans="1:10" x14ac:dyDescent="0.35">
      <c r="A492" t="s">
        <v>1051</v>
      </c>
      <c r="B492" t="s">
        <v>1258</v>
      </c>
      <c r="C492" t="s">
        <v>1259</v>
      </c>
      <c r="D492" s="7">
        <v>64.3</v>
      </c>
      <c r="E492">
        <v>64.272839000409675</v>
      </c>
      <c r="F492" s="7">
        <v>35.700000000000003</v>
      </c>
      <c r="G492" s="6">
        <v>24410</v>
      </c>
      <c r="H492" s="6">
        <v>15689</v>
      </c>
      <c r="I492" s="6">
        <v>8721</v>
      </c>
      <c r="J492" t="s">
        <v>200</v>
      </c>
    </row>
    <row r="493" spans="1:10" x14ac:dyDescent="0.35">
      <c r="A493" t="s">
        <v>1051</v>
      </c>
      <c r="B493" t="s">
        <v>1260</v>
      </c>
      <c r="C493" t="s">
        <v>1261</v>
      </c>
      <c r="D493" s="7">
        <v>64.3</v>
      </c>
      <c r="E493">
        <v>64.265183124710248</v>
      </c>
      <c r="F493" s="7">
        <v>35.700000000000003</v>
      </c>
      <c r="G493" s="6">
        <v>21570</v>
      </c>
      <c r="H493" s="6">
        <v>13862</v>
      </c>
      <c r="I493" s="6">
        <v>7708</v>
      </c>
      <c r="J493" t="s">
        <v>200</v>
      </c>
    </row>
    <row r="494" spans="1:10" x14ac:dyDescent="0.35">
      <c r="A494" t="s">
        <v>1051</v>
      </c>
      <c r="B494" t="s">
        <v>1262</v>
      </c>
      <c r="C494" t="s">
        <v>1263</v>
      </c>
      <c r="D494" s="7">
        <v>64.2</v>
      </c>
      <c r="E494">
        <v>64.220260613703232</v>
      </c>
      <c r="F494" s="7">
        <v>35.799999999999997</v>
      </c>
      <c r="G494" s="6">
        <v>11895</v>
      </c>
      <c r="H494" s="6">
        <v>7639</v>
      </c>
      <c r="I494" s="6">
        <v>4256</v>
      </c>
      <c r="J494" t="s">
        <v>200</v>
      </c>
    </row>
    <row r="495" spans="1:10" x14ac:dyDescent="0.35">
      <c r="A495" t="s">
        <v>1051</v>
      </c>
      <c r="B495" t="s">
        <v>1264</v>
      </c>
      <c r="C495" t="s">
        <v>1265</v>
      </c>
      <c r="D495" s="7">
        <v>64.2</v>
      </c>
      <c r="E495">
        <v>64.165251839275612</v>
      </c>
      <c r="F495" s="7">
        <v>35.799999999999997</v>
      </c>
      <c r="G495" s="6">
        <v>17670</v>
      </c>
      <c r="H495" s="6">
        <v>11338</v>
      </c>
      <c r="I495" s="6">
        <v>6332</v>
      </c>
      <c r="J495" t="s">
        <v>200</v>
      </c>
    </row>
    <row r="496" spans="1:10" x14ac:dyDescent="0.35">
      <c r="A496" t="s">
        <v>1051</v>
      </c>
      <c r="B496" t="s">
        <v>1266</v>
      </c>
      <c r="C496" t="s">
        <v>1267</v>
      </c>
      <c r="D496" s="7">
        <v>64.099999999999994</v>
      </c>
      <c r="E496">
        <v>64.073308777288659</v>
      </c>
      <c r="F496" s="7">
        <v>35.9</v>
      </c>
      <c r="G496" s="6">
        <v>11131</v>
      </c>
      <c r="H496" s="6">
        <v>7132</v>
      </c>
      <c r="I496" s="6">
        <v>3999</v>
      </c>
      <c r="J496" t="s">
        <v>200</v>
      </c>
    </row>
    <row r="497" spans="1:10" x14ac:dyDescent="0.35">
      <c r="A497" t="s">
        <v>1051</v>
      </c>
      <c r="B497" t="s">
        <v>1268</v>
      </c>
      <c r="C497" t="s">
        <v>1269</v>
      </c>
      <c r="D497" s="7">
        <v>64.099999999999994</v>
      </c>
      <c r="E497">
        <v>64.053138838239121</v>
      </c>
      <c r="F497" s="7">
        <v>35.9</v>
      </c>
      <c r="G497" s="6">
        <v>15356</v>
      </c>
      <c r="H497" s="6">
        <v>9836</v>
      </c>
      <c r="I497" s="6">
        <v>5520</v>
      </c>
      <c r="J497" t="s">
        <v>200</v>
      </c>
    </row>
    <row r="498" spans="1:10" x14ac:dyDescent="0.35">
      <c r="A498" t="s">
        <v>1051</v>
      </c>
      <c r="B498" t="s">
        <v>1270</v>
      </c>
      <c r="C498" t="s">
        <v>1271</v>
      </c>
      <c r="D498" s="7">
        <v>64</v>
      </c>
      <c r="E498">
        <v>64.040660736975852</v>
      </c>
      <c r="F498" s="7">
        <v>36</v>
      </c>
      <c r="G498" s="6">
        <v>10231</v>
      </c>
      <c r="H498" s="6">
        <v>6552</v>
      </c>
      <c r="I498" s="6">
        <v>3679</v>
      </c>
      <c r="J498" t="s">
        <v>200</v>
      </c>
    </row>
    <row r="499" spans="1:10" x14ac:dyDescent="0.35">
      <c r="A499" t="s">
        <v>1051</v>
      </c>
      <c r="B499" t="s">
        <v>1272</v>
      </c>
      <c r="C499" t="s">
        <v>1273</v>
      </c>
      <c r="D499" s="7">
        <v>63.9</v>
      </c>
      <c r="E499">
        <v>63.872482205058297</v>
      </c>
      <c r="F499" s="7">
        <v>36.1</v>
      </c>
      <c r="G499" s="6">
        <v>13206</v>
      </c>
      <c r="H499" s="6">
        <v>8435</v>
      </c>
      <c r="I499" s="6">
        <v>4771</v>
      </c>
      <c r="J499" t="s">
        <v>200</v>
      </c>
    </row>
    <row r="500" spans="1:10" x14ac:dyDescent="0.35">
      <c r="A500" t="s">
        <v>1051</v>
      </c>
      <c r="B500" t="s">
        <v>1274</v>
      </c>
      <c r="C500" t="s">
        <v>1275</v>
      </c>
      <c r="D500" s="7">
        <v>63.9</v>
      </c>
      <c r="E500">
        <v>63.858749260209123</v>
      </c>
      <c r="F500" s="7">
        <v>36.1</v>
      </c>
      <c r="G500" s="6">
        <v>35483</v>
      </c>
      <c r="H500" s="6">
        <v>22659</v>
      </c>
      <c r="I500" s="6">
        <v>12824</v>
      </c>
      <c r="J500" t="s">
        <v>200</v>
      </c>
    </row>
    <row r="501" spans="1:10" x14ac:dyDescent="0.35">
      <c r="A501" t="s">
        <v>1051</v>
      </c>
      <c r="B501" t="s">
        <v>1276</v>
      </c>
      <c r="C501" t="s">
        <v>1277</v>
      </c>
      <c r="D501" s="7">
        <v>63.9</v>
      </c>
      <c r="E501">
        <v>63.850222717149222</v>
      </c>
      <c r="F501" s="7">
        <v>36.1</v>
      </c>
      <c r="G501" s="6">
        <v>7184</v>
      </c>
      <c r="H501" s="6">
        <v>4587</v>
      </c>
      <c r="I501" s="6">
        <v>2597</v>
      </c>
      <c r="J501" t="s">
        <v>200</v>
      </c>
    </row>
    <row r="502" spans="1:10" x14ac:dyDescent="0.35">
      <c r="A502" t="s">
        <v>1051</v>
      </c>
      <c r="B502" t="s">
        <v>1278</v>
      </c>
      <c r="C502" t="s">
        <v>1279</v>
      </c>
      <c r="D502" s="7">
        <v>63.8</v>
      </c>
      <c r="E502">
        <v>63.818540054783988</v>
      </c>
      <c r="F502" s="7">
        <v>36.200000000000003</v>
      </c>
      <c r="G502" s="6">
        <v>20809</v>
      </c>
      <c r="H502" s="6">
        <v>13280</v>
      </c>
      <c r="I502" s="6">
        <v>7529</v>
      </c>
      <c r="J502" t="s">
        <v>200</v>
      </c>
    </row>
    <row r="503" spans="1:10" x14ac:dyDescent="0.35">
      <c r="A503" t="s">
        <v>1051</v>
      </c>
      <c r="B503" t="s">
        <v>1280</v>
      </c>
      <c r="C503" t="s">
        <v>1281</v>
      </c>
      <c r="D503" s="7">
        <v>63.8</v>
      </c>
      <c r="E503">
        <v>63.761318480880718</v>
      </c>
      <c r="F503" s="7">
        <v>36.200000000000003</v>
      </c>
      <c r="G503" s="6">
        <v>15351</v>
      </c>
      <c r="H503" s="6">
        <v>9788</v>
      </c>
      <c r="I503" s="6">
        <v>5563</v>
      </c>
      <c r="J503" t="s">
        <v>200</v>
      </c>
    </row>
    <row r="504" spans="1:10" x14ac:dyDescent="0.35">
      <c r="A504" t="s">
        <v>1051</v>
      </c>
      <c r="B504" t="s">
        <v>1282</v>
      </c>
      <c r="C504" t="s">
        <v>1283</v>
      </c>
      <c r="D504" s="7">
        <v>63.7</v>
      </c>
      <c r="E504">
        <v>63.687655156849473</v>
      </c>
      <c r="F504" s="7">
        <v>36.299999999999997</v>
      </c>
      <c r="G504" s="6">
        <v>8862</v>
      </c>
      <c r="H504" s="6">
        <v>5644</v>
      </c>
      <c r="I504" s="6">
        <v>3218</v>
      </c>
      <c r="J504" t="s">
        <v>200</v>
      </c>
    </row>
    <row r="505" spans="1:10" x14ac:dyDescent="0.35">
      <c r="A505" t="s">
        <v>1051</v>
      </c>
      <c r="B505" t="s">
        <v>1284</v>
      </c>
      <c r="C505" t="s">
        <v>1285</v>
      </c>
      <c r="D505" s="7">
        <v>63.7</v>
      </c>
      <c r="E505">
        <v>63.679323956190579</v>
      </c>
      <c r="F505" s="7">
        <v>36.299999999999997</v>
      </c>
      <c r="G505" s="6">
        <v>17987</v>
      </c>
      <c r="H505" s="6">
        <v>11454</v>
      </c>
      <c r="I505" s="6">
        <v>6533</v>
      </c>
      <c r="J505" t="s">
        <v>200</v>
      </c>
    </row>
    <row r="506" spans="1:10" x14ac:dyDescent="0.35">
      <c r="A506" t="s">
        <v>1051</v>
      </c>
      <c r="B506" t="s">
        <v>1286</v>
      </c>
      <c r="C506" t="s">
        <v>1287</v>
      </c>
      <c r="D506" s="7">
        <v>63.6</v>
      </c>
      <c r="E506">
        <v>63.640967211039367</v>
      </c>
      <c r="F506" s="7">
        <v>36.4</v>
      </c>
      <c r="G506" s="6">
        <v>15798</v>
      </c>
      <c r="H506" s="6">
        <v>10054</v>
      </c>
      <c r="I506" s="6">
        <v>5744</v>
      </c>
      <c r="J506" t="s">
        <v>200</v>
      </c>
    </row>
    <row r="507" spans="1:10" x14ac:dyDescent="0.35">
      <c r="A507" t="s">
        <v>1051</v>
      </c>
      <c r="B507" t="s">
        <v>1288</v>
      </c>
      <c r="C507" t="s">
        <v>1289</v>
      </c>
      <c r="D507" s="7">
        <v>63.6</v>
      </c>
      <c r="E507">
        <v>63.552978386926718</v>
      </c>
      <c r="F507" s="7">
        <v>36.4</v>
      </c>
      <c r="G507" s="6">
        <v>9485</v>
      </c>
      <c r="H507" s="6">
        <v>6028</v>
      </c>
      <c r="I507" s="6">
        <v>3457</v>
      </c>
      <c r="J507" t="s">
        <v>200</v>
      </c>
    </row>
    <row r="508" spans="1:10" x14ac:dyDescent="0.35">
      <c r="A508" t="s">
        <v>1051</v>
      </c>
      <c r="B508" t="s">
        <v>1290</v>
      </c>
      <c r="C508" t="s">
        <v>1291</v>
      </c>
      <c r="D508" s="7">
        <v>63.6</v>
      </c>
      <c r="E508">
        <v>63.551898062118397</v>
      </c>
      <c r="F508" s="7">
        <v>36.4</v>
      </c>
      <c r="G508" s="6">
        <v>3767</v>
      </c>
      <c r="H508" s="6">
        <v>2394</v>
      </c>
      <c r="I508" s="6">
        <v>1373</v>
      </c>
      <c r="J508" t="s">
        <v>200</v>
      </c>
    </row>
    <row r="509" spans="1:10" x14ac:dyDescent="0.35">
      <c r="A509" t="s">
        <v>1051</v>
      </c>
      <c r="B509" t="s">
        <v>1292</v>
      </c>
      <c r="C509" t="s">
        <v>1293</v>
      </c>
      <c r="D509" s="7">
        <v>63.5</v>
      </c>
      <c r="E509">
        <v>63.518848208065641</v>
      </c>
      <c r="F509" s="7">
        <v>36.5</v>
      </c>
      <c r="G509" s="6">
        <v>12919</v>
      </c>
      <c r="H509" s="6">
        <v>8206</v>
      </c>
      <c r="I509" s="6">
        <v>4713</v>
      </c>
      <c r="J509" t="s">
        <v>200</v>
      </c>
    </row>
    <row r="510" spans="1:10" x14ac:dyDescent="0.35">
      <c r="A510" t="s">
        <v>1051</v>
      </c>
      <c r="B510" t="s">
        <v>1294</v>
      </c>
      <c r="C510" t="s">
        <v>1295</v>
      </c>
      <c r="D510" s="7">
        <v>63.5</v>
      </c>
      <c r="E510">
        <v>63.452408238106152</v>
      </c>
      <c r="F510" s="7">
        <v>36.5</v>
      </c>
      <c r="G510" s="6">
        <v>30541</v>
      </c>
      <c r="H510" s="6">
        <v>19379</v>
      </c>
      <c r="I510" s="6">
        <v>11162</v>
      </c>
      <c r="J510" t="s">
        <v>200</v>
      </c>
    </row>
    <row r="511" spans="1:10" x14ac:dyDescent="0.35">
      <c r="A511" t="s">
        <v>1051</v>
      </c>
      <c r="B511" t="s">
        <v>1296</v>
      </c>
      <c r="C511" t="s">
        <v>1297</v>
      </c>
      <c r="D511" s="7">
        <v>63.3</v>
      </c>
      <c r="E511">
        <v>63.329115258884322</v>
      </c>
      <c r="F511" s="7">
        <v>36.700000000000003</v>
      </c>
      <c r="G511" s="6">
        <v>18966</v>
      </c>
      <c r="H511" s="6">
        <v>12011</v>
      </c>
      <c r="I511" s="6">
        <v>6955</v>
      </c>
      <c r="J511" t="s">
        <v>200</v>
      </c>
    </row>
    <row r="512" spans="1:10" x14ac:dyDescent="0.35">
      <c r="A512" t="s">
        <v>1051</v>
      </c>
      <c r="B512" t="s">
        <v>1298</v>
      </c>
      <c r="C512" t="s">
        <v>1299</v>
      </c>
      <c r="D512" s="7">
        <v>63.3</v>
      </c>
      <c r="E512">
        <v>63.312106739443557</v>
      </c>
      <c r="F512" s="7">
        <v>36.700000000000003</v>
      </c>
      <c r="G512" s="6">
        <v>26382</v>
      </c>
      <c r="H512" s="6">
        <v>16703</v>
      </c>
      <c r="I512" s="6">
        <v>9679</v>
      </c>
      <c r="J512" t="s">
        <v>200</v>
      </c>
    </row>
    <row r="513" spans="1:10" x14ac:dyDescent="0.35">
      <c r="A513" t="s">
        <v>1051</v>
      </c>
      <c r="B513" t="s">
        <v>1300</v>
      </c>
      <c r="C513" t="s">
        <v>1301</v>
      </c>
      <c r="D513" s="7">
        <v>63.2</v>
      </c>
      <c r="E513">
        <v>63.165692320012823</v>
      </c>
      <c r="F513" s="7">
        <v>36.799999999999997</v>
      </c>
      <c r="G513" s="6">
        <v>24974</v>
      </c>
      <c r="H513" s="6">
        <v>15775</v>
      </c>
      <c r="I513" s="6">
        <v>9199</v>
      </c>
      <c r="J513" t="s">
        <v>200</v>
      </c>
    </row>
    <row r="514" spans="1:10" x14ac:dyDescent="0.35">
      <c r="A514" t="s">
        <v>1051</v>
      </c>
      <c r="B514" t="s">
        <v>1302</v>
      </c>
      <c r="C514" t="s">
        <v>1303</v>
      </c>
      <c r="D514" s="7">
        <v>63.1</v>
      </c>
      <c r="E514">
        <v>63.093002367926843</v>
      </c>
      <c r="F514" s="7">
        <v>36.9</v>
      </c>
      <c r="G514" s="6">
        <v>12247</v>
      </c>
      <c r="H514" s="6">
        <v>7727</v>
      </c>
      <c r="I514" s="6">
        <v>4520</v>
      </c>
      <c r="J514" t="s">
        <v>200</v>
      </c>
    </row>
    <row r="515" spans="1:10" x14ac:dyDescent="0.35">
      <c r="A515" t="s">
        <v>1051</v>
      </c>
      <c r="B515" t="s">
        <v>1304</v>
      </c>
      <c r="C515" t="s">
        <v>1305</v>
      </c>
      <c r="D515" s="7">
        <v>63.1</v>
      </c>
      <c r="E515">
        <v>63.068291739214551</v>
      </c>
      <c r="F515" s="7">
        <v>36.9</v>
      </c>
      <c r="G515" s="6">
        <v>5169</v>
      </c>
      <c r="H515" s="6">
        <v>3260</v>
      </c>
      <c r="I515" s="6">
        <v>1909</v>
      </c>
      <c r="J515" t="s">
        <v>200</v>
      </c>
    </row>
    <row r="516" spans="1:10" x14ac:dyDescent="0.35">
      <c r="A516" t="s">
        <v>1051</v>
      </c>
      <c r="B516" t="s">
        <v>1306</v>
      </c>
      <c r="C516" t="s">
        <v>1307</v>
      </c>
      <c r="D516" s="7">
        <v>63.1</v>
      </c>
      <c r="E516">
        <v>63.059494573397757</v>
      </c>
      <c r="F516" s="7">
        <v>36.9</v>
      </c>
      <c r="G516" s="6">
        <v>12623</v>
      </c>
      <c r="H516" s="6">
        <v>7960</v>
      </c>
      <c r="I516" s="6">
        <v>4663</v>
      </c>
      <c r="J516" t="s">
        <v>200</v>
      </c>
    </row>
    <row r="517" spans="1:10" x14ac:dyDescent="0.35">
      <c r="A517" t="s">
        <v>1051</v>
      </c>
      <c r="B517" t="s">
        <v>1308</v>
      </c>
      <c r="C517" t="s">
        <v>1309</v>
      </c>
      <c r="D517" s="7">
        <v>62.9</v>
      </c>
      <c r="E517">
        <v>62.909194420723033</v>
      </c>
      <c r="F517" s="7">
        <v>37.1</v>
      </c>
      <c r="G517" s="6">
        <v>7026</v>
      </c>
      <c r="H517" s="6">
        <v>4420</v>
      </c>
      <c r="I517" s="6">
        <v>2606</v>
      </c>
      <c r="J517" t="s">
        <v>200</v>
      </c>
    </row>
    <row r="518" spans="1:10" x14ac:dyDescent="0.35">
      <c r="A518" t="s">
        <v>1051</v>
      </c>
      <c r="B518" t="s">
        <v>1310</v>
      </c>
      <c r="C518" t="s">
        <v>1311</v>
      </c>
      <c r="D518" s="7">
        <v>62.9</v>
      </c>
      <c r="E518">
        <v>62.901734104046241</v>
      </c>
      <c r="F518" s="7">
        <v>37.1</v>
      </c>
      <c r="G518" s="6">
        <v>17300</v>
      </c>
      <c r="H518" s="6">
        <v>10882</v>
      </c>
      <c r="I518" s="6">
        <v>6418</v>
      </c>
      <c r="J518" t="s">
        <v>200</v>
      </c>
    </row>
    <row r="519" spans="1:10" x14ac:dyDescent="0.35">
      <c r="A519" t="s">
        <v>1051</v>
      </c>
      <c r="B519" t="s">
        <v>1312</v>
      </c>
      <c r="C519" t="s">
        <v>1313</v>
      </c>
      <c r="D519" s="7">
        <v>62.8</v>
      </c>
      <c r="E519">
        <v>62.786527366287231</v>
      </c>
      <c r="F519" s="7">
        <v>37.200000000000003</v>
      </c>
      <c r="G519" s="6">
        <v>12826</v>
      </c>
      <c r="H519" s="6">
        <v>8053</v>
      </c>
      <c r="I519" s="6">
        <v>4773</v>
      </c>
      <c r="J519" t="s">
        <v>200</v>
      </c>
    </row>
    <row r="520" spans="1:10" x14ac:dyDescent="0.35">
      <c r="A520" t="s">
        <v>1051</v>
      </c>
      <c r="B520" t="s">
        <v>1314</v>
      </c>
      <c r="C520" t="s">
        <v>1315</v>
      </c>
      <c r="D520" s="7">
        <v>62.6</v>
      </c>
      <c r="E520">
        <v>62.587851405622487</v>
      </c>
      <c r="F520" s="7">
        <v>37.4</v>
      </c>
      <c r="G520" s="6">
        <v>15936</v>
      </c>
      <c r="H520" s="6">
        <v>9974</v>
      </c>
      <c r="I520" s="6">
        <v>5962</v>
      </c>
      <c r="J520" t="s">
        <v>200</v>
      </c>
    </row>
    <row r="521" spans="1:10" x14ac:dyDescent="0.35">
      <c r="A521" t="s">
        <v>1051</v>
      </c>
      <c r="B521" t="s">
        <v>1316</v>
      </c>
      <c r="C521" t="s">
        <v>1317</v>
      </c>
      <c r="D521" s="7">
        <v>62.5</v>
      </c>
      <c r="E521">
        <v>62.504884720593992</v>
      </c>
      <c r="F521" s="7">
        <v>37.5</v>
      </c>
      <c r="G521" s="6">
        <v>15354</v>
      </c>
      <c r="H521" s="6">
        <v>9597</v>
      </c>
      <c r="I521" s="6">
        <v>5757</v>
      </c>
      <c r="J521" t="s">
        <v>200</v>
      </c>
    </row>
    <row r="522" spans="1:10" x14ac:dyDescent="0.35">
      <c r="A522" t="s">
        <v>1051</v>
      </c>
      <c r="B522" t="s">
        <v>1318</v>
      </c>
      <c r="C522" t="s">
        <v>1319</v>
      </c>
      <c r="D522" s="7">
        <v>62.3</v>
      </c>
      <c r="E522">
        <v>62.34444826400825</v>
      </c>
      <c r="F522" s="7">
        <v>37.700000000000003</v>
      </c>
      <c r="G522" s="6">
        <v>14545</v>
      </c>
      <c r="H522" s="6">
        <v>9068</v>
      </c>
      <c r="I522" s="6">
        <v>5477</v>
      </c>
      <c r="J522" t="s">
        <v>200</v>
      </c>
    </row>
    <row r="523" spans="1:10" x14ac:dyDescent="0.35">
      <c r="A523" t="s">
        <v>1051</v>
      </c>
      <c r="B523" t="s">
        <v>1320</v>
      </c>
      <c r="C523" t="s">
        <v>1321</v>
      </c>
      <c r="D523" s="7">
        <v>62.3</v>
      </c>
      <c r="E523">
        <v>62.255167189698078</v>
      </c>
      <c r="F523" s="7">
        <v>37.700000000000003</v>
      </c>
      <c r="G523" s="6">
        <v>18482</v>
      </c>
      <c r="H523" s="6">
        <v>11506</v>
      </c>
      <c r="I523" s="6">
        <v>6976</v>
      </c>
      <c r="J523" t="s">
        <v>200</v>
      </c>
    </row>
    <row r="524" spans="1:10" x14ac:dyDescent="0.35">
      <c r="A524" t="s">
        <v>1051</v>
      </c>
      <c r="B524" t="s">
        <v>1322</v>
      </c>
      <c r="C524" t="s">
        <v>1323</v>
      </c>
      <c r="D524" s="7">
        <v>62.2</v>
      </c>
      <c r="E524">
        <v>62.193455412825799</v>
      </c>
      <c r="F524" s="7">
        <v>37.799999999999997</v>
      </c>
      <c r="G524" s="6">
        <v>40247</v>
      </c>
      <c r="H524" s="6">
        <v>25031</v>
      </c>
      <c r="I524" s="6">
        <v>15216</v>
      </c>
      <c r="J524" t="s">
        <v>200</v>
      </c>
    </row>
    <row r="525" spans="1:10" x14ac:dyDescent="0.35">
      <c r="A525" t="s">
        <v>1051</v>
      </c>
      <c r="B525" t="s">
        <v>1324</v>
      </c>
      <c r="C525" t="s">
        <v>1325</v>
      </c>
      <c r="D525" s="7">
        <v>62.1</v>
      </c>
      <c r="E525">
        <v>62.149640954366461</v>
      </c>
      <c r="F525" s="7">
        <v>37.9</v>
      </c>
      <c r="G525" s="6">
        <v>8634</v>
      </c>
      <c r="H525" s="6">
        <v>5366</v>
      </c>
      <c r="I525" s="6">
        <v>3268</v>
      </c>
      <c r="J525" t="s">
        <v>200</v>
      </c>
    </row>
    <row r="526" spans="1:10" x14ac:dyDescent="0.35">
      <c r="A526" t="s">
        <v>1051</v>
      </c>
      <c r="B526" t="s">
        <v>1326</v>
      </c>
      <c r="C526" t="s">
        <v>1327</v>
      </c>
      <c r="D526" s="7">
        <v>62.1</v>
      </c>
      <c r="E526">
        <v>62.110940669998513</v>
      </c>
      <c r="F526" s="7">
        <v>37.9</v>
      </c>
      <c r="G526" s="6">
        <v>20209</v>
      </c>
      <c r="H526" s="6">
        <v>12552</v>
      </c>
      <c r="I526" s="6">
        <v>7657</v>
      </c>
      <c r="J526" t="s">
        <v>200</v>
      </c>
    </row>
    <row r="527" spans="1:10" x14ac:dyDescent="0.35">
      <c r="A527" t="s">
        <v>1051</v>
      </c>
      <c r="B527" t="s">
        <v>1328</v>
      </c>
      <c r="C527" t="s">
        <v>1329</v>
      </c>
      <c r="D527" s="7">
        <v>62</v>
      </c>
      <c r="E527">
        <v>62.027890761185347</v>
      </c>
      <c r="F527" s="7">
        <v>38</v>
      </c>
      <c r="G527" s="6">
        <v>6884</v>
      </c>
      <c r="H527" s="6">
        <v>4270</v>
      </c>
      <c r="I527" s="6">
        <v>2614</v>
      </c>
      <c r="J527" t="s">
        <v>200</v>
      </c>
    </row>
    <row r="528" spans="1:10" x14ac:dyDescent="0.35">
      <c r="A528" t="s">
        <v>1051</v>
      </c>
      <c r="B528" t="s">
        <v>1330</v>
      </c>
      <c r="C528" t="s">
        <v>1331</v>
      </c>
      <c r="D528" s="7">
        <v>62</v>
      </c>
      <c r="E528">
        <v>62.006545305788507</v>
      </c>
      <c r="F528" s="7">
        <v>38</v>
      </c>
      <c r="G528" s="6">
        <v>29334</v>
      </c>
      <c r="H528" s="6">
        <v>18189</v>
      </c>
      <c r="I528" s="6">
        <v>11145</v>
      </c>
      <c r="J528" t="s">
        <v>200</v>
      </c>
    </row>
    <row r="529" spans="1:10" x14ac:dyDescent="0.35">
      <c r="A529" t="s">
        <v>1051</v>
      </c>
      <c r="B529" t="s">
        <v>1332</v>
      </c>
      <c r="C529" t="s">
        <v>1333</v>
      </c>
      <c r="D529" s="7">
        <v>61.9</v>
      </c>
      <c r="E529">
        <v>61.898701959786202</v>
      </c>
      <c r="F529" s="7">
        <v>38.1</v>
      </c>
      <c r="G529" s="6">
        <v>7858</v>
      </c>
      <c r="H529" s="6">
        <v>4864</v>
      </c>
      <c r="I529" s="6">
        <v>2994</v>
      </c>
      <c r="J529" t="s">
        <v>200</v>
      </c>
    </row>
    <row r="530" spans="1:10" x14ac:dyDescent="0.35">
      <c r="A530" t="s">
        <v>1051</v>
      </c>
      <c r="B530" t="s">
        <v>1334</v>
      </c>
      <c r="C530" t="s">
        <v>1335</v>
      </c>
      <c r="D530" s="7">
        <v>61.8</v>
      </c>
      <c r="E530">
        <v>61.832617087916091</v>
      </c>
      <c r="F530" s="7">
        <v>38.200000000000003</v>
      </c>
      <c r="G530" s="6">
        <v>13729</v>
      </c>
      <c r="H530" s="6">
        <v>8489</v>
      </c>
      <c r="I530" s="6">
        <v>5240</v>
      </c>
      <c r="J530" t="s">
        <v>200</v>
      </c>
    </row>
    <row r="531" spans="1:10" x14ac:dyDescent="0.35">
      <c r="A531" t="s">
        <v>1051</v>
      </c>
      <c r="B531" t="s">
        <v>1336</v>
      </c>
      <c r="C531" t="s">
        <v>1337</v>
      </c>
      <c r="D531" s="7">
        <v>61.8</v>
      </c>
      <c r="E531">
        <v>61.758691206543958</v>
      </c>
      <c r="F531" s="7">
        <v>38.200000000000003</v>
      </c>
      <c r="G531" s="6">
        <v>5379</v>
      </c>
      <c r="H531" s="6">
        <v>3322</v>
      </c>
      <c r="I531" s="6">
        <v>2057</v>
      </c>
      <c r="J531" t="s">
        <v>200</v>
      </c>
    </row>
    <row r="532" spans="1:10" x14ac:dyDescent="0.35">
      <c r="A532" t="s">
        <v>1051</v>
      </c>
      <c r="B532" t="s">
        <v>1338</v>
      </c>
      <c r="C532" t="s">
        <v>1339</v>
      </c>
      <c r="D532" s="7">
        <v>61.6</v>
      </c>
      <c r="E532">
        <v>61.58339738662567</v>
      </c>
      <c r="F532" s="7">
        <v>38.4</v>
      </c>
      <c r="G532" s="6">
        <v>6505</v>
      </c>
      <c r="H532" s="6">
        <v>4006</v>
      </c>
      <c r="I532" s="6">
        <v>2499</v>
      </c>
      <c r="J532" t="s">
        <v>200</v>
      </c>
    </row>
    <row r="533" spans="1:10" x14ac:dyDescent="0.35">
      <c r="A533" t="s">
        <v>1051</v>
      </c>
      <c r="B533" t="s">
        <v>1340</v>
      </c>
      <c r="C533" t="s">
        <v>1341</v>
      </c>
      <c r="D533" s="7">
        <v>61.6</v>
      </c>
      <c r="E533">
        <v>61.57794567160736</v>
      </c>
      <c r="F533" s="7">
        <v>38.4</v>
      </c>
      <c r="G533" s="6">
        <v>17339</v>
      </c>
      <c r="H533" s="6">
        <v>10677</v>
      </c>
      <c r="I533" s="6">
        <v>6662</v>
      </c>
      <c r="J533" t="s">
        <v>200</v>
      </c>
    </row>
    <row r="534" spans="1:10" x14ac:dyDescent="0.35">
      <c r="A534" t="s">
        <v>1051</v>
      </c>
      <c r="B534" t="s">
        <v>1342</v>
      </c>
      <c r="C534" t="s">
        <v>1343</v>
      </c>
      <c r="D534" s="7">
        <v>61.6</v>
      </c>
      <c r="E534">
        <v>61.552417764455313</v>
      </c>
      <c r="F534" s="7">
        <v>38.4</v>
      </c>
      <c r="G534" s="6">
        <v>12677</v>
      </c>
      <c r="H534" s="6">
        <v>7803</v>
      </c>
      <c r="I534" s="6">
        <v>4874</v>
      </c>
      <c r="J534" t="s">
        <v>200</v>
      </c>
    </row>
    <row r="535" spans="1:10" x14ac:dyDescent="0.35">
      <c r="A535" t="s">
        <v>1051</v>
      </c>
      <c r="B535" t="s">
        <v>1344</v>
      </c>
      <c r="C535" t="s">
        <v>1345</v>
      </c>
      <c r="D535" s="7">
        <v>61.5</v>
      </c>
      <c r="E535">
        <v>61.513934060327777</v>
      </c>
      <c r="F535" s="7">
        <v>38.5</v>
      </c>
      <c r="G535" s="6">
        <v>15681</v>
      </c>
      <c r="H535" s="6">
        <v>9646</v>
      </c>
      <c r="I535" s="6">
        <v>6035</v>
      </c>
      <c r="J535" t="s">
        <v>200</v>
      </c>
    </row>
    <row r="536" spans="1:10" x14ac:dyDescent="0.35">
      <c r="A536" t="s">
        <v>1051</v>
      </c>
      <c r="B536" t="s">
        <v>1346</v>
      </c>
      <c r="C536" t="s">
        <v>1347</v>
      </c>
      <c r="D536" s="7">
        <v>61.5</v>
      </c>
      <c r="E536">
        <v>61.467462241282867</v>
      </c>
      <c r="F536" s="7">
        <v>38.5</v>
      </c>
      <c r="G536" s="6">
        <v>32178</v>
      </c>
      <c r="H536" s="6">
        <v>19779</v>
      </c>
      <c r="I536" s="6">
        <v>12399</v>
      </c>
      <c r="J536" t="s">
        <v>200</v>
      </c>
    </row>
    <row r="537" spans="1:10" x14ac:dyDescent="0.35">
      <c r="A537" t="s">
        <v>1051</v>
      </c>
      <c r="B537" t="s">
        <v>1348</v>
      </c>
      <c r="C537" t="s">
        <v>1349</v>
      </c>
      <c r="D537" s="7">
        <v>61.4</v>
      </c>
      <c r="E537">
        <v>61.360087445346657</v>
      </c>
      <c r="F537" s="7">
        <v>38.6</v>
      </c>
      <c r="G537" s="6">
        <v>12808</v>
      </c>
      <c r="H537" s="6">
        <v>7859</v>
      </c>
      <c r="I537" s="6">
        <v>4949</v>
      </c>
      <c r="J537" t="s">
        <v>200</v>
      </c>
    </row>
    <row r="538" spans="1:10" x14ac:dyDescent="0.35">
      <c r="A538" t="s">
        <v>1051</v>
      </c>
      <c r="B538" t="s">
        <v>1350</v>
      </c>
      <c r="C538" t="s">
        <v>1351</v>
      </c>
      <c r="D538" s="7">
        <v>61.2</v>
      </c>
      <c r="E538">
        <v>61.228905235828648</v>
      </c>
      <c r="F538" s="7">
        <v>38.799999999999997</v>
      </c>
      <c r="G538" s="6">
        <v>4622</v>
      </c>
      <c r="H538" s="6">
        <v>2830</v>
      </c>
      <c r="I538" s="6">
        <v>1792</v>
      </c>
      <c r="J538" t="s">
        <v>200</v>
      </c>
    </row>
    <row r="539" spans="1:10" x14ac:dyDescent="0.35">
      <c r="A539" t="s">
        <v>1051</v>
      </c>
      <c r="B539" t="s">
        <v>1352</v>
      </c>
      <c r="C539" t="s">
        <v>1353</v>
      </c>
      <c r="D539" s="7">
        <v>61.2</v>
      </c>
      <c r="E539">
        <v>61.174968071519793</v>
      </c>
      <c r="F539" s="7">
        <v>38.799999999999997</v>
      </c>
      <c r="G539" s="6">
        <v>4698</v>
      </c>
      <c r="H539" s="6">
        <v>2874</v>
      </c>
      <c r="I539" s="6">
        <v>1824</v>
      </c>
      <c r="J539" t="s">
        <v>200</v>
      </c>
    </row>
    <row r="540" spans="1:10" x14ac:dyDescent="0.35">
      <c r="A540" t="s">
        <v>1051</v>
      </c>
      <c r="B540" t="s">
        <v>1354</v>
      </c>
      <c r="C540" t="s">
        <v>1355</v>
      </c>
      <c r="D540" s="7">
        <v>61.2</v>
      </c>
      <c r="E540">
        <v>61.171366594360087</v>
      </c>
      <c r="F540" s="7">
        <v>38.799999999999997</v>
      </c>
      <c r="G540" s="6">
        <v>22128</v>
      </c>
      <c r="H540" s="6">
        <v>13536</v>
      </c>
      <c r="I540" s="6">
        <v>8592</v>
      </c>
      <c r="J540" t="s">
        <v>200</v>
      </c>
    </row>
    <row r="541" spans="1:10" x14ac:dyDescent="0.35">
      <c r="A541" t="s">
        <v>1051</v>
      </c>
      <c r="B541" t="s">
        <v>1356</v>
      </c>
      <c r="C541" t="s">
        <v>1357</v>
      </c>
      <c r="D541" s="7">
        <v>61.1</v>
      </c>
      <c r="E541">
        <v>61.148719673716521</v>
      </c>
      <c r="F541" s="7">
        <v>38.9</v>
      </c>
      <c r="G541" s="6">
        <v>23783</v>
      </c>
      <c r="H541" s="6">
        <v>14543</v>
      </c>
      <c r="I541" s="6">
        <v>9240</v>
      </c>
      <c r="J541" t="s">
        <v>200</v>
      </c>
    </row>
    <row r="542" spans="1:10" x14ac:dyDescent="0.35">
      <c r="A542" t="s">
        <v>1051</v>
      </c>
      <c r="B542" t="s">
        <v>1358</v>
      </c>
      <c r="C542" t="s">
        <v>1359</v>
      </c>
      <c r="D542" s="7">
        <v>61.1</v>
      </c>
      <c r="E542">
        <v>61.13018856557624</v>
      </c>
      <c r="F542" s="7">
        <v>38.9</v>
      </c>
      <c r="G542" s="6">
        <v>16599</v>
      </c>
      <c r="H542" s="6">
        <v>10147</v>
      </c>
      <c r="I542" s="6">
        <v>6452</v>
      </c>
      <c r="J542" t="s">
        <v>200</v>
      </c>
    </row>
    <row r="543" spans="1:10" x14ac:dyDescent="0.35">
      <c r="A543" t="s">
        <v>1051</v>
      </c>
      <c r="B543" t="s">
        <v>1360</v>
      </c>
      <c r="C543" t="s">
        <v>1361</v>
      </c>
      <c r="D543" s="7">
        <v>60.8</v>
      </c>
      <c r="E543">
        <v>60.836155248762701</v>
      </c>
      <c r="F543" s="7">
        <v>39.200000000000003</v>
      </c>
      <c r="G543" s="6">
        <v>7678</v>
      </c>
      <c r="H543" s="6">
        <v>4671</v>
      </c>
      <c r="I543" s="6">
        <v>3007</v>
      </c>
      <c r="J543" t="s">
        <v>200</v>
      </c>
    </row>
    <row r="544" spans="1:10" x14ac:dyDescent="0.35">
      <c r="A544" t="s">
        <v>1051</v>
      </c>
      <c r="B544" t="s">
        <v>1362</v>
      </c>
      <c r="C544" t="s">
        <v>1363</v>
      </c>
      <c r="D544" s="7">
        <v>60.8</v>
      </c>
      <c r="E544">
        <v>60.791772330233869</v>
      </c>
      <c r="F544" s="7">
        <v>39.200000000000003</v>
      </c>
      <c r="G544" s="6">
        <v>7098</v>
      </c>
      <c r="H544" s="6">
        <v>4315</v>
      </c>
      <c r="I544" s="6">
        <v>2783</v>
      </c>
      <c r="J544" t="s">
        <v>200</v>
      </c>
    </row>
    <row r="545" spans="1:10" x14ac:dyDescent="0.35">
      <c r="A545" t="s">
        <v>1051</v>
      </c>
      <c r="B545" t="s">
        <v>1364</v>
      </c>
      <c r="C545" t="s">
        <v>1365</v>
      </c>
      <c r="D545" s="7">
        <v>60.8</v>
      </c>
      <c r="E545">
        <v>60.781898636011128</v>
      </c>
      <c r="F545" s="7">
        <v>39.200000000000003</v>
      </c>
      <c r="G545" s="6">
        <v>21921</v>
      </c>
      <c r="H545" s="6">
        <v>13324</v>
      </c>
      <c r="I545" s="6">
        <v>8597</v>
      </c>
      <c r="J545" t="s">
        <v>200</v>
      </c>
    </row>
    <row r="546" spans="1:10" x14ac:dyDescent="0.35">
      <c r="A546" t="s">
        <v>1051</v>
      </c>
      <c r="B546" t="s">
        <v>1366</v>
      </c>
      <c r="C546" t="s">
        <v>1367</v>
      </c>
      <c r="D546" s="7">
        <v>60.7</v>
      </c>
      <c r="E546">
        <v>60.736128099633049</v>
      </c>
      <c r="F546" s="7">
        <v>39.299999999999997</v>
      </c>
      <c r="G546" s="6">
        <v>8993</v>
      </c>
      <c r="H546" s="6">
        <v>5462</v>
      </c>
      <c r="I546" s="6">
        <v>3531</v>
      </c>
      <c r="J546" t="s">
        <v>200</v>
      </c>
    </row>
    <row r="547" spans="1:10" x14ac:dyDescent="0.35">
      <c r="A547" t="s">
        <v>1051</v>
      </c>
      <c r="B547" t="s">
        <v>1368</v>
      </c>
      <c r="C547" t="s">
        <v>1369</v>
      </c>
      <c r="D547" s="7">
        <v>60.7</v>
      </c>
      <c r="E547">
        <v>60.724764094837838</v>
      </c>
      <c r="F547" s="7">
        <v>39.299999999999997</v>
      </c>
      <c r="G547" s="6">
        <v>12611</v>
      </c>
      <c r="H547" s="6">
        <v>7658</v>
      </c>
      <c r="I547" s="6">
        <v>4953</v>
      </c>
      <c r="J547" t="s">
        <v>200</v>
      </c>
    </row>
    <row r="548" spans="1:10" x14ac:dyDescent="0.35">
      <c r="A548" t="s">
        <v>1051</v>
      </c>
      <c r="B548" t="s">
        <v>1370</v>
      </c>
      <c r="C548" t="s">
        <v>1371</v>
      </c>
      <c r="D548" s="7">
        <v>60.7</v>
      </c>
      <c r="E548">
        <v>60.696739615899958</v>
      </c>
      <c r="F548" s="7">
        <v>39.299999999999997</v>
      </c>
      <c r="G548" s="6">
        <v>4478</v>
      </c>
      <c r="H548" s="6">
        <v>2718</v>
      </c>
      <c r="I548" s="6">
        <v>1760</v>
      </c>
      <c r="J548" t="s">
        <v>200</v>
      </c>
    </row>
    <row r="549" spans="1:10" x14ac:dyDescent="0.35">
      <c r="A549" t="s">
        <v>1051</v>
      </c>
      <c r="B549" t="s">
        <v>1372</v>
      </c>
      <c r="C549" t="s">
        <v>1373</v>
      </c>
      <c r="D549" s="7">
        <v>60.7</v>
      </c>
      <c r="E549">
        <v>60.667553781326227</v>
      </c>
      <c r="F549" s="7">
        <v>39.299999999999997</v>
      </c>
      <c r="G549" s="6">
        <v>9018</v>
      </c>
      <c r="H549" s="6">
        <v>5471</v>
      </c>
      <c r="I549" s="6">
        <v>3547</v>
      </c>
      <c r="J549" t="s">
        <v>200</v>
      </c>
    </row>
    <row r="550" spans="1:10" x14ac:dyDescent="0.35">
      <c r="A550" t="s">
        <v>1051</v>
      </c>
      <c r="B550" t="s">
        <v>1374</v>
      </c>
      <c r="C550" t="s">
        <v>1375</v>
      </c>
      <c r="D550" s="7">
        <v>60.6</v>
      </c>
      <c r="E550">
        <v>60.603629800461242</v>
      </c>
      <c r="F550" s="7">
        <v>39.4</v>
      </c>
      <c r="G550" s="6">
        <v>19946</v>
      </c>
      <c r="H550" s="6">
        <v>12088</v>
      </c>
      <c r="I550" s="6">
        <v>7858</v>
      </c>
      <c r="J550" t="s">
        <v>200</v>
      </c>
    </row>
    <row r="551" spans="1:10" x14ac:dyDescent="0.35">
      <c r="A551" t="s">
        <v>1051</v>
      </c>
      <c r="B551" t="s">
        <v>1376</v>
      </c>
      <c r="C551" t="s">
        <v>1377</v>
      </c>
      <c r="D551" s="7">
        <v>60.5</v>
      </c>
      <c r="E551">
        <v>60.50458368058186</v>
      </c>
      <c r="F551" s="7">
        <v>39.5</v>
      </c>
      <c r="G551" s="6">
        <v>13199</v>
      </c>
      <c r="H551" s="6">
        <v>7986</v>
      </c>
      <c r="I551" s="6">
        <v>5213</v>
      </c>
      <c r="J551" t="s">
        <v>200</v>
      </c>
    </row>
    <row r="552" spans="1:10" x14ac:dyDescent="0.35">
      <c r="A552" t="s">
        <v>1051</v>
      </c>
      <c r="B552" t="s">
        <v>1378</v>
      </c>
      <c r="C552" t="s">
        <v>1379</v>
      </c>
      <c r="D552" s="7">
        <v>60.5</v>
      </c>
      <c r="E552">
        <v>60.458673233800212</v>
      </c>
      <c r="F552" s="7">
        <v>39.5</v>
      </c>
      <c r="G552" s="6">
        <v>6497</v>
      </c>
      <c r="H552" s="6">
        <v>3928</v>
      </c>
      <c r="I552" s="6">
        <v>2569</v>
      </c>
      <c r="J552" t="s">
        <v>200</v>
      </c>
    </row>
    <row r="553" spans="1:10" x14ac:dyDescent="0.35">
      <c r="A553" t="s">
        <v>1051</v>
      </c>
      <c r="B553" t="s">
        <v>1380</v>
      </c>
      <c r="C553" t="s">
        <v>1381</v>
      </c>
      <c r="D553" s="7">
        <v>60.5</v>
      </c>
      <c r="E553">
        <v>60.450394354503942</v>
      </c>
      <c r="F553" s="7">
        <v>39.5</v>
      </c>
      <c r="G553" s="6">
        <v>9636</v>
      </c>
      <c r="H553" s="6">
        <v>5825</v>
      </c>
      <c r="I553" s="6">
        <v>3811</v>
      </c>
      <c r="J553" t="s">
        <v>200</v>
      </c>
    </row>
    <row r="554" spans="1:10" x14ac:dyDescent="0.35">
      <c r="A554" t="s">
        <v>1051</v>
      </c>
      <c r="B554" t="s">
        <v>1382</v>
      </c>
      <c r="C554" t="s">
        <v>1383</v>
      </c>
      <c r="D554" s="7">
        <v>60.4</v>
      </c>
      <c r="E554">
        <v>60.447437011294532</v>
      </c>
      <c r="F554" s="7">
        <v>39.6</v>
      </c>
      <c r="G554" s="6">
        <v>4604</v>
      </c>
      <c r="H554" s="6">
        <v>2783</v>
      </c>
      <c r="I554" s="6">
        <v>1821</v>
      </c>
      <c r="J554" t="s">
        <v>200</v>
      </c>
    </row>
    <row r="555" spans="1:10" x14ac:dyDescent="0.35">
      <c r="A555" t="s">
        <v>1051</v>
      </c>
      <c r="B555" t="s">
        <v>1384</v>
      </c>
      <c r="C555" t="s">
        <v>1385</v>
      </c>
      <c r="D555" s="7">
        <v>60.4</v>
      </c>
      <c r="E555">
        <v>60.43696486566283</v>
      </c>
      <c r="F555" s="7">
        <v>39.6</v>
      </c>
      <c r="G555" s="6">
        <v>20322</v>
      </c>
      <c r="H555" s="6">
        <v>12282</v>
      </c>
      <c r="I555" s="6">
        <v>8040</v>
      </c>
      <c r="J555" t="s">
        <v>200</v>
      </c>
    </row>
    <row r="556" spans="1:10" x14ac:dyDescent="0.35">
      <c r="A556" t="s">
        <v>1051</v>
      </c>
      <c r="B556" t="s">
        <v>1386</v>
      </c>
      <c r="C556" t="s">
        <v>1387</v>
      </c>
      <c r="D556" s="7">
        <v>60.4</v>
      </c>
      <c r="E556">
        <v>60.396111963750641</v>
      </c>
      <c r="F556" s="7">
        <v>39.6</v>
      </c>
      <c r="G556" s="6">
        <v>13683</v>
      </c>
      <c r="H556" s="6">
        <v>8264</v>
      </c>
      <c r="I556" s="6">
        <v>5419</v>
      </c>
      <c r="J556" t="s">
        <v>200</v>
      </c>
    </row>
    <row r="557" spans="1:10" x14ac:dyDescent="0.35">
      <c r="A557" t="s">
        <v>1051</v>
      </c>
      <c r="B557" t="s">
        <v>1388</v>
      </c>
      <c r="C557" t="s">
        <v>1389</v>
      </c>
      <c r="D557" s="7">
        <v>60.1</v>
      </c>
      <c r="E557">
        <v>60.099132589838909</v>
      </c>
      <c r="F557" s="7">
        <v>39.9</v>
      </c>
      <c r="G557" s="6">
        <v>14526</v>
      </c>
      <c r="H557" s="6">
        <v>8730</v>
      </c>
      <c r="I557" s="6">
        <v>5796</v>
      </c>
      <c r="J557" t="s">
        <v>200</v>
      </c>
    </row>
    <row r="558" spans="1:10" x14ac:dyDescent="0.35">
      <c r="A558" t="s">
        <v>1051</v>
      </c>
      <c r="B558" t="s">
        <v>1390</v>
      </c>
      <c r="C558" t="s">
        <v>1391</v>
      </c>
      <c r="D558" s="7">
        <v>60</v>
      </c>
      <c r="E558">
        <v>60.021974572280648</v>
      </c>
      <c r="F558" s="7">
        <v>40</v>
      </c>
      <c r="G558" s="6">
        <v>6371</v>
      </c>
      <c r="H558" s="6">
        <v>3824</v>
      </c>
      <c r="I558" s="6">
        <v>2547</v>
      </c>
      <c r="J558" t="s">
        <v>200</v>
      </c>
    </row>
    <row r="559" spans="1:10" x14ac:dyDescent="0.35">
      <c r="A559" t="s">
        <v>1051</v>
      </c>
      <c r="B559" t="s">
        <v>1392</v>
      </c>
      <c r="C559" t="s">
        <v>1393</v>
      </c>
      <c r="D559" s="7">
        <v>60</v>
      </c>
      <c r="E559">
        <v>59.95967741935484</v>
      </c>
      <c r="F559" s="7">
        <v>40</v>
      </c>
      <c r="G559" s="6">
        <v>4960</v>
      </c>
      <c r="H559" s="6">
        <v>2974</v>
      </c>
      <c r="I559" s="6">
        <v>1986</v>
      </c>
      <c r="J559" t="s">
        <v>200</v>
      </c>
    </row>
    <row r="560" spans="1:10" x14ac:dyDescent="0.35">
      <c r="A560" t="s">
        <v>1051</v>
      </c>
      <c r="B560" t="s">
        <v>1394</v>
      </c>
      <c r="C560" t="s">
        <v>1395</v>
      </c>
      <c r="D560" s="7">
        <v>59.9</v>
      </c>
      <c r="E560">
        <v>59.947229551451187</v>
      </c>
      <c r="F560" s="7">
        <v>40.1</v>
      </c>
      <c r="G560" s="6">
        <v>13265</v>
      </c>
      <c r="H560" s="6">
        <v>7952</v>
      </c>
      <c r="I560" s="6">
        <v>5313</v>
      </c>
      <c r="J560" t="s">
        <v>200</v>
      </c>
    </row>
    <row r="561" spans="1:10" x14ac:dyDescent="0.35">
      <c r="A561" t="s">
        <v>1051</v>
      </c>
      <c r="B561" t="s">
        <v>1396</v>
      </c>
      <c r="C561" t="s">
        <v>1397</v>
      </c>
      <c r="D561" s="7">
        <v>59.8</v>
      </c>
      <c r="E561">
        <v>59.79494190020506</v>
      </c>
      <c r="F561" s="7">
        <v>40.200000000000003</v>
      </c>
      <c r="G561" s="6">
        <v>7315</v>
      </c>
      <c r="H561" s="6">
        <v>4374</v>
      </c>
      <c r="I561" s="6">
        <v>2941</v>
      </c>
      <c r="J561" t="s">
        <v>200</v>
      </c>
    </row>
    <row r="562" spans="1:10" x14ac:dyDescent="0.35">
      <c r="A562" t="s">
        <v>1051</v>
      </c>
      <c r="B562" t="s">
        <v>1398</v>
      </c>
      <c r="C562" t="s">
        <v>1399</v>
      </c>
      <c r="D562" s="7">
        <v>59.8</v>
      </c>
      <c r="E562">
        <v>59.76899300471775</v>
      </c>
      <c r="F562" s="7">
        <v>40.200000000000003</v>
      </c>
      <c r="G562" s="6">
        <v>6147</v>
      </c>
      <c r="H562" s="6">
        <v>3674</v>
      </c>
      <c r="I562" s="6">
        <v>2473</v>
      </c>
      <c r="J562" t="s">
        <v>200</v>
      </c>
    </row>
    <row r="563" spans="1:10" x14ac:dyDescent="0.35">
      <c r="A563" t="s">
        <v>1051</v>
      </c>
      <c r="B563" t="s">
        <v>1400</v>
      </c>
      <c r="C563" t="s">
        <v>1401</v>
      </c>
      <c r="D563" s="7">
        <v>59.7</v>
      </c>
      <c r="E563">
        <v>59.679466835925098</v>
      </c>
      <c r="F563" s="7">
        <v>40.299999999999997</v>
      </c>
      <c r="G563" s="6">
        <v>6302</v>
      </c>
      <c r="H563" s="6">
        <v>3761</v>
      </c>
      <c r="I563" s="6">
        <v>2541</v>
      </c>
      <c r="J563" t="s">
        <v>200</v>
      </c>
    </row>
    <row r="564" spans="1:10" x14ac:dyDescent="0.35">
      <c r="A564" t="s">
        <v>1051</v>
      </c>
      <c r="B564" t="s">
        <v>1402</v>
      </c>
      <c r="C564" t="s">
        <v>1403</v>
      </c>
      <c r="D564" s="7">
        <v>59.7</v>
      </c>
      <c r="E564">
        <v>59.673701010817517</v>
      </c>
      <c r="F564" s="7">
        <v>40.299999999999997</v>
      </c>
      <c r="G564" s="6">
        <v>5639</v>
      </c>
      <c r="H564" s="6">
        <v>3365</v>
      </c>
      <c r="I564" s="6">
        <v>2274</v>
      </c>
      <c r="J564" t="s">
        <v>200</v>
      </c>
    </row>
    <row r="565" spans="1:10" x14ac:dyDescent="0.35">
      <c r="A565" t="s">
        <v>1051</v>
      </c>
      <c r="B565" t="s">
        <v>1404</v>
      </c>
      <c r="C565" t="s">
        <v>1405</v>
      </c>
      <c r="D565" s="7">
        <v>59.6</v>
      </c>
      <c r="E565">
        <v>59.60663633930961</v>
      </c>
      <c r="F565" s="7">
        <v>40.4</v>
      </c>
      <c r="G565" s="6">
        <v>7474</v>
      </c>
      <c r="H565" s="6">
        <v>4455</v>
      </c>
      <c r="I565" s="6">
        <v>3019</v>
      </c>
      <c r="J565" t="s">
        <v>200</v>
      </c>
    </row>
    <row r="566" spans="1:10" x14ac:dyDescent="0.35">
      <c r="A566" t="s">
        <v>1051</v>
      </c>
      <c r="B566" t="s">
        <v>1406</v>
      </c>
      <c r="C566" t="s">
        <v>1407</v>
      </c>
      <c r="D566" s="7">
        <v>59.6</v>
      </c>
      <c r="E566">
        <v>59.552946489049447</v>
      </c>
      <c r="F566" s="7">
        <v>40.4</v>
      </c>
      <c r="G566" s="6">
        <v>22145</v>
      </c>
      <c r="H566" s="6">
        <v>13188</v>
      </c>
      <c r="I566" s="6">
        <v>8957</v>
      </c>
      <c r="J566" t="s">
        <v>200</v>
      </c>
    </row>
    <row r="567" spans="1:10" x14ac:dyDescent="0.35">
      <c r="A567" t="s">
        <v>1051</v>
      </c>
      <c r="B567" t="s">
        <v>1408</v>
      </c>
      <c r="C567" t="s">
        <v>1409</v>
      </c>
      <c r="D567" s="7">
        <v>59.4</v>
      </c>
      <c r="E567">
        <v>59.440902403138793</v>
      </c>
      <c r="F567" s="7">
        <v>40.6</v>
      </c>
      <c r="G567" s="6">
        <v>14273</v>
      </c>
      <c r="H567" s="6">
        <v>8484</v>
      </c>
      <c r="I567" s="6">
        <v>5789</v>
      </c>
      <c r="J567" t="s">
        <v>200</v>
      </c>
    </row>
    <row r="568" spans="1:10" x14ac:dyDescent="0.35">
      <c r="A568" t="s">
        <v>1051</v>
      </c>
      <c r="B568" t="s">
        <v>1410</v>
      </c>
      <c r="C568" t="s">
        <v>1411</v>
      </c>
      <c r="D568" s="7">
        <v>59.4</v>
      </c>
      <c r="E568">
        <v>59.39498933901919</v>
      </c>
      <c r="F568" s="7">
        <v>40.6</v>
      </c>
      <c r="G568" s="6">
        <v>7504</v>
      </c>
      <c r="H568" s="6">
        <v>4457</v>
      </c>
      <c r="I568" s="6">
        <v>3047</v>
      </c>
      <c r="J568" t="s">
        <v>200</v>
      </c>
    </row>
    <row r="569" spans="1:10" x14ac:dyDescent="0.35">
      <c r="A569" t="s">
        <v>1051</v>
      </c>
      <c r="B569" t="s">
        <v>1412</v>
      </c>
      <c r="C569" t="s">
        <v>1413</v>
      </c>
      <c r="D569" s="7">
        <v>59.3</v>
      </c>
      <c r="E569">
        <v>59.34095860566449</v>
      </c>
      <c r="F569" s="7">
        <v>40.700000000000003</v>
      </c>
      <c r="G569" s="6">
        <v>7344</v>
      </c>
      <c r="H569" s="6">
        <v>4358</v>
      </c>
      <c r="I569" s="6">
        <v>2986</v>
      </c>
      <c r="J569" t="s">
        <v>200</v>
      </c>
    </row>
    <row r="570" spans="1:10" x14ac:dyDescent="0.35">
      <c r="A570" t="s">
        <v>1051</v>
      </c>
      <c r="B570" t="s">
        <v>1414</v>
      </c>
      <c r="C570" t="s">
        <v>1415</v>
      </c>
      <c r="D570" s="7">
        <v>59.3</v>
      </c>
      <c r="E570">
        <v>59.335252065732057</v>
      </c>
      <c r="F570" s="7">
        <v>40.700000000000003</v>
      </c>
      <c r="G570" s="6">
        <v>10771</v>
      </c>
      <c r="H570" s="6">
        <v>6391</v>
      </c>
      <c r="I570" s="6">
        <v>4380</v>
      </c>
      <c r="J570" t="s">
        <v>200</v>
      </c>
    </row>
    <row r="571" spans="1:10" x14ac:dyDescent="0.35">
      <c r="A571" t="s">
        <v>1051</v>
      </c>
      <c r="B571" t="s">
        <v>1416</v>
      </c>
      <c r="C571" t="s">
        <v>1417</v>
      </c>
      <c r="D571" s="7">
        <v>59.3</v>
      </c>
      <c r="E571">
        <v>59.326868225898458</v>
      </c>
      <c r="F571" s="7">
        <v>40.700000000000003</v>
      </c>
      <c r="G571" s="6">
        <v>5259</v>
      </c>
      <c r="H571" s="6">
        <v>3120</v>
      </c>
      <c r="I571" s="6">
        <v>2139</v>
      </c>
      <c r="J571" t="s">
        <v>200</v>
      </c>
    </row>
    <row r="572" spans="1:10" x14ac:dyDescent="0.35">
      <c r="A572" t="s">
        <v>1051</v>
      </c>
      <c r="B572" t="s">
        <v>1418</v>
      </c>
      <c r="C572" t="s">
        <v>1419</v>
      </c>
      <c r="D572" s="7">
        <v>59.3</v>
      </c>
      <c r="E572">
        <v>59.317089910775557</v>
      </c>
      <c r="F572" s="7">
        <v>40.700000000000003</v>
      </c>
      <c r="G572" s="6">
        <v>11656</v>
      </c>
      <c r="H572" s="6">
        <v>6914</v>
      </c>
      <c r="I572" s="6">
        <v>4742</v>
      </c>
      <c r="J572" t="s">
        <v>200</v>
      </c>
    </row>
    <row r="573" spans="1:10" x14ac:dyDescent="0.35">
      <c r="A573" t="s">
        <v>1051</v>
      </c>
      <c r="B573" t="s">
        <v>1420</v>
      </c>
      <c r="C573" t="s">
        <v>1421</v>
      </c>
      <c r="D573" s="7">
        <v>59.3</v>
      </c>
      <c r="E573">
        <v>59.276980329611909</v>
      </c>
      <c r="F573" s="7">
        <v>40.700000000000003</v>
      </c>
      <c r="G573" s="6">
        <v>7524</v>
      </c>
      <c r="H573" s="6">
        <v>4460</v>
      </c>
      <c r="I573" s="6">
        <v>3064</v>
      </c>
      <c r="J573" t="s">
        <v>200</v>
      </c>
    </row>
    <row r="574" spans="1:10" x14ac:dyDescent="0.35">
      <c r="A574" t="s">
        <v>1051</v>
      </c>
      <c r="B574" t="s">
        <v>1422</v>
      </c>
      <c r="C574" t="s">
        <v>1423</v>
      </c>
      <c r="D574" s="7">
        <v>59.3</v>
      </c>
      <c r="E574">
        <v>59.262899262899261</v>
      </c>
      <c r="F574" s="7">
        <v>40.700000000000003</v>
      </c>
      <c r="G574" s="6">
        <v>12210</v>
      </c>
      <c r="H574" s="6">
        <v>7236</v>
      </c>
      <c r="I574" s="6">
        <v>4974</v>
      </c>
      <c r="J574" t="s">
        <v>200</v>
      </c>
    </row>
    <row r="575" spans="1:10" x14ac:dyDescent="0.35">
      <c r="A575" t="s">
        <v>1051</v>
      </c>
      <c r="B575" t="s">
        <v>1424</v>
      </c>
      <c r="C575" t="s">
        <v>1425</v>
      </c>
      <c r="D575" s="7">
        <v>59.2</v>
      </c>
      <c r="E575">
        <v>59.223889646809162</v>
      </c>
      <c r="F575" s="7">
        <v>40.799999999999997</v>
      </c>
      <c r="G575" s="6">
        <v>52776</v>
      </c>
      <c r="H575" s="6">
        <v>31256</v>
      </c>
      <c r="I575" s="6">
        <v>21520</v>
      </c>
      <c r="J575" t="s">
        <v>200</v>
      </c>
    </row>
    <row r="576" spans="1:10" x14ac:dyDescent="0.35">
      <c r="A576" t="s">
        <v>1051</v>
      </c>
      <c r="B576" t="s">
        <v>1426</v>
      </c>
      <c r="C576" t="s">
        <v>1427</v>
      </c>
      <c r="D576" s="7">
        <v>59.2</v>
      </c>
      <c r="E576">
        <v>59.217501051745899</v>
      </c>
      <c r="F576" s="7">
        <v>40.799999999999997</v>
      </c>
      <c r="G576" s="6">
        <v>11885</v>
      </c>
      <c r="H576" s="6">
        <v>7038</v>
      </c>
      <c r="I576" s="6">
        <v>4847</v>
      </c>
      <c r="J576" t="s">
        <v>200</v>
      </c>
    </row>
    <row r="577" spans="1:10" x14ac:dyDescent="0.35">
      <c r="A577" t="s">
        <v>1051</v>
      </c>
      <c r="B577" t="s">
        <v>1428</v>
      </c>
      <c r="C577" t="s">
        <v>1429</v>
      </c>
      <c r="D577" s="7">
        <v>59.2</v>
      </c>
      <c r="E577">
        <v>59.210115516703091</v>
      </c>
      <c r="F577" s="7">
        <v>40.799999999999997</v>
      </c>
      <c r="G577" s="6">
        <v>25624</v>
      </c>
      <c r="H577" s="6">
        <v>15172</v>
      </c>
      <c r="I577" s="6">
        <v>10452</v>
      </c>
      <c r="J577" t="s">
        <v>200</v>
      </c>
    </row>
    <row r="578" spans="1:10" x14ac:dyDescent="0.35">
      <c r="A578" t="s">
        <v>1051</v>
      </c>
      <c r="B578" t="s">
        <v>1430</v>
      </c>
      <c r="C578" t="s">
        <v>1431</v>
      </c>
      <c r="D578" s="7">
        <v>59.1</v>
      </c>
      <c r="E578">
        <v>59.104477611940297</v>
      </c>
      <c r="F578" s="7">
        <v>40.9</v>
      </c>
      <c r="G578" s="6">
        <v>10050</v>
      </c>
      <c r="H578" s="6">
        <v>5940</v>
      </c>
      <c r="I578" s="6">
        <v>4110</v>
      </c>
      <c r="J578" t="s">
        <v>200</v>
      </c>
    </row>
    <row r="579" spans="1:10" x14ac:dyDescent="0.35">
      <c r="A579" t="s">
        <v>1051</v>
      </c>
      <c r="B579" t="s">
        <v>1432</v>
      </c>
      <c r="C579" t="s">
        <v>1433</v>
      </c>
      <c r="D579" s="7">
        <v>59.1</v>
      </c>
      <c r="E579">
        <v>59.091418956814358</v>
      </c>
      <c r="F579" s="7">
        <v>40.9</v>
      </c>
      <c r="G579" s="6">
        <v>17830</v>
      </c>
      <c r="H579" s="6">
        <v>10536</v>
      </c>
      <c r="I579" s="6">
        <v>7294</v>
      </c>
      <c r="J579" t="s">
        <v>200</v>
      </c>
    </row>
    <row r="580" spans="1:10" x14ac:dyDescent="0.35">
      <c r="A580" t="s">
        <v>1051</v>
      </c>
      <c r="B580" t="s">
        <v>1434</v>
      </c>
      <c r="C580" t="s">
        <v>1435</v>
      </c>
      <c r="D580" s="7">
        <v>59.1</v>
      </c>
      <c r="E580">
        <v>59.057527539779677</v>
      </c>
      <c r="F580" s="7">
        <v>40.9</v>
      </c>
      <c r="G580" s="6">
        <v>8170</v>
      </c>
      <c r="H580" s="6">
        <v>4825</v>
      </c>
      <c r="I580" s="6">
        <v>3345</v>
      </c>
      <c r="J580" t="s">
        <v>200</v>
      </c>
    </row>
    <row r="581" spans="1:10" x14ac:dyDescent="0.35">
      <c r="A581" t="s">
        <v>1051</v>
      </c>
      <c r="B581" t="s">
        <v>1436</v>
      </c>
      <c r="C581" t="s">
        <v>1437</v>
      </c>
      <c r="D581" s="7">
        <v>59</v>
      </c>
      <c r="E581">
        <v>59.037800687285227</v>
      </c>
      <c r="F581" s="7">
        <v>41</v>
      </c>
      <c r="G581" s="6">
        <v>5820</v>
      </c>
      <c r="H581" s="6">
        <v>3436</v>
      </c>
      <c r="I581" s="6">
        <v>2384</v>
      </c>
      <c r="J581" t="s">
        <v>200</v>
      </c>
    </row>
    <row r="582" spans="1:10" x14ac:dyDescent="0.35">
      <c r="A582" t="s">
        <v>1051</v>
      </c>
      <c r="B582" t="s">
        <v>1438</v>
      </c>
      <c r="C582" t="s">
        <v>1439</v>
      </c>
      <c r="D582" s="7">
        <v>59</v>
      </c>
      <c r="E582">
        <v>59.008924670785753</v>
      </c>
      <c r="F582" s="7">
        <v>41</v>
      </c>
      <c r="G582" s="6">
        <v>16023</v>
      </c>
      <c r="H582" s="6">
        <v>9455</v>
      </c>
      <c r="I582" s="6">
        <v>6568</v>
      </c>
      <c r="J582" t="s">
        <v>200</v>
      </c>
    </row>
    <row r="583" spans="1:10" x14ac:dyDescent="0.35">
      <c r="A583" t="s">
        <v>1051</v>
      </c>
      <c r="B583" t="s">
        <v>1440</v>
      </c>
      <c r="C583" t="s">
        <v>1441</v>
      </c>
      <c r="D583" s="7">
        <v>59</v>
      </c>
      <c r="E583">
        <v>58.967603434816553</v>
      </c>
      <c r="F583" s="7">
        <v>41</v>
      </c>
      <c r="G583" s="6">
        <v>10248</v>
      </c>
      <c r="H583" s="6">
        <v>6043</v>
      </c>
      <c r="I583" s="6">
        <v>4205</v>
      </c>
      <c r="J583" t="s">
        <v>200</v>
      </c>
    </row>
    <row r="584" spans="1:10" x14ac:dyDescent="0.35">
      <c r="A584" t="s">
        <v>1051</v>
      </c>
      <c r="B584" t="s">
        <v>1442</v>
      </c>
      <c r="C584" t="s">
        <v>1443</v>
      </c>
      <c r="D584" s="7">
        <v>58.9</v>
      </c>
      <c r="E584">
        <v>58.854353599885151</v>
      </c>
      <c r="F584" s="7">
        <v>41.1</v>
      </c>
      <c r="G584" s="6">
        <v>13931</v>
      </c>
      <c r="H584" s="6">
        <v>8199</v>
      </c>
      <c r="I584" s="6">
        <v>5732</v>
      </c>
      <c r="J584" t="s">
        <v>200</v>
      </c>
    </row>
    <row r="585" spans="1:10" x14ac:dyDescent="0.35">
      <c r="A585" t="s">
        <v>1051</v>
      </c>
      <c r="B585" t="s">
        <v>1444</v>
      </c>
      <c r="C585" t="s">
        <v>1445</v>
      </c>
      <c r="D585" s="7">
        <v>58.8</v>
      </c>
      <c r="E585">
        <v>58.844155844155843</v>
      </c>
      <c r="F585" s="7">
        <v>41.2</v>
      </c>
      <c r="G585" s="6">
        <v>7700</v>
      </c>
      <c r="H585" s="6">
        <v>4531</v>
      </c>
      <c r="I585" s="6">
        <v>3169</v>
      </c>
      <c r="J585" t="s">
        <v>200</v>
      </c>
    </row>
    <row r="586" spans="1:10" x14ac:dyDescent="0.35">
      <c r="A586" t="s">
        <v>1051</v>
      </c>
      <c r="B586" t="s">
        <v>1446</v>
      </c>
      <c r="C586" t="s">
        <v>1447</v>
      </c>
      <c r="D586" s="7">
        <v>58.8</v>
      </c>
      <c r="E586">
        <v>58.812454742939899</v>
      </c>
      <c r="F586" s="7">
        <v>41.2</v>
      </c>
      <c r="G586" s="6">
        <v>6905</v>
      </c>
      <c r="H586" s="6">
        <v>4061</v>
      </c>
      <c r="I586" s="6">
        <v>2844</v>
      </c>
      <c r="J586" t="s">
        <v>200</v>
      </c>
    </row>
    <row r="587" spans="1:10" x14ac:dyDescent="0.35">
      <c r="A587" t="s">
        <v>1051</v>
      </c>
      <c r="B587" t="s">
        <v>1448</v>
      </c>
      <c r="C587" t="s">
        <v>1449</v>
      </c>
      <c r="D587" s="7">
        <v>58.7</v>
      </c>
      <c r="E587">
        <v>58.69790894260715</v>
      </c>
      <c r="F587" s="7">
        <v>41.3</v>
      </c>
      <c r="G587" s="6">
        <v>6743</v>
      </c>
      <c r="H587" s="6">
        <v>3958</v>
      </c>
      <c r="I587" s="6">
        <v>2785</v>
      </c>
      <c r="J587" t="s">
        <v>200</v>
      </c>
    </row>
    <row r="588" spans="1:10" x14ac:dyDescent="0.35">
      <c r="A588" t="s">
        <v>1051</v>
      </c>
      <c r="B588" t="s">
        <v>1450</v>
      </c>
      <c r="C588" t="s">
        <v>1451</v>
      </c>
      <c r="D588" s="7">
        <v>58.7</v>
      </c>
      <c r="E588">
        <v>58.685505235271847</v>
      </c>
      <c r="F588" s="7">
        <v>41.3</v>
      </c>
      <c r="G588" s="6">
        <v>7927</v>
      </c>
      <c r="H588" s="6">
        <v>4652</v>
      </c>
      <c r="I588" s="6">
        <v>3275</v>
      </c>
      <c r="J588" t="s">
        <v>200</v>
      </c>
    </row>
    <row r="589" spans="1:10" x14ac:dyDescent="0.35">
      <c r="A589" t="s">
        <v>1051</v>
      </c>
      <c r="B589" t="s">
        <v>1452</v>
      </c>
      <c r="C589" t="s">
        <v>1453</v>
      </c>
      <c r="D589" s="7">
        <v>58.7</v>
      </c>
      <c r="E589">
        <v>58.681028610354232</v>
      </c>
      <c r="F589" s="7">
        <v>41.3</v>
      </c>
      <c r="G589" s="6">
        <v>23488</v>
      </c>
      <c r="H589" s="6">
        <v>13783</v>
      </c>
      <c r="I589" s="6">
        <v>9705</v>
      </c>
      <c r="J589" t="s">
        <v>200</v>
      </c>
    </row>
    <row r="590" spans="1:10" x14ac:dyDescent="0.35">
      <c r="A590" t="s">
        <v>1051</v>
      </c>
      <c r="B590" t="s">
        <v>1454</v>
      </c>
      <c r="C590" t="s">
        <v>1455</v>
      </c>
      <c r="D590" s="7">
        <v>58.6</v>
      </c>
      <c r="E590">
        <v>58.647463994990609</v>
      </c>
      <c r="F590" s="7">
        <v>41.4</v>
      </c>
      <c r="G590" s="6">
        <v>15970</v>
      </c>
      <c r="H590" s="6">
        <v>9366</v>
      </c>
      <c r="I590" s="6">
        <v>6604</v>
      </c>
      <c r="J590" t="s">
        <v>200</v>
      </c>
    </row>
    <row r="591" spans="1:10" x14ac:dyDescent="0.35">
      <c r="A591" t="s">
        <v>1051</v>
      </c>
      <c r="B591" t="s">
        <v>1456</v>
      </c>
      <c r="C591" t="s">
        <v>1457</v>
      </c>
      <c r="D591" s="7">
        <v>58.6</v>
      </c>
      <c r="E591">
        <v>58.559985916732693</v>
      </c>
      <c r="F591" s="7">
        <v>41.4</v>
      </c>
      <c r="G591" s="6">
        <v>11361</v>
      </c>
      <c r="H591" s="6">
        <v>6653</v>
      </c>
      <c r="I591" s="6">
        <v>4708</v>
      </c>
      <c r="J591" t="s">
        <v>200</v>
      </c>
    </row>
    <row r="592" spans="1:10" x14ac:dyDescent="0.35">
      <c r="A592" t="s">
        <v>1051</v>
      </c>
      <c r="B592" t="s">
        <v>1458</v>
      </c>
      <c r="C592" t="s">
        <v>1459</v>
      </c>
      <c r="D592" s="7">
        <v>58.5</v>
      </c>
      <c r="E592">
        <v>58.523046217177082</v>
      </c>
      <c r="F592" s="7">
        <v>41.5</v>
      </c>
      <c r="G592" s="6">
        <v>16033</v>
      </c>
      <c r="H592" s="6">
        <v>9383</v>
      </c>
      <c r="I592" s="6">
        <v>6650</v>
      </c>
      <c r="J592" t="s">
        <v>200</v>
      </c>
    </row>
    <row r="593" spans="1:10" x14ac:dyDescent="0.35">
      <c r="A593" t="s">
        <v>1051</v>
      </c>
      <c r="B593" t="s">
        <v>1460</v>
      </c>
      <c r="C593" t="s">
        <v>1461</v>
      </c>
      <c r="D593" s="7">
        <v>58.5</v>
      </c>
      <c r="E593">
        <v>58.510123695667197</v>
      </c>
      <c r="F593" s="7">
        <v>41.5</v>
      </c>
      <c r="G593" s="6">
        <v>14471</v>
      </c>
      <c r="H593" s="6">
        <v>8467</v>
      </c>
      <c r="I593" s="6">
        <v>6004</v>
      </c>
      <c r="J593" t="s">
        <v>200</v>
      </c>
    </row>
    <row r="594" spans="1:10" x14ac:dyDescent="0.35">
      <c r="A594" t="s">
        <v>1051</v>
      </c>
      <c r="B594" t="s">
        <v>1462</v>
      </c>
      <c r="C594" t="s">
        <v>1463</v>
      </c>
      <c r="D594" s="7">
        <v>58.5</v>
      </c>
      <c r="E594">
        <v>58.451789690015417</v>
      </c>
      <c r="F594" s="7">
        <v>41.5</v>
      </c>
      <c r="G594" s="6">
        <v>35034</v>
      </c>
      <c r="H594" s="6">
        <v>20478</v>
      </c>
      <c r="I594" s="6">
        <v>14556</v>
      </c>
      <c r="J594" t="s">
        <v>200</v>
      </c>
    </row>
    <row r="595" spans="1:10" x14ac:dyDescent="0.35">
      <c r="A595" t="s">
        <v>1051</v>
      </c>
      <c r="B595" t="s">
        <v>1464</v>
      </c>
      <c r="C595" t="s">
        <v>1465</v>
      </c>
      <c r="D595" s="7">
        <v>58.4</v>
      </c>
      <c r="E595">
        <v>58.375405018461308</v>
      </c>
      <c r="F595" s="7">
        <v>41.6</v>
      </c>
      <c r="G595" s="6">
        <v>13271</v>
      </c>
      <c r="H595" s="6">
        <v>7747</v>
      </c>
      <c r="I595" s="6">
        <v>5524</v>
      </c>
      <c r="J595" t="s">
        <v>200</v>
      </c>
    </row>
    <row r="596" spans="1:10" x14ac:dyDescent="0.35">
      <c r="A596" t="s">
        <v>1051</v>
      </c>
      <c r="B596" t="s">
        <v>1466</v>
      </c>
      <c r="C596" t="s">
        <v>1467</v>
      </c>
      <c r="D596" s="7">
        <v>58.3</v>
      </c>
      <c r="E596">
        <v>58.337742683869919</v>
      </c>
      <c r="F596" s="7">
        <v>41.7</v>
      </c>
      <c r="G596" s="6">
        <v>24569</v>
      </c>
      <c r="H596" s="6">
        <v>14333</v>
      </c>
      <c r="I596" s="6">
        <v>10236</v>
      </c>
      <c r="J596" t="s">
        <v>200</v>
      </c>
    </row>
    <row r="597" spans="1:10" x14ac:dyDescent="0.35">
      <c r="A597" t="s">
        <v>1051</v>
      </c>
      <c r="B597" t="s">
        <v>1468</v>
      </c>
      <c r="C597" t="s">
        <v>1469</v>
      </c>
      <c r="D597" s="7">
        <v>58.3</v>
      </c>
      <c r="E597">
        <v>58.325552443199498</v>
      </c>
      <c r="F597" s="7">
        <v>41.7</v>
      </c>
      <c r="G597" s="6">
        <v>12852</v>
      </c>
      <c r="H597" s="6">
        <v>7496</v>
      </c>
      <c r="I597" s="6">
        <v>5356</v>
      </c>
      <c r="J597" t="s">
        <v>200</v>
      </c>
    </row>
    <row r="598" spans="1:10" x14ac:dyDescent="0.35">
      <c r="A598" t="s">
        <v>1051</v>
      </c>
      <c r="B598" t="s">
        <v>1470</v>
      </c>
      <c r="C598" t="s">
        <v>1471</v>
      </c>
      <c r="D598" s="7">
        <v>58.3</v>
      </c>
      <c r="E598">
        <v>58.259911894273131</v>
      </c>
      <c r="F598" s="7">
        <v>41.7</v>
      </c>
      <c r="G598" s="6">
        <v>10896</v>
      </c>
      <c r="H598" s="6">
        <v>6348</v>
      </c>
      <c r="I598" s="6">
        <v>4548</v>
      </c>
      <c r="J598" t="s">
        <v>200</v>
      </c>
    </row>
    <row r="599" spans="1:10" x14ac:dyDescent="0.35">
      <c r="A599" t="s">
        <v>1051</v>
      </c>
      <c r="B599" t="s">
        <v>1472</v>
      </c>
      <c r="C599" t="s">
        <v>1473</v>
      </c>
      <c r="D599" s="7">
        <v>58.2</v>
      </c>
      <c r="E599">
        <v>58.173356602675973</v>
      </c>
      <c r="F599" s="7">
        <v>41.8</v>
      </c>
      <c r="G599" s="6">
        <v>8595</v>
      </c>
      <c r="H599" s="6">
        <v>5000</v>
      </c>
      <c r="I599" s="6">
        <v>3595</v>
      </c>
      <c r="J599" t="s">
        <v>200</v>
      </c>
    </row>
    <row r="600" spans="1:10" x14ac:dyDescent="0.35">
      <c r="A600" t="s">
        <v>1051</v>
      </c>
      <c r="B600" t="s">
        <v>1474</v>
      </c>
      <c r="C600" t="s">
        <v>1475</v>
      </c>
      <c r="D600" s="7">
        <v>58</v>
      </c>
      <c r="E600">
        <v>58.012703065836078</v>
      </c>
      <c r="F600" s="7">
        <v>42</v>
      </c>
      <c r="G600" s="6">
        <v>16374</v>
      </c>
      <c r="H600" s="6">
        <v>9499</v>
      </c>
      <c r="I600" s="6">
        <v>6875</v>
      </c>
      <c r="J600" t="s">
        <v>200</v>
      </c>
    </row>
    <row r="601" spans="1:10" x14ac:dyDescent="0.35">
      <c r="A601" t="s">
        <v>1051</v>
      </c>
      <c r="B601" t="s">
        <v>1476</v>
      </c>
      <c r="C601" t="s">
        <v>1477</v>
      </c>
      <c r="D601" s="7">
        <v>57.9</v>
      </c>
      <c r="E601">
        <v>57.922374429223737</v>
      </c>
      <c r="F601" s="7">
        <v>42.1</v>
      </c>
      <c r="G601" s="6">
        <v>8760</v>
      </c>
      <c r="H601" s="6">
        <v>5074</v>
      </c>
      <c r="I601" s="6">
        <v>3686</v>
      </c>
      <c r="J601" t="s">
        <v>200</v>
      </c>
    </row>
    <row r="602" spans="1:10" x14ac:dyDescent="0.35">
      <c r="A602" t="s">
        <v>1051</v>
      </c>
      <c r="B602" t="s">
        <v>1478</v>
      </c>
      <c r="C602" t="s">
        <v>1479</v>
      </c>
      <c r="D602" s="7">
        <v>57.9</v>
      </c>
      <c r="E602">
        <v>57.892266165942956</v>
      </c>
      <c r="F602" s="7">
        <v>42.1</v>
      </c>
      <c r="G602" s="6">
        <v>8521</v>
      </c>
      <c r="H602" s="6">
        <v>4933</v>
      </c>
      <c r="I602" s="6">
        <v>3588</v>
      </c>
      <c r="J602" t="s">
        <v>200</v>
      </c>
    </row>
    <row r="603" spans="1:10" x14ac:dyDescent="0.35">
      <c r="A603" t="s">
        <v>1051</v>
      </c>
      <c r="B603" t="s">
        <v>1480</v>
      </c>
      <c r="C603" t="s">
        <v>1481</v>
      </c>
      <c r="D603" s="7">
        <v>57.8</v>
      </c>
      <c r="E603">
        <v>57.83036953791234</v>
      </c>
      <c r="F603" s="7">
        <v>42.2</v>
      </c>
      <c r="G603" s="6">
        <v>15127</v>
      </c>
      <c r="H603" s="6">
        <v>8748</v>
      </c>
      <c r="I603" s="6">
        <v>6379</v>
      </c>
      <c r="J603" t="s">
        <v>200</v>
      </c>
    </row>
    <row r="604" spans="1:10" x14ac:dyDescent="0.35">
      <c r="A604" t="s">
        <v>1051</v>
      </c>
      <c r="B604" t="s">
        <v>1482</v>
      </c>
      <c r="C604" t="s">
        <v>1483</v>
      </c>
      <c r="D604" s="7">
        <v>57.7</v>
      </c>
      <c r="E604">
        <v>57.739050676450347</v>
      </c>
      <c r="F604" s="7">
        <v>42.3</v>
      </c>
      <c r="G604" s="6">
        <v>13083</v>
      </c>
      <c r="H604" s="6">
        <v>7554</v>
      </c>
      <c r="I604" s="6">
        <v>5529</v>
      </c>
      <c r="J604" t="s">
        <v>200</v>
      </c>
    </row>
    <row r="605" spans="1:10" x14ac:dyDescent="0.35">
      <c r="A605" t="s">
        <v>1051</v>
      </c>
      <c r="B605" t="s">
        <v>1484</v>
      </c>
      <c r="C605" t="s">
        <v>1485</v>
      </c>
      <c r="D605" s="7">
        <v>57.4</v>
      </c>
      <c r="E605">
        <v>57.416039201625431</v>
      </c>
      <c r="F605" s="7">
        <v>42.6</v>
      </c>
      <c r="G605" s="6">
        <v>8367</v>
      </c>
      <c r="H605" s="6">
        <v>4804</v>
      </c>
      <c r="I605" s="6">
        <v>3563</v>
      </c>
      <c r="J605" t="s">
        <v>200</v>
      </c>
    </row>
    <row r="606" spans="1:10" x14ac:dyDescent="0.35">
      <c r="A606" t="s">
        <v>1051</v>
      </c>
      <c r="B606" t="s">
        <v>1486</v>
      </c>
      <c r="C606" t="s">
        <v>1487</v>
      </c>
      <c r="D606" s="7">
        <v>57.4</v>
      </c>
      <c r="E606">
        <v>57.390469738030717</v>
      </c>
      <c r="F606" s="7">
        <v>42.6</v>
      </c>
      <c r="G606" s="6">
        <v>17712</v>
      </c>
      <c r="H606" s="6">
        <v>10165</v>
      </c>
      <c r="I606" s="6">
        <v>7547</v>
      </c>
      <c r="J606" t="s">
        <v>200</v>
      </c>
    </row>
    <row r="607" spans="1:10" x14ac:dyDescent="0.35">
      <c r="A607" t="s">
        <v>1051</v>
      </c>
      <c r="B607" t="s">
        <v>1488</v>
      </c>
      <c r="C607" t="s">
        <v>1489</v>
      </c>
      <c r="D607" s="7">
        <v>57.4</v>
      </c>
      <c r="E607">
        <v>57.375775140456263</v>
      </c>
      <c r="F607" s="7">
        <v>42.6</v>
      </c>
      <c r="G607" s="6">
        <v>61763</v>
      </c>
      <c r="H607" s="6">
        <v>35437</v>
      </c>
      <c r="I607" s="6">
        <v>26326</v>
      </c>
      <c r="J607" t="s">
        <v>200</v>
      </c>
    </row>
    <row r="608" spans="1:10" x14ac:dyDescent="0.35">
      <c r="A608" t="s">
        <v>1051</v>
      </c>
      <c r="B608" t="s">
        <v>1490</v>
      </c>
      <c r="C608" t="s">
        <v>1491</v>
      </c>
      <c r="D608" s="7">
        <v>57.4</v>
      </c>
      <c r="E608">
        <v>57.373101148573546</v>
      </c>
      <c r="F608" s="7">
        <v>42.6</v>
      </c>
      <c r="G608" s="6">
        <v>10796</v>
      </c>
      <c r="H608" s="6">
        <v>6194</v>
      </c>
      <c r="I608" s="6">
        <v>4602</v>
      </c>
      <c r="J608" t="s">
        <v>200</v>
      </c>
    </row>
    <row r="609" spans="1:10" x14ac:dyDescent="0.35">
      <c r="A609" t="s">
        <v>1051</v>
      </c>
      <c r="B609" t="s">
        <v>1492</v>
      </c>
      <c r="C609" t="s">
        <v>1493</v>
      </c>
      <c r="D609" s="7">
        <v>57.4</v>
      </c>
      <c r="E609">
        <v>57.366888909756781</v>
      </c>
      <c r="F609" s="7">
        <v>42.6</v>
      </c>
      <c r="G609" s="6">
        <v>10649</v>
      </c>
      <c r="H609" s="6">
        <v>6109</v>
      </c>
      <c r="I609" s="6">
        <v>4540</v>
      </c>
      <c r="J609" t="s">
        <v>200</v>
      </c>
    </row>
    <row r="610" spans="1:10" x14ac:dyDescent="0.35">
      <c r="A610" t="s">
        <v>1051</v>
      </c>
      <c r="B610" t="s">
        <v>1494</v>
      </c>
      <c r="C610" t="s">
        <v>1495</v>
      </c>
      <c r="D610" s="7">
        <v>57.3</v>
      </c>
      <c r="E610">
        <v>57.26446701169354</v>
      </c>
      <c r="F610" s="7">
        <v>42.7</v>
      </c>
      <c r="G610" s="6">
        <v>76709</v>
      </c>
      <c r="H610" s="6">
        <v>43927</v>
      </c>
      <c r="I610" s="6">
        <v>32782</v>
      </c>
      <c r="J610" t="s">
        <v>200</v>
      </c>
    </row>
    <row r="611" spans="1:10" x14ac:dyDescent="0.35">
      <c r="A611" t="s">
        <v>1051</v>
      </c>
      <c r="B611" t="s">
        <v>1496</v>
      </c>
      <c r="C611" t="s">
        <v>1497</v>
      </c>
      <c r="D611" s="7">
        <v>57.3</v>
      </c>
      <c r="E611">
        <v>57.252706692913392</v>
      </c>
      <c r="F611" s="7">
        <v>42.7</v>
      </c>
      <c r="G611" s="6">
        <v>16256</v>
      </c>
      <c r="H611" s="6">
        <v>9307</v>
      </c>
      <c r="I611" s="6">
        <v>6949</v>
      </c>
      <c r="J611" t="s">
        <v>200</v>
      </c>
    </row>
    <row r="612" spans="1:10" x14ac:dyDescent="0.35">
      <c r="A612" t="s">
        <v>1051</v>
      </c>
      <c r="B612" t="s">
        <v>1498</v>
      </c>
      <c r="C612" t="s">
        <v>1499</v>
      </c>
      <c r="D612" s="7">
        <v>57.2</v>
      </c>
      <c r="E612">
        <v>57.239498551888893</v>
      </c>
      <c r="F612" s="7">
        <v>42.8</v>
      </c>
      <c r="G612" s="6">
        <v>47303</v>
      </c>
      <c r="H612" s="6">
        <v>27076</v>
      </c>
      <c r="I612" s="6">
        <v>20227</v>
      </c>
      <c r="J612" t="s">
        <v>200</v>
      </c>
    </row>
    <row r="613" spans="1:10" x14ac:dyDescent="0.35">
      <c r="A613" t="s">
        <v>1051</v>
      </c>
      <c r="B613" t="s">
        <v>1500</v>
      </c>
      <c r="C613" t="s">
        <v>1501</v>
      </c>
      <c r="D613" s="7">
        <v>57.2</v>
      </c>
      <c r="E613">
        <v>57.226438962681847</v>
      </c>
      <c r="F613" s="7">
        <v>42.8</v>
      </c>
      <c r="G613" s="6">
        <v>12648</v>
      </c>
      <c r="H613" s="6">
        <v>7238</v>
      </c>
      <c r="I613" s="6">
        <v>5410</v>
      </c>
      <c r="J613" t="s">
        <v>200</v>
      </c>
    </row>
    <row r="614" spans="1:10" x14ac:dyDescent="0.35">
      <c r="A614" t="s">
        <v>1051</v>
      </c>
      <c r="B614" t="s">
        <v>1502</v>
      </c>
      <c r="C614" t="s">
        <v>1503</v>
      </c>
      <c r="D614" s="7">
        <v>57.2</v>
      </c>
      <c r="E614">
        <v>57.209465998064573</v>
      </c>
      <c r="F614" s="7">
        <v>42.8</v>
      </c>
      <c r="G614" s="6">
        <v>11367</v>
      </c>
      <c r="H614" s="6">
        <v>6503</v>
      </c>
      <c r="I614" s="6">
        <v>4864</v>
      </c>
      <c r="J614" t="s">
        <v>200</v>
      </c>
    </row>
    <row r="615" spans="1:10" x14ac:dyDescent="0.35">
      <c r="A615" t="s">
        <v>1051</v>
      </c>
      <c r="B615" t="s">
        <v>1504</v>
      </c>
      <c r="C615" t="s">
        <v>1505</v>
      </c>
      <c r="D615" s="7">
        <v>57.2</v>
      </c>
      <c r="E615">
        <v>57.1842927264614</v>
      </c>
      <c r="F615" s="7">
        <v>42.8</v>
      </c>
      <c r="G615" s="6">
        <v>8964</v>
      </c>
      <c r="H615" s="6">
        <v>5126</v>
      </c>
      <c r="I615" s="6">
        <v>3838</v>
      </c>
      <c r="J615" t="s">
        <v>200</v>
      </c>
    </row>
    <row r="616" spans="1:10" x14ac:dyDescent="0.35">
      <c r="A616" t="s">
        <v>1051</v>
      </c>
      <c r="B616" t="s">
        <v>1506</v>
      </c>
      <c r="C616" t="s">
        <v>1507</v>
      </c>
      <c r="D616" s="7">
        <v>57.2</v>
      </c>
      <c r="E616">
        <v>57.155730129390022</v>
      </c>
      <c r="F616" s="7">
        <v>42.8</v>
      </c>
      <c r="G616" s="6">
        <v>43280</v>
      </c>
      <c r="H616" s="6">
        <v>24737</v>
      </c>
      <c r="I616" s="6">
        <v>18543</v>
      </c>
      <c r="J616" t="s">
        <v>200</v>
      </c>
    </row>
    <row r="617" spans="1:10" x14ac:dyDescent="0.35">
      <c r="A617" t="s">
        <v>1051</v>
      </c>
      <c r="B617" t="s">
        <v>1508</v>
      </c>
      <c r="C617" t="s">
        <v>1509</v>
      </c>
      <c r="D617" s="7">
        <v>57.1</v>
      </c>
      <c r="E617">
        <v>57.083825265643448</v>
      </c>
      <c r="F617" s="7">
        <v>42.9</v>
      </c>
      <c r="G617" s="6">
        <v>15246</v>
      </c>
      <c r="H617" s="6">
        <v>8703</v>
      </c>
      <c r="I617" s="6">
        <v>6543</v>
      </c>
      <c r="J617" t="s">
        <v>200</v>
      </c>
    </row>
    <row r="618" spans="1:10" x14ac:dyDescent="0.35">
      <c r="A618" t="s">
        <v>1051</v>
      </c>
      <c r="B618" t="s">
        <v>1510</v>
      </c>
      <c r="C618" t="s">
        <v>1511</v>
      </c>
      <c r="D618" s="7">
        <v>57.1</v>
      </c>
      <c r="E618">
        <v>57.072905331882481</v>
      </c>
      <c r="F618" s="7">
        <v>42.9</v>
      </c>
      <c r="G618" s="6">
        <v>7352</v>
      </c>
      <c r="H618" s="6">
        <v>4196</v>
      </c>
      <c r="I618" s="6">
        <v>3156</v>
      </c>
      <c r="J618" t="s">
        <v>200</v>
      </c>
    </row>
    <row r="619" spans="1:10" x14ac:dyDescent="0.35">
      <c r="A619" t="s">
        <v>1051</v>
      </c>
      <c r="B619" t="s">
        <v>1512</v>
      </c>
      <c r="C619" t="s">
        <v>1513</v>
      </c>
      <c r="D619" s="7">
        <v>57</v>
      </c>
      <c r="E619">
        <v>57.031322613625797</v>
      </c>
      <c r="F619" s="7">
        <v>43</v>
      </c>
      <c r="G619" s="6">
        <v>10759</v>
      </c>
      <c r="H619" s="6">
        <v>6136</v>
      </c>
      <c r="I619" s="6">
        <v>4623</v>
      </c>
      <c r="J619" t="s">
        <v>200</v>
      </c>
    </row>
    <row r="620" spans="1:10" x14ac:dyDescent="0.35">
      <c r="A620" t="s">
        <v>1051</v>
      </c>
      <c r="B620" t="s">
        <v>1514</v>
      </c>
      <c r="C620" t="s">
        <v>1515</v>
      </c>
      <c r="D620" s="7">
        <v>57</v>
      </c>
      <c r="E620">
        <v>56.953215620569658</v>
      </c>
      <c r="F620" s="7">
        <v>43</v>
      </c>
      <c r="G620" s="6">
        <v>7759</v>
      </c>
      <c r="H620" s="6">
        <v>4419</v>
      </c>
      <c r="I620" s="6">
        <v>3340</v>
      </c>
      <c r="J620" t="s">
        <v>200</v>
      </c>
    </row>
    <row r="621" spans="1:10" x14ac:dyDescent="0.35">
      <c r="A621" t="s">
        <v>1051</v>
      </c>
      <c r="B621" t="s">
        <v>1516</v>
      </c>
      <c r="C621" t="s">
        <v>1517</v>
      </c>
      <c r="D621" s="7">
        <v>56.7</v>
      </c>
      <c r="E621">
        <v>56.70354397149822</v>
      </c>
      <c r="F621" s="7">
        <v>43.3</v>
      </c>
      <c r="G621" s="6">
        <v>10666</v>
      </c>
      <c r="H621" s="6">
        <v>6048</v>
      </c>
      <c r="I621" s="6">
        <v>4618</v>
      </c>
      <c r="J621" t="s">
        <v>200</v>
      </c>
    </row>
    <row r="622" spans="1:10" x14ac:dyDescent="0.35">
      <c r="A622" t="s">
        <v>1051</v>
      </c>
      <c r="B622" t="s">
        <v>1518</v>
      </c>
      <c r="C622" t="s">
        <v>1519</v>
      </c>
      <c r="D622" s="7">
        <v>56.6</v>
      </c>
      <c r="E622">
        <v>56.642762785431223</v>
      </c>
      <c r="F622" s="7">
        <v>43.4</v>
      </c>
      <c r="G622" s="6">
        <v>10598</v>
      </c>
      <c r="H622" s="6">
        <v>6003</v>
      </c>
      <c r="I622" s="6">
        <v>4595</v>
      </c>
      <c r="J622" t="s">
        <v>200</v>
      </c>
    </row>
    <row r="623" spans="1:10" x14ac:dyDescent="0.35">
      <c r="A623" t="s">
        <v>1051</v>
      </c>
      <c r="B623" t="s">
        <v>1520</v>
      </c>
      <c r="C623" t="s">
        <v>1521</v>
      </c>
      <c r="D623" s="7">
        <v>56.6</v>
      </c>
      <c r="E623">
        <v>56.612868517323001</v>
      </c>
      <c r="F623" s="7">
        <v>43.4</v>
      </c>
      <c r="G623" s="6">
        <v>23235</v>
      </c>
      <c r="H623" s="6">
        <v>13154</v>
      </c>
      <c r="I623" s="6">
        <v>10081</v>
      </c>
      <c r="J623" t="s">
        <v>200</v>
      </c>
    </row>
    <row r="624" spans="1:10" x14ac:dyDescent="0.35">
      <c r="A624" t="s">
        <v>1051</v>
      </c>
      <c r="B624" t="s">
        <v>1522</v>
      </c>
      <c r="C624" t="s">
        <v>1523</v>
      </c>
      <c r="D624" s="7">
        <v>56.6</v>
      </c>
      <c r="E624">
        <v>56.569738076340293</v>
      </c>
      <c r="F624" s="7">
        <v>43.4</v>
      </c>
      <c r="G624" s="6">
        <v>13859</v>
      </c>
      <c r="H624" s="6">
        <v>7840</v>
      </c>
      <c r="I624" s="6">
        <v>6019</v>
      </c>
      <c r="J624" t="s">
        <v>200</v>
      </c>
    </row>
    <row r="625" spans="1:10" x14ac:dyDescent="0.35">
      <c r="A625" t="s">
        <v>1051</v>
      </c>
      <c r="B625" t="s">
        <v>1524</v>
      </c>
      <c r="C625" t="s">
        <v>1525</v>
      </c>
      <c r="D625" s="7">
        <v>56.5</v>
      </c>
      <c r="E625">
        <v>56.540360046457607</v>
      </c>
      <c r="F625" s="7">
        <v>43.5</v>
      </c>
      <c r="G625" s="6">
        <v>13776</v>
      </c>
      <c r="H625" s="6">
        <v>7789</v>
      </c>
      <c r="I625" s="6">
        <v>5987</v>
      </c>
      <c r="J625" t="s">
        <v>200</v>
      </c>
    </row>
    <row r="626" spans="1:10" x14ac:dyDescent="0.35">
      <c r="A626" t="s">
        <v>1051</v>
      </c>
      <c r="B626" t="s">
        <v>1526</v>
      </c>
      <c r="C626" t="s">
        <v>1527</v>
      </c>
      <c r="D626" s="7">
        <v>56.5</v>
      </c>
      <c r="E626">
        <v>56.532310857570373</v>
      </c>
      <c r="F626" s="7">
        <v>43.5</v>
      </c>
      <c r="G626" s="6">
        <v>21386</v>
      </c>
      <c r="H626" s="6">
        <v>12090</v>
      </c>
      <c r="I626" s="6">
        <v>9296</v>
      </c>
      <c r="J626" t="s">
        <v>200</v>
      </c>
    </row>
    <row r="627" spans="1:10" x14ac:dyDescent="0.35">
      <c r="A627" t="s">
        <v>1051</v>
      </c>
      <c r="B627" t="s">
        <v>1528</v>
      </c>
      <c r="C627" t="s">
        <v>1529</v>
      </c>
      <c r="D627" s="7">
        <v>56.5</v>
      </c>
      <c r="E627">
        <v>56.529747651501197</v>
      </c>
      <c r="F627" s="7">
        <v>43.5</v>
      </c>
      <c r="G627" s="6">
        <v>10858</v>
      </c>
      <c r="H627" s="6">
        <v>6138</v>
      </c>
      <c r="I627" s="6">
        <v>4720</v>
      </c>
      <c r="J627" t="s">
        <v>200</v>
      </c>
    </row>
    <row r="628" spans="1:10" x14ac:dyDescent="0.35">
      <c r="A628" t="s">
        <v>1051</v>
      </c>
      <c r="B628" t="s">
        <v>1530</v>
      </c>
      <c r="C628" t="s">
        <v>1531</v>
      </c>
      <c r="D628" s="7">
        <v>56.5</v>
      </c>
      <c r="E628">
        <v>56.491874685877029</v>
      </c>
      <c r="F628" s="7">
        <v>43.5</v>
      </c>
      <c r="G628" s="6">
        <v>11938</v>
      </c>
      <c r="H628" s="6">
        <v>6744</v>
      </c>
      <c r="I628" s="6">
        <v>5194</v>
      </c>
      <c r="J628" t="s">
        <v>200</v>
      </c>
    </row>
    <row r="629" spans="1:10" x14ac:dyDescent="0.35">
      <c r="A629" t="s">
        <v>1051</v>
      </c>
      <c r="B629" t="s">
        <v>1532</v>
      </c>
      <c r="C629" t="s">
        <v>1533</v>
      </c>
      <c r="D629" s="7">
        <v>56.4</v>
      </c>
      <c r="E629">
        <v>56.374281926646042</v>
      </c>
      <c r="F629" s="7">
        <v>43.6</v>
      </c>
      <c r="G629" s="6">
        <v>18104</v>
      </c>
      <c r="H629" s="6">
        <v>10206</v>
      </c>
      <c r="I629" s="6">
        <v>7898</v>
      </c>
      <c r="J629" t="s">
        <v>200</v>
      </c>
    </row>
    <row r="630" spans="1:10" x14ac:dyDescent="0.35">
      <c r="A630" t="s">
        <v>1051</v>
      </c>
      <c r="B630" t="s">
        <v>1534</v>
      </c>
      <c r="C630" t="s">
        <v>1535</v>
      </c>
      <c r="D630" s="7">
        <v>56.3</v>
      </c>
      <c r="E630">
        <v>56.293246912498908</v>
      </c>
      <c r="F630" s="7">
        <v>43.7</v>
      </c>
      <c r="G630" s="6">
        <v>22834</v>
      </c>
      <c r="H630" s="6">
        <v>12854</v>
      </c>
      <c r="I630" s="6">
        <v>9980</v>
      </c>
      <c r="J630" t="s">
        <v>200</v>
      </c>
    </row>
    <row r="631" spans="1:10" x14ac:dyDescent="0.35">
      <c r="A631" t="s">
        <v>1051</v>
      </c>
      <c r="B631" t="s">
        <v>1536</v>
      </c>
      <c r="C631" t="s">
        <v>1537</v>
      </c>
      <c r="D631" s="7">
        <v>56.3</v>
      </c>
      <c r="E631">
        <v>56.250918892428317</v>
      </c>
      <c r="F631" s="7">
        <v>43.7</v>
      </c>
      <c r="G631" s="6">
        <v>20405</v>
      </c>
      <c r="H631" s="6">
        <v>11478</v>
      </c>
      <c r="I631" s="6">
        <v>8927</v>
      </c>
      <c r="J631" t="s">
        <v>200</v>
      </c>
    </row>
    <row r="632" spans="1:10" x14ac:dyDescent="0.35">
      <c r="A632" t="s">
        <v>1051</v>
      </c>
      <c r="B632" t="s">
        <v>1538</v>
      </c>
      <c r="C632" t="s">
        <v>1539</v>
      </c>
      <c r="D632" s="7">
        <v>55.8</v>
      </c>
      <c r="E632">
        <v>55.83059946316731</v>
      </c>
      <c r="F632" s="7">
        <v>44.2</v>
      </c>
      <c r="G632" s="6">
        <v>6706</v>
      </c>
      <c r="H632" s="6">
        <v>3744</v>
      </c>
      <c r="I632" s="6">
        <v>2962</v>
      </c>
      <c r="J632" t="s">
        <v>200</v>
      </c>
    </row>
    <row r="633" spans="1:10" x14ac:dyDescent="0.35">
      <c r="A633" t="s">
        <v>1051</v>
      </c>
      <c r="B633" t="s">
        <v>1540</v>
      </c>
      <c r="C633" t="s">
        <v>1541</v>
      </c>
      <c r="D633" s="7">
        <v>55.8</v>
      </c>
      <c r="E633">
        <v>55.82387842198397</v>
      </c>
      <c r="F633" s="7">
        <v>44.2</v>
      </c>
      <c r="G633" s="6">
        <v>19214</v>
      </c>
      <c r="H633" s="6">
        <v>10726</v>
      </c>
      <c r="I633" s="6">
        <v>8488</v>
      </c>
      <c r="J633" t="s">
        <v>200</v>
      </c>
    </row>
    <row r="634" spans="1:10" x14ac:dyDescent="0.35">
      <c r="A634" t="s">
        <v>1051</v>
      </c>
      <c r="B634" t="s">
        <v>1542</v>
      </c>
      <c r="C634" t="s">
        <v>1543</v>
      </c>
      <c r="D634" s="7">
        <v>55.7</v>
      </c>
      <c r="E634">
        <v>55.693885023800803</v>
      </c>
      <c r="F634" s="7">
        <v>44.3</v>
      </c>
      <c r="G634" s="6">
        <v>16386</v>
      </c>
      <c r="H634" s="6">
        <v>9126</v>
      </c>
      <c r="I634" s="6">
        <v>7260</v>
      </c>
      <c r="J634" t="s">
        <v>200</v>
      </c>
    </row>
    <row r="635" spans="1:10" x14ac:dyDescent="0.35">
      <c r="A635" t="s">
        <v>1051</v>
      </c>
      <c r="B635" t="s">
        <v>1544</v>
      </c>
      <c r="C635" t="s">
        <v>1545</v>
      </c>
      <c r="D635" s="7">
        <v>55.6</v>
      </c>
      <c r="E635">
        <v>55.615292712066903</v>
      </c>
      <c r="F635" s="7">
        <v>44.4</v>
      </c>
      <c r="G635" s="6">
        <v>6696</v>
      </c>
      <c r="H635" s="6">
        <v>3724</v>
      </c>
      <c r="I635" s="6">
        <v>2972</v>
      </c>
      <c r="J635" t="s">
        <v>200</v>
      </c>
    </row>
    <row r="636" spans="1:10" x14ac:dyDescent="0.35">
      <c r="A636" t="s">
        <v>1051</v>
      </c>
      <c r="B636" t="s">
        <v>1546</v>
      </c>
      <c r="C636" t="s">
        <v>1547</v>
      </c>
      <c r="D636" s="7">
        <v>55.6</v>
      </c>
      <c r="E636">
        <v>55.603038936372272</v>
      </c>
      <c r="F636" s="7">
        <v>44.4</v>
      </c>
      <c r="G636" s="6">
        <v>16848</v>
      </c>
      <c r="H636" s="6">
        <v>9368</v>
      </c>
      <c r="I636" s="6">
        <v>7480</v>
      </c>
      <c r="J636" t="s">
        <v>200</v>
      </c>
    </row>
    <row r="637" spans="1:10" x14ac:dyDescent="0.35">
      <c r="A637" t="s">
        <v>1051</v>
      </c>
      <c r="B637" t="s">
        <v>1548</v>
      </c>
      <c r="C637" t="s">
        <v>1549</v>
      </c>
      <c r="D637" s="7">
        <v>55.5</v>
      </c>
      <c r="E637">
        <v>55.501130369253957</v>
      </c>
      <c r="F637" s="7">
        <v>44.5</v>
      </c>
      <c r="G637" s="6">
        <v>18578</v>
      </c>
      <c r="H637" s="6">
        <v>10311</v>
      </c>
      <c r="I637" s="6">
        <v>8267</v>
      </c>
      <c r="J637" t="s">
        <v>200</v>
      </c>
    </row>
    <row r="638" spans="1:10" x14ac:dyDescent="0.35">
      <c r="A638" t="s">
        <v>1051</v>
      </c>
      <c r="B638" t="s">
        <v>1550</v>
      </c>
      <c r="C638" t="s">
        <v>1551</v>
      </c>
      <c r="D638" s="7">
        <v>55.4</v>
      </c>
      <c r="E638">
        <v>55.415397999130057</v>
      </c>
      <c r="F638" s="7">
        <v>44.6</v>
      </c>
      <c r="G638" s="6">
        <v>27588</v>
      </c>
      <c r="H638" s="6">
        <v>15288</v>
      </c>
      <c r="I638" s="6">
        <v>12300</v>
      </c>
      <c r="J638" t="s">
        <v>200</v>
      </c>
    </row>
    <row r="639" spans="1:10" x14ac:dyDescent="0.35">
      <c r="A639" t="s">
        <v>1051</v>
      </c>
      <c r="B639" t="s">
        <v>1552</v>
      </c>
      <c r="C639" t="s">
        <v>1553</v>
      </c>
      <c r="D639" s="7">
        <v>55.3</v>
      </c>
      <c r="E639">
        <v>55.310724737476328</v>
      </c>
      <c r="F639" s="7">
        <v>44.7</v>
      </c>
      <c r="G639" s="6">
        <v>5809</v>
      </c>
      <c r="H639" s="6">
        <v>3213</v>
      </c>
      <c r="I639" s="6">
        <v>2596</v>
      </c>
      <c r="J639" t="s">
        <v>200</v>
      </c>
    </row>
    <row r="640" spans="1:10" x14ac:dyDescent="0.35">
      <c r="A640" t="s">
        <v>1051</v>
      </c>
      <c r="B640" t="s">
        <v>1554</v>
      </c>
      <c r="C640" t="s">
        <v>1555</v>
      </c>
      <c r="D640" s="7">
        <v>55.3</v>
      </c>
      <c r="E640">
        <v>55.310011911478902</v>
      </c>
      <c r="F640" s="7">
        <v>44.7</v>
      </c>
      <c r="G640" s="6">
        <v>31902</v>
      </c>
      <c r="H640" s="6">
        <v>17645</v>
      </c>
      <c r="I640" s="6">
        <v>14257</v>
      </c>
      <c r="J640" t="s">
        <v>200</v>
      </c>
    </row>
    <row r="641" spans="1:10" x14ac:dyDescent="0.35">
      <c r="A641" t="s">
        <v>1051</v>
      </c>
      <c r="B641" t="s">
        <v>1556</v>
      </c>
      <c r="C641" t="s">
        <v>1557</v>
      </c>
      <c r="D641" s="7">
        <v>55.3</v>
      </c>
      <c r="E641">
        <v>55.25949146638802</v>
      </c>
      <c r="F641" s="7">
        <v>44.7</v>
      </c>
      <c r="G641" s="6">
        <v>5742</v>
      </c>
      <c r="H641" s="6">
        <v>3173</v>
      </c>
      <c r="I641" s="6">
        <v>2569</v>
      </c>
      <c r="J641" t="s">
        <v>200</v>
      </c>
    </row>
    <row r="642" spans="1:10" x14ac:dyDescent="0.35">
      <c r="A642" t="s">
        <v>1051</v>
      </c>
      <c r="B642" t="s">
        <v>1558</v>
      </c>
      <c r="C642" t="s">
        <v>1559</v>
      </c>
      <c r="D642" s="7">
        <v>55.2</v>
      </c>
      <c r="E642">
        <v>55.227368042657723</v>
      </c>
      <c r="F642" s="7">
        <v>44.8</v>
      </c>
      <c r="G642" s="6">
        <v>16691</v>
      </c>
      <c r="H642" s="6">
        <v>9218</v>
      </c>
      <c r="I642" s="6">
        <v>7473</v>
      </c>
      <c r="J642" t="s">
        <v>200</v>
      </c>
    </row>
    <row r="643" spans="1:10" x14ac:dyDescent="0.35">
      <c r="A643" t="s">
        <v>1051</v>
      </c>
      <c r="B643" t="s">
        <v>1560</v>
      </c>
      <c r="C643" t="s">
        <v>1561</v>
      </c>
      <c r="D643" s="7">
        <v>55.2</v>
      </c>
      <c r="E643">
        <v>55.218464218319063</v>
      </c>
      <c r="F643" s="7">
        <v>44.8</v>
      </c>
      <c r="G643" s="6">
        <v>20667</v>
      </c>
      <c r="H643" s="6">
        <v>11412</v>
      </c>
      <c r="I643" s="6">
        <v>9255</v>
      </c>
      <c r="J643" t="s">
        <v>200</v>
      </c>
    </row>
    <row r="644" spans="1:10" x14ac:dyDescent="0.35">
      <c r="A644" t="s">
        <v>1051</v>
      </c>
      <c r="B644" t="s">
        <v>1562</v>
      </c>
      <c r="C644" t="s">
        <v>1563</v>
      </c>
      <c r="D644" s="7">
        <v>55.2</v>
      </c>
      <c r="E644">
        <v>55.204948107768111</v>
      </c>
      <c r="F644" s="7">
        <v>44.8</v>
      </c>
      <c r="G644" s="6">
        <v>9539</v>
      </c>
      <c r="H644" s="6">
        <v>5266</v>
      </c>
      <c r="I644" s="6">
        <v>4273</v>
      </c>
      <c r="J644" t="s">
        <v>200</v>
      </c>
    </row>
    <row r="645" spans="1:10" x14ac:dyDescent="0.35">
      <c r="A645" t="s">
        <v>1051</v>
      </c>
      <c r="B645" t="s">
        <v>1564</v>
      </c>
      <c r="C645" t="s">
        <v>1565</v>
      </c>
      <c r="D645" s="7">
        <v>55.1</v>
      </c>
      <c r="E645">
        <v>55.143752858880099</v>
      </c>
      <c r="F645" s="7">
        <v>44.9</v>
      </c>
      <c r="G645" s="6">
        <v>89633</v>
      </c>
      <c r="H645" s="6">
        <v>49427</v>
      </c>
      <c r="I645" s="6">
        <v>40206</v>
      </c>
      <c r="J645" t="s">
        <v>200</v>
      </c>
    </row>
    <row r="646" spans="1:10" x14ac:dyDescent="0.35">
      <c r="A646" t="s">
        <v>1051</v>
      </c>
      <c r="B646" t="s">
        <v>1566</v>
      </c>
      <c r="C646" t="s">
        <v>1567</v>
      </c>
      <c r="D646" s="7">
        <v>55.1</v>
      </c>
      <c r="E646">
        <v>55.068401563464313</v>
      </c>
      <c r="F646" s="7">
        <v>44.9</v>
      </c>
      <c r="G646" s="6">
        <v>38888</v>
      </c>
      <c r="H646" s="6">
        <v>21415</v>
      </c>
      <c r="I646" s="6">
        <v>17473</v>
      </c>
      <c r="J646" t="s">
        <v>200</v>
      </c>
    </row>
    <row r="647" spans="1:10" x14ac:dyDescent="0.35">
      <c r="A647" t="s">
        <v>1051</v>
      </c>
      <c r="B647" t="s">
        <v>1568</v>
      </c>
      <c r="C647" t="s">
        <v>1569</v>
      </c>
      <c r="D647" s="7">
        <v>55</v>
      </c>
      <c r="E647">
        <v>55.04858470637938</v>
      </c>
      <c r="F647" s="7">
        <v>45</v>
      </c>
      <c r="G647" s="6">
        <v>14202</v>
      </c>
      <c r="H647" s="6">
        <v>7818</v>
      </c>
      <c r="I647" s="6">
        <v>6384</v>
      </c>
      <c r="J647" t="s">
        <v>200</v>
      </c>
    </row>
    <row r="648" spans="1:10" x14ac:dyDescent="0.35">
      <c r="A648" t="s">
        <v>1051</v>
      </c>
      <c r="B648" t="s">
        <v>1570</v>
      </c>
      <c r="C648" t="s">
        <v>1571</v>
      </c>
      <c r="D648" s="7">
        <v>55</v>
      </c>
      <c r="E648">
        <v>55.033557046979872</v>
      </c>
      <c r="F648" s="7">
        <v>45</v>
      </c>
      <c r="G648" s="6">
        <v>42167</v>
      </c>
      <c r="H648" s="6">
        <v>23206</v>
      </c>
      <c r="I648" s="6">
        <v>18961</v>
      </c>
      <c r="J648" t="s">
        <v>200</v>
      </c>
    </row>
    <row r="649" spans="1:10" x14ac:dyDescent="0.35">
      <c r="A649" t="s">
        <v>1051</v>
      </c>
      <c r="B649" t="s">
        <v>1572</v>
      </c>
      <c r="C649" t="s">
        <v>1573</v>
      </c>
      <c r="D649" s="7">
        <v>54.9</v>
      </c>
      <c r="E649">
        <v>54.939162713961643</v>
      </c>
      <c r="F649" s="7">
        <v>45.1</v>
      </c>
      <c r="G649" s="6">
        <v>9698</v>
      </c>
      <c r="H649" s="6">
        <v>5328</v>
      </c>
      <c r="I649" s="6">
        <v>4370</v>
      </c>
      <c r="J649" t="s">
        <v>200</v>
      </c>
    </row>
    <row r="650" spans="1:10" x14ac:dyDescent="0.35">
      <c r="A650" t="s">
        <v>1051</v>
      </c>
      <c r="B650" t="s">
        <v>1574</v>
      </c>
      <c r="C650" t="s">
        <v>1575</v>
      </c>
      <c r="D650" s="7">
        <v>54.9</v>
      </c>
      <c r="E650">
        <v>54.926534140017289</v>
      </c>
      <c r="F650" s="7">
        <v>45.1</v>
      </c>
      <c r="G650" s="6">
        <v>9256</v>
      </c>
      <c r="H650" s="6">
        <v>5084</v>
      </c>
      <c r="I650" s="6">
        <v>4172</v>
      </c>
      <c r="J650" t="s">
        <v>200</v>
      </c>
    </row>
    <row r="651" spans="1:10" x14ac:dyDescent="0.35">
      <c r="A651" t="s">
        <v>1051</v>
      </c>
      <c r="B651" t="s">
        <v>1576</v>
      </c>
      <c r="C651" t="s">
        <v>1577</v>
      </c>
      <c r="D651" s="7">
        <v>54.7</v>
      </c>
      <c r="E651">
        <v>54.736760965081316</v>
      </c>
      <c r="F651" s="7">
        <v>45.3</v>
      </c>
      <c r="G651" s="6">
        <v>12973</v>
      </c>
      <c r="H651" s="6">
        <v>7101</v>
      </c>
      <c r="I651" s="6">
        <v>5872</v>
      </c>
      <c r="J651" t="s">
        <v>200</v>
      </c>
    </row>
    <row r="652" spans="1:10" x14ac:dyDescent="0.35">
      <c r="A652" t="s">
        <v>1051</v>
      </c>
      <c r="B652" t="s">
        <v>1578</v>
      </c>
      <c r="C652" t="s">
        <v>1579</v>
      </c>
      <c r="D652" s="7">
        <v>54.6</v>
      </c>
      <c r="E652">
        <v>54.642126789366053</v>
      </c>
      <c r="F652" s="7">
        <v>45.4</v>
      </c>
      <c r="G652" s="6">
        <v>7335</v>
      </c>
      <c r="H652" s="6">
        <v>4008</v>
      </c>
      <c r="I652" s="6">
        <v>3327</v>
      </c>
      <c r="J652" t="s">
        <v>200</v>
      </c>
    </row>
    <row r="653" spans="1:10" x14ac:dyDescent="0.35">
      <c r="A653" t="s">
        <v>1051</v>
      </c>
      <c r="B653" t="s">
        <v>1580</v>
      </c>
      <c r="C653" t="s">
        <v>1581</v>
      </c>
      <c r="D653" s="7">
        <v>54.6</v>
      </c>
      <c r="E653">
        <v>54.621278246532832</v>
      </c>
      <c r="F653" s="7">
        <v>45.4</v>
      </c>
      <c r="G653" s="6">
        <v>10311</v>
      </c>
      <c r="H653" s="6">
        <v>5632</v>
      </c>
      <c r="I653" s="6">
        <v>4679</v>
      </c>
      <c r="J653" t="s">
        <v>200</v>
      </c>
    </row>
    <row r="654" spans="1:10" x14ac:dyDescent="0.35">
      <c r="A654" t="s">
        <v>1051</v>
      </c>
      <c r="B654" t="s">
        <v>1582</v>
      </c>
      <c r="C654" t="s">
        <v>1583</v>
      </c>
      <c r="D654" s="7">
        <v>54.6</v>
      </c>
      <c r="E654">
        <v>54.619703930576833</v>
      </c>
      <c r="F654" s="7">
        <v>45.4</v>
      </c>
      <c r="G654" s="6">
        <v>7836</v>
      </c>
      <c r="H654" s="6">
        <v>4280</v>
      </c>
      <c r="I654" s="6">
        <v>3556</v>
      </c>
      <c r="J654" t="s">
        <v>200</v>
      </c>
    </row>
    <row r="655" spans="1:10" x14ac:dyDescent="0.35">
      <c r="A655" t="s">
        <v>1051</v>
      </c>
      <c r="B655" t="s">
        <v>1584</v>
      </c>
      <c r="C655" t="s">
        <v>1585</v>
      </c>
      <c r="D655" s="7">
        <v>54.6</v>
      </c>
      <c r="E655">
        <v>54.575461759955047</v>
      </c>
      <c r="F655" s="7">
        <v>45.4</v>
      </c>
      <c r="G655" s="6">
        <v>14239</v>
      </c>
      <c r="H655" s="6">
        <v>7771</v>
      </c>
      <c r="I655" s="6">
        <v>6468</v>
      </c>
      <c r="J655" t="s">
        <v>200</v>
      </c>
    </row>
    <row r="656" spans="1:10" x14ac:dyDescent="0.35">
      <c r="A656" t="s">
        <v>1051</v>
      </c>
      <c r="B656" t="s">
        <v>1586</v>
      </c>
      <c r="C656" t="s">
        <v>1587</v>
      </c>
      <c r="D656" s="7">
        <v>54.5</v>
      </c>
      <c r="E656">
        <v>54.50739911137223</v>
      </c>
      <c r="F656" s="7">
        <v>45.5</v>
      </c>
      <c r="G656" s="6">
        <v>27233</v>
      </c>
      <c r="H656" s="6">
        <v>14844</v>
      </c>
      <c r="I656" s="6">
        <v>12389</v>
      </c>
      <c r="J656" t="s">
        <v>200</v>
      </c>
    </row>
    <row r="657" spans="1:10" x14ac:dyDescent="0.35">
      <c r="A657" t="s">
        <v>1051</v>
      </c>
      <c r="B657" t="s">
        <v>1588</v>
      </c>
      <c r="C657" t="s">
        <v>1589</v>
      </c>
      <c r="D657" s="7">
        <v>54.5</v>
      </c>
      <c r="E657">
        <v>54.502428695977081</v>
      </c>
      <c r="F657" s="7">
        <v>45.5</v>
      </c>
      <c r="G657" s="6">
        <v>8029</v>
      </c>
      <c r="H657" s="6">
        <v>4376</v>
      </c>
      <c r="I657" s="6">
        <v>3653</v>
      </c>
      <c r="J657" t="s">
        <v>200</v>
      </c>
    </row>
    <row r="658" spans="1:10" x14ac:dyDescent="0.35">
      <c r="A658" t="s">
        <v>1051</v>
      </c>
      <c r="B658" t="s">
        <v>1590</v>
      </c>
      <c r="C658" t="s">
        <v>1591</v>
      </c>
      <c r="D658" s="7">
        <v>54.5</v>
      </c>
      <c r="E658">
        <v>54.49860724233983</v>
      </c>
      <c r="F658" s="7">
        <v>45.5</v>
      </c>
      <c r="G658" s="6">
        <v>14360</v>
      </c>
      <c r="H658" s="6">
        <v>7826</v>
      </c>
      <c r="I658" s="6">
        <v>6534</v>
      </c>
      <c r="J658" t="s">
        <v>200</v>
      </c>
    </row>
    <row r="659" spans="1:10" x14ac:dyDescent="0.35">
      <c r="A659" t="s">
        <v>1051</v>
      </c>
      <c r="B659" t="s">
        <v>1592</v>
      </c>
      <c r="C659" t="s">
        <v>1593</v>
      </c>
      <c r="D659" s="7">
        <v>54.4</v>
      </c>
      <c r="E659">
        <v>54.401276276276278</v>
      </c>
      <c r="F659" s="7">
        <v>45.6</v>
      </c>
      <c r="G659" s="6">
        <v>21312</v>
      </c>
      <c r="H659" s="6">
        <v>11594</v>
      </c>
      <c r="I659" s="6">
        <v>9718</v>
      </c>
      <c r="J659" t="s">
        <v>200</v>
      </c>
    </row>
    <row r="660" spans="1:10" x14ac:dyDescent="0.35">
      <c r="A660" t="s">
        <v>1051</v>
      </c>
      <c r="B660" t="s">
        <v>1594</v>
      </c>
      <c r="C660" t="s">
        <v>1595</v>
      </c>
      <c r="D660" s="7">
        <v>54.3</v>
      </c>
      <c r="E660">
        <v>54.348425016071268</v>
      </c>
      <c r="F660" s="7">
        <v>45.7</v>
      </c>
      <c r="G660" s="6">
        <v>10889</v>
      </c>
      <c r="H660" s="6">
        <v>5918</v>
      </c>
      <c r="I660" s="6">
        <v>4971</v>
      </c>
      <c r="J660" t="s">
        <v>200</v>
      </c>
    </row>
    <row r="661" spans="1:10" x14ac:dyDescent="0.35">
      <c r="A661" t="s">
        <v>1051</v>
      </c>
      <c r="B661" t="s">
        <v>1596</v>
      </c>
      <c r="C661" t="s">
        <v>1597</v>
      </c>
      <c r="D661" s="7">
        <v>54.3</v>
      </c>
      <c r="E661">
        <v>54.325369497271822</v>
      </c>
      <c r="F661" s="7">
        <v>45.7</v>
      </c>
      <c r="G661" s="6">
        <v>18877</v>
      </c>
      <c r="H661" s="6">
        <v>10255</v>
      </c>
      <c r="I661" s="6">
        <v>8622</v>
      </c>
      <c r="J661" t="s">
        <v>200</v>
      </c>
    </row>
    <row r="662" spans="1:10" x14ac:dyDescent="0.35">
      <c r="A662" t="s">
        <v>1051</v>
      </c>
      <c r="B662" t="s">
        <v>1598</v>
      </c>
      <c r="C662" t="s">
        <v>1599</v>
      </c>
      <c r="D662" s="7">
        <v>54.3</v>
      </c>
      <c r="E662">
        <v>54.29514802171358</v>
      </c>
      <c r="F662" s="7">
        <v>45.7</v>
      </c>
      <c r="G662" s="6">
        <v>17869</v>
      </c>
      <c r="H662" s="6">
        <v>9702</v>
      </c>
      <c r="I662" s="6">
        <v>8167</v>
      </c>
      <c r="J662" t="s">
        <v>200</v>
      </c>
    </row>
    <row r="663" spans="1:10" x14ac:dyDescent="0.35">
      <c r="A663" t="s">
        <v>1051</v>
      </c>
      <c r="B663" t="s">
        <v>1600</v>
      </c>
      <c r="C663" t="s">
        <v>1601</v>
      </c>
      <c r="D663" s="7">
        <v>54.3</v>
      </c>
      <c r="E663">
        <v>54.269755112345358</v>
      </c>
      <c r="F663" s="7">
        <v>45.7</v>
      </c>
      <c r="G663" s="6">
        <v>31688</v>
      </c>
      <c r="H663" s="6">
        <v>17197</v>
      </c>
      <c r="I663" s="6">
        <v>14491</v>
      </c>
      <c r="J663" t="s">
        <v>200</v>
      </c>
    </row>
    <row r="664" spans="1:10" x14ac:dyDescent="0.35">
      <c r="A664" t="s">
        <v>1051</v>
      </c>
      <c r="B664" t="s">
        <v>1602</v>
      </c>
      <c r="C664" t="s">
        <v>1603</v>
      </c>
      <c r="D664" s="7">
        <v>54.2</v>
      </c>
      <c r="E664">
        <v>54.184173669467789</v>
      </c>
      <c r="F664" s="7">
        <v>45.8</v>
      </c>
      <c r="G664" s="6">
        <v>5712</v>
      </c>
      <c r="H664" s="6">
        <v>3095</v>
      </c>
      <c r="I664" s="6">
        <v>2617</v>
      </c>
      <c r="J664" t="s">
        <v>200</v>
      </c>
    </row>
    <row r="665" spans="1:10" x14ac:dyDescent="0.35">
      <c r="A665" t="s">
        <v>1051</v>
      </c>
      <c r="B665" t="s">
        <v>1604</v>
      </c>
      <c r="C665" t="s">
        <v>1605</v>
      </c>
      <c r="D665" s="7">
        <v>54.1</v>
      </c>
      <c r="E665">
        <v>54.145120934111759</v>
      </c>
      <c r="F665" s="7">
        <v>45.9</v>
      </c>
      <c r="G665" s="6">
        <v>23980</v>
      </c>
      <c r="H665" s="6">
        <v>12984</v>
      </c>
      <c r="I665" s="6">
        <v>10996</v>
      </c>
      <c r="J665" t="s">
        <v>200</v>
      </c>
    </row>
    <row r="666" spans="1:10" x14ac:dyDescent="0.35">
      <c r="A666" t="s">
        <v>1051</v>
      </c>
      <c r="B666" t="s">
        <v>1606</v>
      </c>
      <c r="C666" t="s">
        <v>1607</v>
      </c>
      <c r="D666" s="7">
        <v>54.1</v>
      </c>
      <c r="E666">
        <v>54.115586690017523</v>
      </c>
      <c r="F666" s="7">
        <v>45.9</v>
      </c>
      <c r="G666" s="6">
        <v>14275</v>
      </c>
      <c r="H666" s="6">
        <v>7725</v>
      </c>
      <c r="I666" s="6">
        <v>6550</v>
      </c>
      <c r="J666" t="s">
        <v>200</v>
      </c>
    </row>
    <row r="667" spans="1:10" x14ac:dyDescent="0.35">
      <c r="A667" t="s">
        <v>1051</v>
      </c>
      <c r="B667" t="s">
        <v>1608</v>
      </c>
      <c r="C667" t="s">
        <v>1609</v>
      </c>
      <c r="D667" s="7">
        <v>54.1</v>
      </c>
      <c r="E667">
        <v>54.111440817672268</v>
      </c>
      <c r="F667" s="7">
        <v>45.9</v>
      </c>
      <c r="G667" s="6">
        <v>15165</v>
      </c>
      <c r="H667" s="6">
        <v>8206</v>
      </c>
      <c r="I667" s="6">
        <v>6959</v>
      </c>
      <c r="J667" t="s">
        <v>200</v>
      </c>
    </row>
    <row r="668" spans="1:10" x14ac:dyDescent="0.35">
      <c r="A668" t="s">
        <v>1051</v>
      </c>
      <c r="B668" t="s">
        <v>1610</v>
      </c>
      <c r="C668" t="s">
        <v>1611</v>
      </c>
      <c r="D668" s="7">
        <v>54</v>
      </c>
      <c r="E668">
        <v>54.015357080999941</v>
      </c>
      <c r="F668" s="7">
        <v>46</v>
      </c>
      <c r="G668" s="6">
        <v>17321</v>
      </c>
      <c r="H668" s="6">
        <v>9356</v>
      </c>
      <c r="I668" s="6">
        <v>7965</v>
      </c>
      <c r="J668" t="s">
        <v>200</v>
      </c>
    </row>
    <row r="669" spans="1:10" x14ac:dyDescent="0.35">
      <c r="A669" t="s">
        <v>1051</v>
      </c>
      <c r="B669" t="s">
        <v>1612</v>
      </c>
      <c r="C669" t="s">
        <v>1613</v>
      </c>
      <c r="D669" s="7">
        <v>53.9</v>
      </c>
      <c r="E669">
        <v>53.936170212765958</v>
      </c>
      <c r="F669" s="7">
        <v>46.1</v>
      </c>
      <c r="G669" s="6">
        <v>21620</v>
      </c>
      <c r="H669" s="6">
        <v>11661</v>
      </c>
      <c r="I669" s="6">
        <v>9959</v>
      </c>
      <c r="J669" t="s">
        <v>200</v>
      </c>
    </row>
    <row r="670" spans="1:10" x14ac:dyDescent="0.35">
      <c r="A670" t="s">
        <v>1051</v>
      </c>
      <c r="B670" t="s">
        <v>1614</v>
      </c>
      <c r="C670" t="s">
        <v>1615</v>
      </c>
      <c r="D670" s="7">
        <v>53.9</v>
      </c>
      <c r="E670">
        <v>53.864193582773687</v>
      </c>
      <c r="F670" s="7">
        <v>46.1</v>
      </c>
      <c r="G670" s="6">
        <v>9381</v>
      </c>
      <c r="H670" s="6">
        <v>5053</v>
      </c>
      <c r="I670" s="6">
        <v>4328</v>
      </c>
      <c r="J670" t="s">
        <v>200</v>
      </c>
    </row>
    <row r="671" spans="1:10" x14ac:dyDescent="0.35">
      <c r="A671" t="s">
        <v>1051</v>
      </c>
      <c r="B671" t="s">
        <v>1616</v>
      </c>
      <c r="C671" t="s">
        <v>1617</v>
      </c>
      <c r="D671" s="7">
        <v>53.8</v>
      </c>
      <c r="E671">
        <v>53.82591306178297</v>
      </c>
      <c r="F671" s="7">
        <v>46.2</v>
      </c>
      <c r="G671" s="6">
        <v>9501</v>
      </c>
      <c r="H671" s="6">
        <v>5114</v>
      </c>
      <c r="I671" s="6">
        <v>4387</v>
      </c>
      <c r="J671" t="s">
        <v>200</v>
      </c>
    </row>
    <row r="672" spans="1:10" x14ac:dyDescent="0.35">
      <c r="A672" t="s">
        <v>1051</v>
      </c>
      <c r="B672" t="s">
        <v>1618</v>
      </c>
      <c r="C672" t="s">
        <v>1619</v>
      </c>
      <c r="D672" s="7">
        <v>53.7</v>
      </c>
      <c r="E672">
        <v>53.736669571351513</v>
      </c>
      <c r="F672" s="7">
        <v>46.3</v>
      </c>
      <c r="G672" s="6">
        <v>24099</v>
      </c>
      <c r="H672" s="6">
        <v>12950</v>
      </c>
      <c r="I672" s="6">
        <v>11149</v>
      </c>
      <c r="J672" t="s">
        <v>200</v>
      </c>
    </row>
    <row r="673" spans="1:10" x14ac:dyDescent="0.35">
      <c r="A673" t="s">
        <v>1051</v>
      </c>
      <c r="B673" t="s">
        <v>1620</v>
      </c>
      <c r="C673" t="s">
        <v>1621</v>
      </c>
      <c r="D673" s="7">
        <v>53.7</v>
      </c>
      <c r="E673">
        <v>53.679153771536789</v>
      </c>
      <c r="F673" s="7">
        <v>46.3</v>
      </c>
      <c r="G673" s="6">
        <v>21649</v>
      </c>
      <c r="H673" s="6">
        <v>11621</v>
      </c>
      <c r="I673" s="6">
        <v>10028</v>
      </c>
      <c r="J673" t="s">
        <v>200</v>
      </c>
    </row>
    <row r="674" spans="1:10" x14ac:dyDescent="0.35">
      <c r="A674" t="s">
        <v>1051</v>
      </c>
      <c r="B674" t="s">
        <v>1622</v>
      </c>
      <c r="C674" t="s">
        <v>1623</v>
      </c>
      <c r="D674" s="7">
        <v>53.6</v>
      </c>
      <c r="E674">
        <v>53.585242487354947</v>
      </c>
      <c r="F674" s="7">
        <v>46.4</v>
      </c>
      <c r="G674" s="6">
        <v>10083</v>
      </c>
      <c r="H674" s="6">
        <v>5403</v>
      </c>
      <c r="I674" s="6">
        <v>4680</v>
      </c>
      <c r="J674" t="s">
        <v>200</v>
      </c>
    </row>
    <row r="675" spans="1:10" x14ac:dyDescent="0.35">
      <c r="A675" t="s">
        <v>1051</v>
      </c>
      <c r="B675" t="s">
        <v>1624</v>
      </c>
      <c r="C675" t="s">
        <v>1625</v>
      </c>
      <c r="D675" s="7">
        <v>53.6</v>
      </c>
      <c r="E675">
        <v>53.55801104972376</v>
      </c>
      <c r="F675" s="7">
        <v>46.4</v>
      </c>
      <c r="G675" s="6">
        <v>9050</v>
      </c>
      <c r="H675" s="6">
        <v>4847</v>
      </c>
      <c r="I675" s="6">
        <v>4203</v>
      </c>
      <c r="J675" t="s">
        <v>200</v>
      </c>
    </row>
    <row r="676" spans="1:10" x14ac:dyDescent="0.35">
      <c r="A676" t="s">
        <v>1051</v>
      </c>
      <c r="B676" t="s">
        <v>1626</v>
      </c>
      <c r="C676" t="s">
        <v>1627</v>
      </c>
      <c r="D676" s="7">
        <v>53.5</v>
      </c>
      <c r="E676">
        <v>53.472357882398903</v>
      </c>
      <c r="F676" s="7">
        <v>46.5</v>
      </c>
      <c r="G676" s="6">
        <v>40952</v>
      </c>
      <c r="H676" s="6">
        <v>21898</v>
      </c>
      <c r="I676" s="6">
        <v>19054</v>
      </c>
      <c r="J676" t="s">
        <v>200</v>
      </c>
    </row>
    <row r="677" spans="1:10" x14ac:dyDescent="0.35">
      <c r="A677" t="s">
        <v>1051</v>
      </c>
      <c r="B677" t="s">
        <v>1628</v>
      </c>
      <c r="C677" t="s">
        <v>1629</v>
      </c>
      <c r="D677" s="7">
        <v>53.4</v>
      </c>
      <c r="E677">
        <v>53.37842190016103</v>
      </c>
      <c r="F677" s="7">
        <v>46.6</v>
      </c>
      <c r="G677" s="6">
        <v>15525</v>
      </c>
      <c r="H677" s="6">
        <v>8287</v>
      </c>
      <c r="I677" s="6">
        <v>7238</v>
      </c>
      <c r="J677" t="s">
        <v>200</v>
      </c>
    </row>
    <row r="678" spans="1:10" x14ac:dyDescent="0.35">
      <c r="A678" t="s">
        <v>1051</v>
      </c>
      <c r="B678" t="s">
        <v>1630</v>
      </c>
      <c r="C678" t="s">
        <v>1631</v>
      </c>
      <c r="D678" s="7">
        <v>53.3</v>
      </c>
      <c r="E678">
        <v>53.318335208098993</v>
      </c>
      <c r="F678" s="7">
        <v>46.7</v>
      </c>
      <c r="G678" s="6">
        <v>13335</v>
      </c>
      <c r="H678" s="6">
        <v>7110</v>
      </c>
      <c r="I678" s="6">
        <v>6225</v>
      </c>
      <c r="J678" t="s">
        <v>200</v>
      </c>
    </row>
    <row r="679" spans="1:10" x14ac:dyDescent="0.35">
      <c r="A679" t="s">
        <v>1051</v>
      </c>
      <c r="B679" t="s">
        <v>1632</v>
      </c>
      <c r="C679" t="s">
        <v>1633</v>
      </c>
      <c r="D679" s="7">
        <v>53.3</v>
      </c>
      <c r="E679">
        <v>53.302527860831738</v>
      </c>
      <c r="F679" s="7">
        <v>46.7</v>
      </c>
      <c r="G679" s="6">
        <v>18395</v>
      </c>
      <c r="H679" s="6">
        <v>9805</v>
      </c>
      <c r="I679" s="6">
        <v>8590</v>
      </c>
      <c r="J679" t="s">
        <v>200</v>
      </c>
    </row>
    <row r="680" spans="1:10" x14ac:dyDescent="0.35">
      <c r="A680" t="s">
        <v>1051</v>
      </c>
      <c r="B680" t="s">
        <v>1634</v>
      </c>
      <c r="C680" t="s">
        <v>1635</v>
      </c>
      <c r="D680" s="7">
        <v>53.3</v>
      </c>
      <c r="E680">
        <v>53.297992526288347</v>
      </c>
      <c r="F680" s="7">
        <v>46.7</v>
      </c>
      <c r="G680" s="6">
        <v>11507</v>
      </c>
      <c r="H680" s="6">
        <v>6133</v>
      </c>
      <c r="I680" s="6">
        <v>5374</v>
      </c>
      <c r="J680" t="s">
        <v>200</v>
      </c>
    </row>
    <row r="681" spans="1:10" x14ac:dyDescent="0.35">
      <c r="A681" t="s">
        <v>1051</v>
      </c>
      <c r="B681" t="s">
        <v>1636</v>
      </c>
      <c r="C681" t="s">
        <v>1637</v>
      </c>
      <c r="D681" s="7">
        <v>53.3</v>
      </c>
      <c r="E681">
        <v>53.260782587821083</v>
      </c>
      <c r="F681" s="7">
        <v>46.7</v>
      </c>
      <c r="G681" s="6">
        <v>12497</v>
      </c>
      <c r="H681" s="6">
        <v>6656</v>
      </c>
      <c r="I681" s="6">
        <v>5841</v>
      </c>
      <c r="J681" t="s">
        <v>200</v>
      </c>
    </row>
    <row r="682" spans="1:10" x14ac:dyDescent="0.35">
      <c r="A682" t="s">
        <v>1051</v>
      </c>
      <c r="B682" t="s">
        <v>1638</v>
      </c>
      <c r="C682" t="s">
        <v>1639</v>
      </c>
      <c r="D682" s="7">
        <v>53.3</v>
      </c>
      <c r="E682">
        <v>53.251088534107403</v>
      </c>
      <c r="F682" s="7">
        <v>46.7</v>
      </c>
      <c r="G682" s="6">
        <v>6890</v>
      </c>
      <c r="H682" s="6">
        <v>3669</v>
      </c>
      <c r="I682" s="6">
        <v>3221</v>
      </c>
      <c r="J682" t="s">
        <v>200</v>
      </c>
    </row>
    <row r="683" spans="1:10" x14ac:dyDescent="0.35">
      <c r="A683" t="s">
        <v>1051</v>
      </c>
      <c r="B683" t="s">
        <v>1640</v>
      </c>
      <c r="C683" t="s">
        <v>1641</v>
      </c>
      <c r="D683" s="7">
        <v>53.2</v>
      </c>
      <c r="E683">
        <v>53.226008519168133</v>
      </c>
      <c r="F683" s="7">
        <v>46.8</v>
      </c>
      <c r="G683" s="6">
        <v>31928</v>
      </c>
      <c r="H683" s="6">
        <v>16994</v>
      </c>
      <c r="I683" s="6">
        <v>14934</v>
      </c>
      <c r="J683" t="s">
        <v>200</v>
      </c>
    </row>
    <row r="684" spans="1:10" x14ac:dyDescent="0.35">
      <c r="A684" t="s">
        <v>1051</v>
      </c>
      <c r="B684" t="s">
        <v>1642</v>
      </c>
      <c r="C684" t="s">
        <v>1643</v>
      </c>
      <c r="D684" s="7">
        <v>53.2</v>
      </c>
      <c r="E684">
        <v>53.212205775297257</v>
      </c>
      <c r="F684" s="7">
        <v>46.8</v>
      </c>
      <c r="G684" s="6">
        <v>32968</v>
      </c>
      <c r="H684" s="6">
        <v>17543</v>
      </c>
      <c r="I684" s="6">
        <v>15425</v>
      </c>
      <c r="J684" t="s">
        <v>200</v>
      </c>
    </row>
    <row r="685" spans="1:10" x14ac:dyDescent="0.35">
      <c r="A685" t="s">
        <v>1051</v>
      </c>
      <c r="B685" t="s">
        <v>1644</v>
      </c>
      <c r="C685" t="s">
        <v>1645</v>
      </c>
      <c r="D685" s="7">
        <v>53.2</v>
      </c>
      <c r="E685">
        <v>53.202718912435017</v>
      </c>
      <c r="F685" s="7">
        <v>46.8</v>
      </c>
      <c r="G685" s="6">
        <v>25010</v>
      </c>
      <c r="H685" s="6">
        <v>13306</v>
      </c>
      <c r="I685" s="6">
        <v>11704</v>
      </c>
      <c r="J685" t="s">
        <v>200</v>
      </c>
    </row>
    <row r="686" spans="1:10" x14ac:dyDescent="0.35">
      <c r="A686" t="s">
        <v>1051</v>
      </c>
      <c r="B686" t="s">
        <v>1646</v>
      </c>
      <c r="C686" t="s">
        <v>1647</v>
      </c>
      <c r="D686" s="7">
        <v>53.2</v>
      </c>
      <c r="E686">
        <v>53.17760474601409</v>
      </c>
      <c r="F686" s="7">
        <v>46.8</v>
      </c>
      <c r="G686" s="6">
        <v>13485</v>
      </c>
      <c r="H686" s="6">
        <v>7171</v>
      </c>
      <c r="I686" s="6">
        <v>6314</v>
      </c>
      <c r="J686" t="s">
        <v>200</v>
      </c>
    </row>
    <row r="687" spans="1:10" x14ac:dyDescent="0.35">
      <c r="A687" t="s">
        <v>1051</v>
      </c>
      <c r="B687" t="s">
        <v>1648</v>
      </c>
      <c r="C687" t="s">
        <v>1649</v>
      </c>
      <c r="D687" s="7">
        <v>53.1</v>
      </c>
      <c r="E687">
        <v>53.111950686021068</v>
      </c>
      <c r="F687" s="7">
        <v>46.9</v>
      </c>
      <c r="G687" s="6">
        <v>15087</v>
      </c>
      <c r="H687" s="6">
        <v>8013</v>
      </c>
      <c r="I687" s="6">
        <v>7074</v>
      </c>
      <c r="J687" t="s">
        <v>200</v>
      </c>
    </row>
    <row r="688" spans="1:10" x14ac:dyDescent="0.35">
      <c r="A688" t="s">
        <v>1051</v>
      </c>
      <c r="B688" t="s">
        <v>1650</v>
      </c>
      <c r="C688" t="s">
        <v>1651</v>
      </c>
      <c r="D688" s="7">
        <v>53.1</v>
      </c>
      <c r="E688">
        <v>53.074599116895193</v>
      </c>
      <c r="F688" s="7">
        <v>46.9</v>
      </c>
      <c r="G688" s="6">
        <v>21515</v>
      </c>
      <c r="H688" s="6">
        <v>11419</v>
      </c>
      <c r="I688" s="6">
        <v>10096</v>
      </c>
      <c r="J688" t="s">
        <v>200</v>
      </c>
    </row>
    <row r="689" spans="1:10" x14ac:dyDescent="0.35">
      <c r="A689" t="s">
        <v>1051</v>
      </c>
      <c r="B689" t="s">
        <v>1652</v>
      </c>
      <c r="C689" t="s">
        <v>1653</v>
      </c>
      <c r="D689" s="7">
        <v>52.9</v>
      </c>
      <c r="E689">
        <v>52.913385826771652</v>
      </c>
      <c r="F689" s="7">
        <v>47.1</v>
      </c>
      <c r="G689" s="6">
        <v>41275</v>
      </c>
      <c r="H689" s="6">
        <v>21840</v>
      </c>
      <c r="I689" s="6">
        <v>19435</v>
      </c>
      <c r="J689" t="s">
        <v>200</v>
      </c>
    </row>
    <row r="690" spans="1:10" x14ac:dyDescent="0.35">
      <c r="A690" t="s">
        <v>1051</v>
      </c>
      <c r="B690" t="s">
        <v>1654</v>
      </c>
      <c r="C690" t="s">
        <v>1655</v>
      </c>
      <c r="D690" s="7">
        <v>52.9</v>
      </c>
      <c r="E690">
        <v>52.911012937835281</v>
      </c>
      <c r="F690" s="7">
        <v>47.1</v>
      </c>
      <c r="G690" s="6">
        <v>12676</v>
      </c>
      <c r="H690" s="6">
        <v>6707</v>
      </c>
      <c r="I690" s="6">
        <v>5969</v>
      </c>
      <c r="J690" t="s">
        <v>200</v>
      </c>
    </row>
    <row r="691" spans="1:10" x14ac:dyDescent="0.35">
      <c r="A691" t="s">
        <v>1051</v>
      </c>
      <c r="B691" t="s">
        <v>1656</v>
      </c>
      <c r="C691" t="s">
        <v>1657</v>
      </c>
      <c r="D691" s="7">
        <v>52.7</v>
      </c>
      <c r="E691">
        <v>52.734435346825272</v>
      </c>
      <c r="F691" s="7">
        <v>47.3</v>
      </c>
      <c r="G691" s="6">
        <v>12946</v>
      </c>
      <c r="H691" s="6">
        <v>6827</v>
      </c>
      <c r="I691" s="6">
        <v>6119</v>
      </c>
      <c r="J691" t="s">
        <v>200</v>
      </c>
    </row>
    <row r="692" spans="1:10" x14ac:dyDescent="0.35">
      <c r="A692" t="s">
        <v>1051</v>
      </c>
      <c r="B692" t="s">
        <v>1658</v>
      </c>
      <c r="C692" t="s">
        <v>1659</v>
      </c>
      <c r="D692" s="7">
        <v>52.6</v>
      </c>
      <c r="E692">
        <v>52.631175794714672</v>
      </c>
      <c r="F692" s="7">
        <v>47.4</v>
      </c>
      <c r="G692" s="6">
        <v>13055</v>
      </c>
      <c r="H692" s="6">
        <v>6871</v>
      </c>
      <c r="I692" s="6">
        <v>6184</v>
      </c>
      <c r="J692" t="s">
        <v>200</v>
      </c>
    </row>
    <row r="693" spans="1:10" x14ac:dyDescent="0.35">
      <c r="A693" t="s">
        <v>1051</v>
      </c>
      <c r="B693" t="s">
        <v>1660</v>
      </c>
      <c r="C693" t="s">
        <v>1661</v>
      </c>
      <c r="D693" s="7">
        <v>52.6</v>
      </c>
      <c r="E693">
        <v>52.585210860774119</v>
      </c>
      <c r="F693" s="7">
        <v>47.4</v>
      </c>
      <c r="G693" s="6">
        <v>13848</v>
      </c>
      <c r="H693" s="6">
        <v>7282</v>
      </c>
      <c r="I693" s="6">
        <v>6566</v>
      </c>
      <c r="J693" t="s">
        <v>200</v>
      </c>
    </row>
    <row r="694" spans="1:10" x14ac:dyDescent="0.35">
      <c r="A694" t="s">
        <v>1051</v>
      </c>
      <c r="B694" t="s">
        <v>1662</v>
      </c>
      <c r="C694" t="s">
        <v>1663</v>
      </c>
      <c r="D694" s="7">
        <v>52.6</v>
      </c>
      <c r="E694">
        <v>52.564175536456261</v>
      </c>
      <c r="F694" s="7">
        <v>47.4</v>
      </c>
      <c r="G694" s="6">
        <v>17569</v>
      </c>
      <c r="H694" s="6">
        <v>9235</v>
      </c>
      <c r="I694" s="6">
        <v>8334</v>
      </c>
      <c r="J694" t="s">
        <v>200</v>
      </c>
    </row>
    <row r="695" spans="1:10" x14ac:dyDescent="0.35">
      <c r="A695" t="s">
        <v>1051</v>
      </c>
      <c r="B695" t="s">
        <v>1664</v>
      </c>
      <c r="C695" t="s">
        <v>1665</v>
      </c>
      <c r="D695" s="7">
        <v>52.5</v>
      </c>
      <c r="E695">
        <v>52.509136286656563</v>
      </c>
      <c r="F695" s="7">
        <v>47.5</v>
      </c>
      <c r="G695" s="6">
        <v>11219</v>
      </c>
      <c r="H695" s="6">
        <v>5891</v>
      </c>
      <c r="I695" s="6">
        <v>5328</v>
      </c>
      <c r="J695" t="s">
        <v>200</v>
      </c>
    </row>
    <row r="696" spans="1:10" x14ac:dyDescent="0.35">
      <c r="A696" t="s">
        <v>1051</v>
      </c>
      <c r="B696" t="s">
        <v>1666</v>
      </c>
      <c r="C696" t="s">
        <v>1667</v>
      </c>
      <c r="D696" s="7">
        <v>52.5</v>
      </c>
      <c r="E696">
        <v>52.502164502164497</v>
      </c>
      <c r="F696" s="7">
        <v>47.5</v>
      </c>
      <c r="G696" s="6">
        <v>11550</v>
      </c>
      <c r="H696" s="6">
        <v>6064</v>
      </c>
      <c r="I696" s="6">
        <v>5486</v>
      </c>
      <c r="J696" t="s">
        <v>200</v>
      </c>
    </row>
    <row r="697" spans="1:10" x14ac:dyDescent="0.35">
      <c r="A697" t="s">
        <v>1051</v>
      </c>
      <c r="B697" t="s">
        <v>1668</v>
      </c>
      <c r="C697" t="s">
        <v>1669</v>
      </c>
      <c r="D697" s="7">
        <v>52.5</v>
      </c>
      <c r="E697">
        <v>52.46643387596518</v>
      </c>
      <c r="F697" s="7">
        <v>47.5</v>
      </c>
      <c r="G697" s="6">
        <v>20333</v>
      </c>
      <c r="H697" s="6">
        <v>10668</v>
      </c>
      <c r="I697" s="6">
        <v>9665</v>
      </c>
      <c r="J697" t="s">
        <v>200</v>
      </c>
    </row>
    <row r="698" spans="1:10" x14ac:dyDescent="0.35">
      <c r="A698" t="s">
        <v>1051</v>
      </c>
      <c r="B698" t="s">
        <v>1670</v>
      </c>
      <c r="C698" t="s">
        <v>1671</v>
      </c>
      <c r="D698" s="7">
        <v>52.4</v>
      </c>
      <c r="E698">
        <v>52.355734112490872</v>
      </c>
      <c r="F698" s="7">
        <v>47.6</v>
      </c>
      <c r="G698" s="6">
        <v>10952</v>
      </c>
      <c r="H698" s="6">
        <v>5734</v>
      </c>
      <c r="I698" s="6">
        <v>5218</v>
      </c>
      <c r="J698" t="s">
        <v>200</v>
      </c>
    </row>
    <row r="699" spans="1:10" x14ac:dyDescent="0.35">
      <c r="A699" t="s">
        <v>1051</v>
      </c>
      <c r="B699" t="s">
        <v>1672</v>
      </c>
      <c r="C699" t="s">
        <v>1673</v>
      </c>
      <c r="D699" s="7">
        <v>52.3</v>
      </c>
      <c r="E699">
        <v>52.280089708447548</v>
      </c>
      <c r="F699" s="7">
        <v>47.7</v>
      </c>
      <c r="G699" s="6">
        <v>12039</v>
      </c>
      <c r="H699" s="6">
        <v>6294</v>
      </c>
      <c r="I699" s="6">
        <v>5745</v>
      </c>
      <c r="J699" t="s">
        <v>200</v>
      </c>
    </row>
    <row r="700" spans="1:10" x14ac:dyDescent="0.35">
      <c r="A700" t="s">
        <v>1051</v>
      </c>
      <c r="B700" t="s">
        <v>1674</v>
      </c>
      <c r="C700" t="s">
        <v>1675</v>
      </c>
      <c r="D700" s="7">
        <v>52.2</v>
      </c>
      <c r="E700">
        <v>52.203590239707623</v>
      </c>
      <c r="F700" s="7">
        <v>47.8</v>
      </c>
      <c r="G700" s="6">
        <v>18606</v>
      </c>
      <c r="H700" s="6">
        <v>9713</v>
      </c>
      <c r="I700" s="6">
        <v>8893</v>
      </c>
      <c r="J700" t="s">
        <v>200</v>
      </c>
    </row>
    <row r="701" spans="1:10" x14ac:dyDescent="0.35">
      <c r="A701" t="s">
        <v>1051</v>
      </c>
      <c r="B701" t="s">
        <v>1676</v>
      </c>
      <c r="C701" t="s">
        <v>1677</v>
      </c>
      <c r="D701" s="7">
        <v>52.2</v>
      </c>
      <c r="E701">
        <v>52.172577921080922</v>
      </c>
      <c r="F701" s="7">
        <v>47.8</v>
      </c>
      <c r="G701" s="6">
        <v>13026</v>
      </c>
      <c r="H701" s="6">
        <v>6796</v>
      </c>
      <c r="I701" s="6">
        <v>6230</v>
      </c>
      <c r="J701" t="s">
        <v>200</v>
      </c>
    </row>
    <row r="702" spans="1:10" x14ac:dyDescent="0.35">
      <c r="A702" t="s">
        <v>1051</v>
      </c>
      <c r="B702" t="s">
        <v>1678</v>
      </c>
      <c r="C702" t="s">
        <v>1679</v>
      </c>
      <c r="D702" s="7">
        <v>52.1</v>
      </c>
      <c r="E702">
        <v>52.118867592755407</v>
      </c>
      <c r="F702" s="7">
        <v>47.9</v>
      </c>
      <c r="G702" s="6">
        <v>11374</v>
      </c>
      <c r="H702" s="6">
        <v>5928</v>
      </c>
      <c r="I702" s="6">
        <v>5446</v>
      </c>
      <c r="J702" t="s">
        <v>200</v>
      </c>
    </row>
    <row r="703" spans="1:10" x14ac:dyDescent="0.35">
      <c r="A703" t="s">
        <v>1051</v>
      </c>
      <c r="B703" t="s">
        <v>1680</v>
      </c>
      <c r="C703" t="s">
        <v>1681</v>
      </c>
      <c r="D703" s="7">
        <v>52</v>
      </c>
      <c r="E703">
        <v>51.974395571125818</v>
      </c>
      <c r="F703" s="7">
        <v>48</v>
      </c>
      <c r="G703" s="6">
        <v>23121</v>
      </c>
      <c r="H703" s="6">
        <v>12017</v>
      </c>
      <c r="I703" s="6">
        <v>11104</v>
      </c>
      <c r="J703" t="s">
        <v>200</v>
      </c>
    </row>
    <row r="704" spans="1:10" x14ac:dyDescent="0.35">
      <c r="A704" t="s">
        <v>1051</v>
      </c>
      <c r="B704" t="s">
        <v>1682</v>
      </c>
      <c r="C704" t="s">
        <v>1683</v>
      </c>
      <c r="D704" s="7">
        <v>51.7</v>
      </c>
      <c r="E704">
        <v>51.738543608201041</v>
      </c>
      <c r="F704" s="7">
        <v>48.3</v>
      </c>
      <c r="G704" s="6">
        <v>15559</v>
      </c>
      <c r="H704" s="6">
        <v>8050</v>
      </c>
      <c r="I704" s="6">
        <v>7509</v>
      </c>
      <c r="J704" t="s">
        <v>200</v>
      </c>
    </row>
    <row r="705" spans="1:10" x14ac:dyDescent="0.35">
      <c r="A705" t="s">
        <v>1051</v>
      </c>
      <c r="B705" t="s">
        <v>1684</v>
      </c>
      <c r="C705" t="s">
        <v>1685</v>
      </c>
      <c r="D705" s="7">
        <v>51.7</v>
      </c>
      <c r="E705">
        <v>51.725175095604349</v>
      </c>
      <c r="F705" s="7">
        <v>48.3</v>
      </c>
      <c r="G705" s="6">
        <v>23273</v>
      </c>
      <c r="H705" s="6">
        <v>12038</v>
      </c>
      <c r="I705" s="6">
        <v>11235</v>
      </c>
      <c r="J705" t="s">
        <v>200</v>
      </c>
    </row>
    <row r="706" spans="1:10" x14ac:dyDescent="0.35">
      <c r="A706" t="s">
        <v>1051</v>
      </c>
      <c r="B706" t="s">
        <v>1686</v>
      </c>
      <c r="C706" t="s">
        <v>1687</v>
      </c>
      <c r="D706" s="7">
        <v>51.7</v>
      </c>
      <c r="E706">
        <v>51.724137931034477</v>
      </c>
      <c r="F706" s="7">
        <v>48.3</v>
      </c>
      <c r="G706" s="6">
        <v>5307</v>
      </c>
      <c r="H706" s="6">
        <v>2745</v>
      </c>
      <c r="I706" s="6">
        <v>2562</v>
      </c>
      <c r="J706" t="s">
        <v>200</v>
      </c>
    </row>
    <row r="707" spans="1:10" x14ac:dyDescent="0.35">
      <c r="A707" t="s">
        <v>1051</v>
      </c>
      <c r="B707" t="s">
        <v>1688</v>
      </c>
      <c r="C707" t="s">
        <v>1689</v>
      </c>
      <c r="D707" s="7">
        <v>51.7</v>
      </c>
      <c r="E707">
        <v>51.692450854949399</v>
      </c>
      <c r="F707" s="7">
        <v>48.3</v>
      </c>
      <c r="G707" s="6">
        <v>8597</v>
      </c>
      <c r="H707" s="6">
        <v>4444</v>
      </c>
      <c r="I707" s="6">
        <v>4153</v>
      </c>
      <c r="J707" t="s">
        <v>200</v>
      </c>
    </row>
    <row r="708" spans="1:10" x14ac:dyDescent="0.35">
      <c r="A708" t="s">
        <v>1051</v>
      </c>
      <c r="B708" t="s">
        <v>1690</v>
      </c>
      <c r="C708" t="s">
        <v>1691</v>
      </c>
      <c r="D708" s="7">
        <v>51.6</v>
      </c>
      <c r="E708">
        <v>51.580171912363468</v>
      </c>
      <c r="F708" s="7">
        <v>48.4</v>
      </c>
      <c r="G708" s="6">
        <v>15473</v>
      </c>
      <c r="H708" s="6">
        <v>7981</v>
      </c>
      <c r="I708" s="6">
        <v>7492</v>
      </c>
      <c r="J708" t="s">
        <v>200</v>
      </c>
    </row>
    <row r="709" spans="1:10" x14ac:dyDescent="0.35">
      <c r="A709" t="s">
        <v>1051</v>
      </c>
      <c r="B709" t="s">
        <v>1692</v>
      </c>
      <c r="C709" t="s">
        <v>1693</v>
      </c>
      <c r="D709" s="7">
        <v>51.6</v>
      </c>
      <c r="E709">
        <v>51.577744572382883</v>
      </c>
      <c r="F709" s="7">
        <v>48.4</v>
      </c>
      <c r="G709" s="6">
        <v>11377</v>
      </c>
      <c r="H709" s="6">
        <v>5868</v>
      </c>
      <c r="I709" s="6">
        <v>5509</v>
      </c>
      <c r="J709" t="s">
        <v>200</v>
      </c>
    </row>
    <row r="710" spans="1:10" x14ac:dyDescent="0.35">
      <c r="A710" t="s">
        <v>1051</v>
      </c>
      <c r="B710" t="s">
        <v>1694</v>
      </c>
      <c r="C710" t="s">
        <v>1695</v>
      </c>
      <c r="D710" s="7">
        <v>51.6</v>
      </c>
      <c r="E710">
        <v>51.562938436500367</v>
      </c>
      <c r="F710" s="7">
        <v>48.4</v>
      </c>
      <c r="G710" s="6">
        <v>17819</v>
      </c>
      <c r="H710" s="6">
        <v>9188</v>
      </c>
      <c r="I710" s="6">
        <v>8631</v>
      </c>
      <c r="J710" t="s">
        <v>200</v>
      </c>
    </row>
    <row r="711" spans="1:10" x14ac:dyDescent="0.35">
      <c r="A711" t="s">
        <v>1051</v>
      </c>
      <c r="B711" t="s">
        <v>1696</v>
      </c>
      <c r="C711" t="s">
        <v>1697</v>
      </c>
      <c r="D711" s="7">
        <v>51.4</v>
      </c>
      <c r="E711">
        <v>51.428571428571431</v>
      </c>
      <c r="F711" s="7">
        <v>48.6</v>
      </c>
      <c r="G711" s="6">
        <v>10605</v>
      </c>
      <c r="H711" s="6">
        <v>5454</v>
      </c>
      <c r="I711" s="6">
        <v>5151</v>
      </c>
      <c r="J711" t="s">
        <v>200</v>
      </c>
    </row>
    <row r="712" spans="1:10" x14ac:dyDescent="0.35">
      <c r="A712" t="s">
        <v>1051</v>
      </c>
      <c r="B712" t="s">
        <v>1698</v>
      </c>
      <c r="C712" t="s">
        <v>1699</v>
      </c>
      <c r="D712" s="7">
        <v>51.4</v>
      </c>
      <c r="E712">
        <v>51.383007478151193</v>
      </c>
      <c r="F712" s="7">
        <v>48.6</v>
      </c>
      <c r="G712" s="6">
        <v>11099</v>
      </c>
      <c r="H712" s="6">
        <v>5703</v>
      </c>
      <c r="I712" s="6">
        <v>5396</v>
      </c>
      <c r="J712" t="s">
        <v>200</v>
      </c>
    </row>
    <row r="713" spans="1:10" x14ac:dyDescent="0.35">
      <c r="A713" t="s">
        <v>1051</v>
      </c>
      <c r="B713" t="s">
        <v>1700</v>
      </c>
      <c r="C713" t="s">
        <v>1701</v>
      </c>
      <c r="D713" s="7">
        <v>51.4</v>
      </c>
      <c r="E713">
        <v>51.353187634469492</v>
      </c>
      <c r="F713" s="7">
        <v>48.6</v>
      </c>
      <c r="G713" s="6">
        <v>17662</v>
      </c>
      <c r="H713" s="6">
        <v>9070</v>
      </c>
      <c r="I713" s="6">
        <v>8592</v>
      </c>
      <c r="J713" t="s">
        <v>200</v>
      </c>
    </row>
    <row r="714" spans="1:10" x14ac:dyDescent="0.35">
      <c r="A714" t="s">
        <v>1051</v>
      </c>
      <c r="B714" t="s">
        <v>1702</v>
      </c>
      <c r="C714" t="s">
        <v>1703</v>
      </c>
      <c r="D714" s="7">
        <v>51.4</v>
      </c>
      <c r="E714">
        <v>51.352976548406502</v>
      </c>
      <c r="F714" s="7">
        <v>48.6</v>
      </c>
      <c r="G714" s="6">
        <v>13304</v>
      </c>
      <c r="H714" s="6">
        <v>6832</v>
      </c>
      <c r="I714" s="6">
        <v>6472</v>
      </c>
      <c r="J714" t="s">
        <v>200</v>
      </c>
    </row>
    <row r="715" spans="1:10" x14ac:dyDescent="0.35">
      <c r="A715" t="s">
        <v>1051</v>
      </c>
      <c r="B715" t="s">
        <v>1704</v>
      </c>
      <c r="C715" t="s">
        <v>1705</v>
      </c>
      <c r="D715" s="7">
        <v>51.3</v>
      </c>
      <c r="E715">
        <v>51.346781012199543</v>
      </c>
      <c r="F715" s="7">
        <v>48.7</v>
      </c>
      <c r="G715" s="6">
        <v>8279</v>
      </c>
      <c r="H715" s="6">
        <v>4251</v>
      </c>
      <c r="I715" s="6">
        <v>4028</v>
      </c>
      <c r="J715" t="s">
        <v>200</v>
      </c>
    </row>
    <row r="716" spans="1:10" x14ac:dyDescent="0.35">
      <c r="A716" t="s">
        <v>1051</v>
      </c>
      <c r="B716" t="s">
        <v>1706</v>
      </c>
      <c r="C716" t="s">
        <v>1707</v>
      </c>
      <c r="D716" s="7">
        <v>51.3</v>
      </c>
      <c r="E716">
        <v>51.325703385789232</v>
      </c>
      <c r="F716" s="7">
        <v>48.7</v>
      </c>
      <c r="G716" s="6">
        <v>20970</v>
      </c>
      <c r="H716" s="6">
        <v>10763</v>
      </c>
      <c r="I716" s="6">
        <v>10207</v>
      </c>
      <c r="J716" t="s">
        <v>200</v>
      </c>
    </row>
    <row r="717" spans="1:10" x14ac:dyDescent="0.35">
      <c r="A717" t="s">
        <v>1051</v>
      </c>
      <c r="B717" t="s">
        <v>1708</v>
      </c>
      <c r="C717" t="s">
        <v>1709</v>
      </c>
      <c r="D717" s="7">
        <v>51.2</v>
      </c>
      <c r="E717">
        <v>51.231003039513681</v>
      </c>
      <c r="F717" s="7">
        <v>48.8</v>
      </c>
      <c r="G717" s="6">
        <v>13160</v>
      </c>
      <c r="H717" s="6">
        <v>6742</v>
      </c>
      <c r="I717" s="6">
        <v>6418</v>
      </c>
      <c r="J717" t="s">
        <v>200</v>
      </c>
    </row>
    <row r="718" spans="1:10" x14ac:dyDescent="0.35">
      <c r="A718" t="s">
        <v>1051</v>
      </c>
      <c r="B718" t="s">
        <v>1710</v>
      </c>
      <c r="C718" t="s">
        <v>1711</v>
      </c>
      <c r="D718" s="7">
        <v>51.2</v>
      </c>
      <c r="E718">
        <v>51.182295877122073</v>
      </c>
      <c r="F718" s="7">
        <v>48.8</v>
      </c>
      <c r="G718" s="6">
        <v>19792</v>
      </c>
      <c r="H718" s="6">
        <v>10130</v>
      </c>
      <c r="I718" s="6">
        <v>9662</v>
      </c>
      <c r="J718" t="s">
        <v>200</v>
      </c>
    </row>
    <row r="719" spans="1:10" x14ac:dyDescent="0.35">
      <c r="A719" t="s">
        <v>1051</v>
      </c>
      <c r="B719" t="s">
        <v>1712</v>
      </c>
      <c r="C719" t="s">
        <v>1713</v>
      </c>
      <c r="D719" s="7">
        <v>51.2</v>
      </c>
      <c r="E719">
        <v>51.150712830957232</v>
      </c>
      <c r="F719" s="7">
        <v>48.8</v>
      </c>
      <c r="G719" s="6">
        <v>9820</v>
      </c>
      <c r="H719" s="6">
        <v>5023</v>
      </c>
      <c r="I719" s="6">
        <v>4797</v>
      </c>
      <c r="J719" t="s">
        <v>200</v>
      </c>
    </row>
    <row r="720" spans="1:10" x14ac:dyDescent="0.35">
      <c r="A720" t="s">
        <v>1051</v>
      </c>
      <c r="B720" t="s">
        <v>1714</v>
      </c>
      <c r="C720" t="s">
        <v>1715</v>
      </c>
      <c r="D720" s="7">
        <v>51.1</v>
      </c>
      <c r="E720">
        <v>51.148298114640014</v>
      </c>
      <c r="F720" s="7">
        <v>48.9</v>
      </c>
      <c r="G720" s="6">
        <v>31612</v>
      </c>
      <c r="H720" s="6">
        <v>16169</v>
      </c>
      <c r="I720" s="6">
        <v>15443</v>
      </c>
      <c r="J720" t="s">
        <v>200</v>
      </c>
    </row>
    <row r="721" spans="1:10" x14ac:dyDescent="0.35">
      <c r="A721" t="s">
        <v>1051</v>
      </c>
      <c r="B721" t="s">
        <v>1716</v>
      </c>
      <c r="C721" t="s">
        <v>1717</v>
      </c>
      <c r="D721" s="7">
        <v>51.1</v>
      </c>
      <c r="E721">
        <v>51.124243297780339</v>
      </c>
      <c r="F721" s="7">
        <v>48.9</v>
      </c>
      <c r="G721" s="6">
        <v>13876</v>
      </c>
      <c r="H721" s="6">
        <v>7094</v>
      </c>
      <c r="I721" s="6">
        <v>6782</v>
      </c>
      <c r="J721" t="s">
        <v>200</v>
      </c>
    </row>
    <row r="722" spans="1:10" x14ac:dyDescent="0.35">
      <c r="A722" t="s">
        <v>1051</v>
      </c>
      <c r="B722" t="s">
        <v>1718</v>
      </c>
      <c r="C722" t="s">
        <v>1719</v>
      </c>
      <c r="D722" s="7">
        <v>51.1</v>
      </c>
      <c r="E722">
        <v>51.097178683385579</v>
      </c>
      <c r="F722" s="7">
        <v>48.9</v>
      </c>
      <c r="G722" s="6">
        <v>13079</v>
      </c>
      <c r="H722" s="6">
        <v>6683</v>
      </c>
      <c r="I722" s="6">
        <v>6396</v>
      </c>
      <c r="J722" t="s">
        <v>200</v>
      </c>
    </row>
    <row r="723" spans="1:10" x14ac:dyDescent="0.35">
      <c r="A723" t="s">
        <v>1051</v>
      </c>
      <c r="B723" t="s">
        <v>1720</v>
      </c>
      <c r="C723" t="s">
        <v>1721</v>
      </c>
      <c r="D723" s="7">
        <v>51</v>
      </c>
      <c r="E723">
        <v>51.03389250256761</v>
      </c>
      <c r="F723" s="7">
        <v>49</v>
      </c>
      <c r="G723" s="6">
        <v>29210</v>
      </c>
      <c r="H723" s="6">
        <v>14907</v>
      </c>
      <c r="I723" s="6">
        <v>14303</v>
      </c>
      <c r="J723" t="s">
        <v>200</v>
      </c>
    </row>
    <row r="724" spans="1:10" x14ac:dyDescent="0.35">
      <c r="A724" t="s">
        <v>1051</v>
      </c>
      <c r="B724" t="s">
        <v>1722</v>
      </c>
      <c r="C724" t="s">
        <v>1723</v>
      </c>
      <c r="D724" s="7">
        <v>51</v>
      </c>
      <c r="E724">
        <v>51.03081105573176</v>
      </c>
      <c r="F724" s="7">
        <v>49</v>
      </c>
      <c r="G724" s="6">
        <v>8828</v>
      </c>
      <c r="H724" s="6">
        <v>4505</v>
      </c>
      <c r="I724" s="6">
        <v>4323</v>
      </c>
      <c r="J724" t="s">
        <v>200</v>
      </c>
    </row>
    <row r="725" spans="1:10" x14ac:dyDescent="0.35">
      <c r="A725" t="s">
        <v>1051</v>
      </c>
      <c r="B725" t="s">
        <v>1724</v>
      </c>
      <c r="C725" t="s">
        <v>1725</v>
      </c>
      <c r="D725" s="7">
        <v>51</v>
      </c>
      <c r="E725">
        <v>51.021997274673943</v>
      </c>
      <c r="F725" s="7">
        <v>49</v>
      </c>
      <c r="G725" s="6">
        <v>10274</v>
      </c>
      <c r="H725" s="6">
        <v>5242</v>
      </c>
      <c r="I725" s="6">
        <v>5032</v>
      </c>
      <c r="J725" t="s">
        <v>200</v>
      </c>
    </row>
    <row r="726" spans="1:10" x14ac:dyDescent="0.35">
      <c r="A726" t="s">
        <v>1051</v>
      </c>
      <c r="B726" t="s">
        <v>1726</v>
      </c>
      <c r="C726" t="s">
        <v>1727</v>
      </c>
      <c r="D726" s="7">
        <v>50.9</v>
      </c>
      <c r="E726">
        <v>50.903747244673028</v>
      </c>
      <c r="F726" s="7">
        <v>49.1</v>
      </c>
      <c r="G726" s="6">
        <v>6805</v>
      </c>
      <c r="H726" s="6">
        <v>3464</v>
      </c>
      <c r="I726" s="6">
        <v>3341</v>
      </c>
      <c r="J726" t="s">
        <v>200</v>
      </c>
    </row>
    <row r="727" spans="1:10" x14ac:dyDescent="0.35">
      <c r="A727" t="s">
        <v>1051</v>
      </c>
      <c r="B727" t="s">
        <v>1728</v>
      </c>
      <c r="C727" t="s">
        <v>1729</v>
      </c>
      <c r="D727" s="7">
        <v>50.7</v>
      </c>
      <c r="E727">
        <v>50.701324724479569</v>
      </c>
      <c r="F727" s="7">
        <v>49.3</v>
      </c>
      <c r="G727" s="6">
        <v>17966</v>
      </c>
      <c r="H727" s="6">
        <v>9109</v>
      </c>
      <c r="I727" s="6">
        <v>8857</v>
      </c>
      <c r="J727" t="s">
        <v>200</v>
      </c>
    </row>
    <row r="728" spans="1:10" x14ac:dyDescent="0.35">
      <c r="A728" t="s">
        <v>1051</v>
      </c>
      <c r="B728" t="s">
        <v>1730</v>
      </c>
      <c r="C728" t="s">
        <v>1731</v>
      </c>
      <c r="D728" s="7">
        <v>50.7</v>
      </c>
      <c r="E728">
        <v>50.690149343792427</v>
      </c>
      <c r="F728" s="7">
        <v>49.3</v>
      </c>
      <c r="G728" s="6">
        <v>26516</v>
      </c>
      <c r="H728" s="6">
        <v>13441</v>
      </c>
      <c r="I728" s="6">
        <v>13075</v>
      </c>
      <c r="J728" t="s">
        <v>200</v>
      </c>
    </row>
    <row r="729" spans="1:10" x14ac:dyDescent="0.35">
      <c r="A729" t="s">
        <v>1051</v>
      </c>
      <c r="B729" t="s">
        <v>1732</v>
      </c>
      <c r="C729" t="s">
        <v>1733</v>
      </c>
      <c r="D729" s="7">
        <v>50.6</v>
      </c>
      <c r="E729">
        <v>50.584056287997811</v>
      </c>
      <c r="F729" s="7">
        <v>49.4</v>
      </c>
      <c r="G729" s="6">
        <v>14639</v>
      </c>
      <c r="H729" s="6">
        <v>7405</v>
      </c>
      <c r="I729" s="6">
        <v>7234</v>
      </c>
      <c r="J729" t="s">
        <v>200</v>
      </c>
    </row>
    <row r="730" spans="1:10" x14ac:dyDescent="0.35">
      <c r="A730" t="s">
        <v>1051</v>
      </c>
      <c r="B730" t="s">
        <v>1734</v>
      </c>
      <c r="C730" t="s">
        <v>1735</v>
      </c>
      <c r="D730" s="7">
        <v>50.6</v>
      </c>
      <c r="E730">
        <v>50.559284116331099</v>
      </c>
      <c r="F730" s="7">
        <v>49.4</v>
      </c>
      <c r="G730" s="6">
        <v>14304</v>
      </c>
      <c r="H730" s="6">
        <v>7232</v>
      </c>
      <c r="I730" s="6">
        <v>7072</v>
      </c>
      <c r="J730" t="s">
        <v>200</v>
      </c>
    </row>
    <row r="731" spans="1:10" x14ac:dyDescent="0.35">
      <c r="A731" t="s">
        <v>1051</v>
      </c>
      <c r="B731" t="s">
        <v>1736</v>
      </c>
      <c r="C731" t="s">
        <v>1737</v>
      </c>
      <c r="D731" s="7">
        <v>50.5</v>
      </c>
      <c r="E731">
        <v>50.472166998011929</v>
      </c>
      <c r="F731" s="7">
        <v>49.5</v>
      </c>
      <c r="G731" s="6">
        <v>8048</v>
      </c>
      <c r="H731" s="6">
        <v>4062</v>
      </c>
      <c r="I731" s="6">
        <v>3986</v>
      </c>
      <c r="J731" t="s">
        <v>200</v>
      </c>
    </row>
    <row r="732" spans="1:10" x14ac:dyDescent="0.35">
      <c r="A732" t="s">
        <v>1051</v>
      </c>
      <c r="B732" t="s">
        <v>1738</v>
      </c>
      <c r="C732" t="s">
        <v>1739</v>
      </c>
      <c r="D732" s="7">
        <v>50.4</v>
      </c>
      <c r="E732">
        <v>50.368952422118618</v>
      </c>
      <c r="F732" s="7">
        <v>49.6</v>
      </c>
      <c r="G732" s="6">
        <v>32389</v>
      </c>
      <c r="H732" s="6">
        <v>16314</v>
      </c>
      <c r="I732" s="6">
        <v>16075</v>
      </c>
      <c r="J732" t="s">
        <v>200</v>
      </c>
    </row>
    <row r="733" spans="1:10" x14ac:dyDescent="0.35">
      <c r="A733" t="s">
        <v>1051</v>
      </c>
      <c r="B733" t="s">
        <v>1740</v>
      </c>
      <c r="C733" t="s">
        <v>1741</v>
      </c>
      <c r="D733" s="7">
        <v>50.3</v>
      </c>
      <c r="E733">
        <v>50.344966173219909</v>
      </c>
      <c r="F733" s="7">
        <v>49.7</v>
      </c>
      <c r="G733" s="6">
        <v>14929</v>
      </c>
      <c r="H733" s="6">
        <v>7516</v>
      </c>
      <c r="I733" s="6">
        <v>7413</v>
      </c>
      <c r="J733" t="s">
        <v>200</v>
      </c>
    </row>
    <row r="734" spans="1:10" x14ac:dyDescent="0.35">
      <c r="A734" t="s">
        <v>1051</v>
      </c>
      <c r="B734" t="s">
        <v>1742</v>
      </c>
      <c r="C734" t="s">
        <v>1743</v>
      </c>
      <c r="D734" s="7">
        <v>50.2</v>
      </c>
      <c r="E734">
        <v>50.238189757840424</v>
      </c>
      <c r="F734" s="7">
        <v>49.8</v>
      </c>
      <c r="G734" s="6">
        <v>25190</v>
      </c>
      <c r="H734" s="6">
        <v>12655</v>
      </c>
      <c r="I734" s="6">
        <v>12535</v>
      </c>
      <c r="J734" t="s">
        <v>200</v>
      </c>
    </row>
    <row r="735" spans="1:10" x14ac:dyDescent="0.35">
      <c r="A735" t="s">
        <v>1051</v>
      </c>
      <c r="B735" t="s">
        <v>1744</v>
      </c>
      <c r="C735" t="s">
        <v>1745</v>
      </c>
      <c r="D735" s="7">
        <v>50.2</v>
      </c>
      <c r="E735">
        <v>50.174596246180712</v>
      </c>
      <c r="F735" s="7">
        <v>49.8</v>
      </c>
      <c r="G735" s="6">
        <v>13746</v>
      </c>
      <c r="H735" s="6">
        <v>6897</v>
      </c>
      <c r="I735" s="6">
        <v>6849</v>
      </c>
      <c r="J735" t="s">
        <v>200</v>
      </c>
    </row>
    <row r="736" spans="1:10" x14ac:dyDescent="0.35">
      <c r="A736" t="s">
        <v>1051</v>
      </c>
      <c r="B736" t="s">
        <v>1746</v>
      </c>
      <c r="C736" t="s">
        <v>1747</v>
      </c>
      <c r="D736" s="7">
        <v>50.2</v>
      </c>
      <c r="E736">
        <v>50.167817111012603</v>
      </c>
      <c r="F736" s="7">
        <v>49.8</v>
      </c>
      <c r="G736" s="6">
        <v>15791</v>
      </c>
      <c r="H736" s="6">
        <v>7922</v>
      </c>
      <c r="I736" s="6">
        <v>7869</v>
      </c>
      <c r="J736" t="s">
        <v>200</v>
      </c>
    </row>
    <row r="737" spans="1:10" x14ac:dyDescent="0.35">
      <c r="A737" t="s">
        <v>1051</v>
      </c>
      <c r="B737" t="s">
        <v>1748</v>
      </c>
      <c r="C737" t="s">
        <v>1749</v>
      </c>
      <c r="D737" s="7">
        <v>50</v>
      </c>
      <c r="E737">
        <v>50.046965996618447</v>
      </c>
      <c r="F737" s="7">
        <v>50</v>
      </c>
      <c r="G737" s="6">
        <v>15969</v>
      </c>
      <c r="H737" s="6">
        <v>7992</v>
      </c>
      <c r="I737" s="6">
        <v>7977</v>
      </c>
      <c r="J737" t="s">
        <v>200</v>
      </c>
    </row>
    <row r="738" spans="1:10" x14ac:dyDescent="0.35">
      <c r="A738" t="s">
        <v>1051</v>
      </c>
      <c r="B738" t="s">
        <v>1750</v>
      </c>
      <c r="C738" t="s">
        <v>1751</v>
      </c>
      <c r="D738" s="7">
        <v>50</v>
      </c>
      <c r="E738">
        <v>49.996690276030982</v>
      </c>
      <c r="F738" s="7">
        <v>50</v>
      </c>
      <c r="G738" s="6">
        <v>15107</v>
      </c>
      <c r="H738" s="6">
        <v>7553</v>
      </c>
      <c r="I738" s="6">
        <v>7554</v>
      </c>
      <c r="J738" t="s">
        <v>200</v>
      </c>
    </row>
    <row r="739" spans="1:10" x14ac:dyDescent="0.35">
      <c r="A739" t="s">
        <v>1051</v>
      </c>
      <c r="B739" t="s">
        <v>1752</v>
      </c>
      <c r="C739" t="s">
        <v>1753</v>
      </c>
      <c r="D739" s="7">
        <v>49.9</v>
      </c>
      <c r="E739">
        <v>49.918636519355942</v>
      </c>
      <c r="F739" s="7">
        <v>50.1</v>
      </c>
      <c r="G739" s="6">
        <v>23352</v>
      </c>
      <c r="H739" s="6">
        <v>11657</v>
      </c>
      <c r="I739" s="6">
        <v>11695</v>
      </c>
      <c r="J739" t="s">
        <v>200</v>
      </c>
    </row>
    <row r="740" spans="1:10" x14ac:dyDescent="0.35">
      <c r="A740" t="s">
        <v>1051</v>
      </c>
      <c r="B740" t="s">
        <v>1754</v>
      </c>
      <c r="C740" t="s">
        <v>1755</v>
      </c>
      <c r="D740" s="7">
        <v>49.9</v>
      </c>
      <c r="E740">
        <v>49.868766404199476</v>
      </c>
      <c r="F740" s="7">
        <v>50.1</v>
      </c>
      <c r="G740" s="6">
        <v>11049</v>
      </c>
      <c r="H740" s="6">
        <v>5510</v>
      </c>
      <c r="I740" s="6">
        <v>5539</v>
      </c>
      <c r="J740" t="s">
        <v>200</v>
      </c>
    </row>
    <row r="741" spans="1:10" x14ac:dyDescent="0.35">
      <c r="A741" t="s">
        <v>1051</v>
      </c>
      <c r="B741" t="s">
        <v>1756</v>
      </c>
      <c r="C741" t="s">
        <v>1757</v>
      </c>
      <c r="D741" s="7">
        <v>49.9</v>
      </c>
      <c r="E741">
        <v>49.86768111147866</v>
      </c>
      <c r="F741" s="7">
        <v>50.1</v>
      </c>
      <c r="G741" s="6">
        <v>18138</v>
      </c>
      <c r="H741" s="6">
        <v>9045</v>
      </c>
      <c r="I741" s="6">
        <v>9093</v>
      </c>
      <c r="J741" t="s">
        <v>200</v>
      </c>
    </row>
    <row r="742" spans="1:10" x14ac:dyDescent="0.35">
      <c r="A742" t="s">
        <v>1051</v>
      </c>
      <c r="B742" t="s">
        <v>1758</v>
      </c>
      <c r="C742" t="s">
        <v>1759</v>
      </c>
      <c r="D742" s="7">
        <v>49.8</v>
      </c>
      <c r="E742">
        <v>49.760085303003379</v>
      </c>
      <c r="F742" s="7">
        <v>50.2</v>
      </c>
      <c r="G742" s="6">
        <v>5627</v>
      </c>
      <c r="H742" s="6">
        <v>2800</v>
      </c>
      <c r="I742" s="6">
        <v>2827</v>
      </c>
      <c r="J742" t="s">
        <v>200</v>
      </c>
    </row>
    <row r="743" spans="1:10" x14ac:dyDescent="0.35">
      <c r="A743" t="s">
        <v>1051</v>
      </c>
      <c r="B743" t="s">
        <v>1760</v>
      </c>
      <c r="C743" t="s">
        <v>1761</v>
      </c>
      <c r="D743" s="7">
        <v>49.7</v>
      </c>
      <c r="E743">
        <v>49.738016689307202</v>
      </c>
      <c r="F743" s="7">
        <v>50.3</v>
      </c>
      <c r="G743" s="6">
        <v>10306</v>
      </c>
      <c r="H743" s="6">
        <v>5126</v>
      </c>
      <c r="I743" s="6">
        <v>5180</v>
      </c>
      <c r="J743" t="s">
        <v>200</v>
      </c>
    </row>
    <row r="744" spans="1:10" x14ac:dyDescent="0.35">
      <c r="A744" t="s">
        <v>1051</v>
      </c>
      <c r="B744" t="s">
        <v>1762</v>
      </c>
      <c r="C744" t="s">
        <v>1763</v>
      </c>
      <c r="D744" s="7">
        <v>49.7</v>
      </c>
      <c r="E744">
        <v>49.68489341983318</v>
      </c>
      <c r="F744" s="7">
        <v>50.3</v>
      </c>
      <c r="G744" s="6">
        <v>21580</v>
      </c>
      <c r="H744" s="6">
        <v>10722</v>
      </c>
      <c r="I744" s="6">
        <v>10858</v>
      </c>
      <c r="J744" t="s">
        <v>200</v>
      </c>
    </row>
    <row r="745" spans="1:10" x14ac:dyDescent="0.35">
      <c r="A745" t="s">
        <v>1051</v>
      </c>
      <c r="B745" t="s">
        <v>1764</v>
      </c>
      <c r="C745" t="s">
        <v>1765</v>
      </c>
      <c r="D745" s="7">
        <v>49.6</v>
      </c>
      <c r="E745">
        <v>49.648814749780513</v>
      </c>
      <c r="F745" s="7">
        <v>50.4</v>
      </c>
      <c r="G745" s="6">
        <v>13668</v>
      </c>
      <c r="H745" s="6">
        <v>6786</v>
      </c>
      <c r="I745" s="6">
        <v>6882</v>
      </c>
      <c r="J745" t="s">
        <v>200</v>
      </c>
    </row>
    <row r="746" spans="1:10" x14ac:dyDescent="0.35">
      <c r="A746" t="s">
        <v>1051</v>
      </c>
      <c r="B746" t="s">
        <v>1766</v>
      </c>
      <c r="C746" t="s">
        <v>1767</v>
      </c>
      <c r="D746" s="7">
        <v>49.6</v>
      </c>
      <c r="E746">
        <v>49.618617683686168</v>
      </c>
      <c r="F746" s="7">
        <v>50.4</v>
      </c>
      <c r="G746" s="6">
        <v>12848</v>
      </c>
      <c r="H746" s="6">
        <v>6375</v>
      </c>
      <c r="I746" s="6">
        <v>6473</v>
      </c>
      <c r="J746" t="s">
        <v>200</v>
      </c>
    </row>
    <row r="747" spans="1:10" x14ac:dyDescent="0.35">
      <c r="A747" t="s">
        <v>1051</v>
      </c>
      <c r="B747" t="s">
        <v>1768</v>
      </c>
      <c r="C747" t="s">
        <v>1769</v>
      </c>
      <c r="D747" s="7">
        <v>49.6</v>
      </c>
      <c r="E747">
        <v>49.564075002985788</v>
      </c>
      <c r="F747" s="7">
        <v>50.4</v>
      </c>
      <c r="G747" s="6">
        <v>16746</v>
      </c>
      <c r="H747" s="6">
        <v>8300</v>
      </c>
      <c r="I747" s="6">
        <v>8446</v>
      </c>
      <c r="J747" t="s">
        <v>200</v>
      </c>
    </row>
    <row r="748" spans="1:10" x14ac:dyDescent="0.35">
      <c r="A748" t="s">
        <v>1051</v>
      </c>
      <c r="B748" t="s">
        <v>1770</v>
      </c>
      <c r="C748" t="s">
        <v>1771</v>
      </c>
      <c r="D748" s="7">
        <v>49.5</v>
      </c>
      <c r="E748">
        <v>49.539193340600526</v>
      </c>
      <c r="F748" s="7">
        <v>50.5</v>
      </c>
      <c r="G748" s="6">
        <v>40364</v>
      </c>
      <c r="H748" s="6">
        <v>19996</v>
      </c>
      <c r="I748" s="6">
        <v>20368</v>
      </c>
      <c r="J748" t="s">
        <v>200</v>
      </c>
    </row>
    <row r="749" spans="1:10" x14ac:dyDescent="0.35">
      <c r="A749" t="s">
        <v>1051</v>
      </c>
      <c r="B749" t="s">
        <v>1772</v>
      </c>
      <c r="C749" t="s">
        <v>1773</v>
      </c>
      <c r="D749" s="7">
        <v>49.3</v>
      </c>
      <c r="E749">
        <v>49.338577046835887</v>
      </c>
      <c r="F749" s="7">
        <v>50.7</v>
      </c>
      <c r="G749" s="6">
        <v>11188</v>
      </c>
      <c r="H749" s="6">
        <v>5520</v>
      </c>
      <c r="I749" s="6">
        <v>5668</v>
      </c>
      <c r="J749" t="s">
        <v>200</v>
      </c>
    </row>
    <row r="750" spans="1:10" x14ac:dyDescent="0.35">
      <c r="A750" t="s">
        <v>1051</v>
      </c>
      <c r="B750" t="s">
        <v>1774</v>
      </c>
      <c r="C750" t="s">
        <v>1775</v>
      </c>
      <c r="D750" s="7">
        <v>49.3</v>
      </c>
      <c r="E750">
        <v>49.334558823529413</v>
      </c>
      <c r="F750" s="7">
        <v>50.7</v>
      </c>
      <c r="G750" s="6">
        <v>27200</v>
      </c>
      <c r="H750" s="6">
        <v>13419</v>
      </c>
      <c r="I750" s="6">
        <v>13781</v>
      </c>
      <c r="J750" t="s">
        <v>200</v>
      </c>
    </row>
    <row r="751" spans="1:10" x14ac:dyDescent="0.35">
      <c r="A751" t="s">
        <v>1051</v>
      </c>
      <c r="B751" t="s">
        <v>1776</v>
      </c>
      <c r="C751" t="s">
        <v>1777</v>
      </c>
      <c r="D751" s="7">
        <v>49.3</v>
      </c>
      <c r="E751">
        <v>49.32485408136597</v>
      </c>
      <c r="F751" s="7">
        <v>50.7</v>
      </c>
      <c r="G751" s="6">
        <v>11479</v>
      </c>
      <c r="H751" s="6">
        <v>5662</v>
      </c>
      <c r="I751" s="6">
        <v>5817</v>
      </c>
      <c r="J751" t="s">
        <v>200</v>
      </c>
    </row>
    <row r="752" spans="1:10" x14ac:dyDescent="0.35">
      <c r="A752" t="s">
        <v>1051</v>
      </c>
      <c r="B752" t="s">
        <v>1778</v>
      </c>
      <c r="C752" t="s">
        <v>1779</v>
      </c>
      <c r="D752" s="7">
        <v>49.3</v>
      </c>
      <c r="E752">
        <v>49.272633920931028</v>
      </c>
      <c r="F752" s="7">
        <v>50.7</v>
      </c>
      <c r="G752" s="6">
        <v>11686</v>
      </c>
      <c r="H752" s="6">
        <v>5758</v>
      </c>
      <c r="I752" s="6">
        <v>5928</v>
      </c>
      <c r="J752" t="s">
        <v>200</v>
      </c>
    </row>
    <row r="753" spans="1:10" x14ac:dyDescent="0.35">
      <c r="A753" t="s">
        <v>1051</v>
      </c>
      <c r="B753" t="s">
        <v>1780</v>
      </c>
      <c r="C753" t="s">
        <v>1781</v>
      </c>
      <c r="D753" s="7">
        <v>49.2</v>
      </c>
      <c r="E753">
        <v>49.23740563857649</v>
      </c>
      <c r="F753" s="7">
        <v>50.8</v>
      </c>
      <c r="G753" s="6">
        <v>19473</v>
      </c>
      <c r="H753" s="6">
        <v>9588</v>
      </c>
      <c r="I753" s="6">
        <v>9885</v>
      </c>
      <c r="J753" t="s">
        <v>200</v>
      </c>
    </row>
    <row r="754" spans="1:10" x14ac:dyDescent="0.35">
      <c r="A754" t="s">
        <v>1051</v>
      </c>
      <c r="B754" t="s">
        <v>1782</v>
      </c>
      <c r="C754" t="s">
        <v>1783</v>
      </c>
      <c r="D754" s="7">
        <v>49.1</v>
      </c>
      <c r="E754">
        <v>49.116531165311663</v>
      </c>
      <c r="F754" s="7">
        <v>50.9</v>
      </c>
      <c r="G754" s="6">
        <v>18450</v>
      </c>
      <c r="H754" s="6">
        <v>9062</v>
      </c>
      <c r="I754" s="6">
        <v>9388</v>
      </c>
      <c r="J754" t="s">
        <v>200</v>
      </c>
    </row>
    <row r="755" spans="1:10" x14ac:dyDescent="0.35">
      <c r="A755" t="s">
        <v>1051</v>
      </c>
      <c r="B755" t="s">
        <v>1784</v>
      </c>
      <c r="C755" t="s">
        <v>1785</v>
      </c>
      <c r="D755" s="7">
        <v>49</v>
      </c>
      <c r="E755">
        <v>49.02097902097902</v>
      </c>
      <c r="F755" s="7">
        <v>51</v>
      </c>
      <c r="G755" s="6">
        <v>8580</v>
      </c>
      <c r="H755" s="6">
        <v>4206</v>
      </c>
      <c r="I755" s="6">
        <v>4374</v>
      </c>
      <c r="J755" t="s">
        <v>200</v>
      </c>
    </row>
    <row r="756" spans="1:10" x14ac:dyDescent="0.35">
      <c r="A756" t="s">
        <v>1051</v>
      </c>
      <c r="B756" t="s">
        <v>1786</v>
      </c>
      <c r="C756" t="s">
        <v>1787</v>
      </c>
      <c r="D756" s="7">
        <v>49</v>
      </c>
      <c r="E756">
        <v>48.98950131233596</v>
      </c>
      <c r="F756" s="7">
        <v>51</v>
      </c>
      <c r="G756" s="6">
        <v>15240</v>
      </c>
      <c r="H756" s="6">
        <v>7466</v>
      </c>
      <c r="I756" s="6">
        <v>7774</v>
      </c>
      <c r="J756" t="s">
        <v>200</v>
      </c>
    </row>
    <row r="757" spans="1:10" x14ac:dyDescent="0.35">
      <c r="A757" t="s">
        <v>1051</v>
      </c>
      <c r="B757" t="s">
        <v>1788</v>
      </c>
      <c r="C757" t="s">
        <v>1789</v>
      </c>
      <c r="D757" s="7">
        <v>48.8</v>
      </c>
      <c r="E757">
        <v>48.821712985535513</v>
      </c>
      <c r="F757" s="7">
        <v>51.2</v>
      </c>
      <c r="G757" s="6">
        <v>6153</v>
      </c>
      <c r="H757" s="6">
        <v>3004</v>
      </c>
      <c r="I757" s="6">
        <v>3149</v>
      </c>
      <c r="J757" t="s">
        <v>200</v>
      </c>
    </row>
    <row r="758" spans="1:10" x14ac:dyDescent="0.35">
      <c r="A758" t="s">
        <v>1051</v>
      </c>
      <c r="B758" t="s">
        <v>1790</v>
      </c>
      <c r="C758" t="s">
        <v>1791</v>
      </c>
      <c r="D758" s="7">
        <v>48.7</v>
      </c>
      <c r="E758">
        <v>48.671411625148281</v>
      </c>
      <c r="F758" s="7">
        <v>51.3</v>
      </c>
      <c r="G758" s="6">
        <v>8430</v>
      </c>
      <c r="H758" s="6">
        <v>4103</v>
      </c>
      <c r="I758" s="6">
        <v>4327</v>
      </c>
      <c r="J758" t="s">
        <v>200</v>
      </c>
    </row>
    <row r="759" spans="1:10" x14ac:dyDescent="0.35">
      <c r="A759" t="s">
        <v>1051</v>
      </c>
      <c r="B759" t="s">
        <v>1792</v>
      </c>
      <c r="C759" t="s">
        <v>1793</v>
      </c>
      <c r="D759" s="7">
        <v>48.7</v>
      </c>
      <c r="E759">
        <v>48.658025661167848</v>
      </c>
      <c r="F759" s="7">
        <v>51.3</v>
      </c>
      <c r="G759" s="6">
        <v>15276</v>
      </c>
      <c r="H759" s="6">
        <v>7433</v>
      </c>
      <c r="I759" s="6">
        <v>7843</v>
      </c>
      <c r="J759" t="s">
        <v>200</v>
      </c>
    </row>
    <row r="760" spans="1:10" x14ac:dyDescent="0.35">
      <c r="A760" t="s">
        <v>1051</v>
      </c>
      <c r="B760" t="s">
        <v>1794</v>
      </c>
      <c r="C760" t="s">
        <v>1795</v>
      </c>
      <c r="D760" s="7">
        <v>48.6</v>
      </c>
      <c r="E760">
        <v>48.612431096749667</v>
      </c>
      <c r="F760" s="7">
        <v>51.4</v>
      </c>
      <c r="G760" s="6">
        <v>21044</v>
      </c>
      <c r="H760" s="6">
        <v>10230</v>
      </c>
      <c r="I760" s="6">
        <v>10814</v>
      </c>
      <c r="J760" t="s">
        <v>200</v>
      </c>
    </row>
    <row r="761" spans="1:10" x14ac:dyDescent="0.35">
      <c r="A761" t="s">
        <v>1051</v>
      </c>
      <c r="B761" t="s">
        <v>1796</v>
      </c>
      <c r="C761" t="s">
        <v>1797</v>
      </c>
      <c r="D761" s="7">
        <v>48.6</v>
      </c>
      <c r="E761">
        <v>48.610543522680842</v>
      </c>
      <c r="F761" s="7">
        <v>51.4</v>
      </c>
      <c r="G761" s="6">
        <v>4894</v>
      </c>
      <c r="H761" s="6">
        <v>2379</v>
      </c>
      <c r="I761" s="6">
        <v>2515</v>
      </c>
      <c r="J761" t="s">
        <v>200</v>
      </c>
    </row>
    <row r="762" spans="1:10" x14ac:dyDescent="0.35">
      <c r="A762" t="s">
        <v>1051</v>
      </c>
      <c r="B762" t="s">
        <v>1798</v>
      </c>
      <c r="C762" t="s">
        <v>1799</v>
      </c>
      <c r="D762" s="7">
        <v>48.6</v>
      </c>
      <c r="E762">
        <v>48.595097788026301</v>
      </c>
      <c r="F762" s="7">
        <v>51.4</v>
      </c>
      <c r="G762" s="6">
        <v>46836</v>
      </c>
      <c r="H762" s="6">
        <v>22760</v>
      </c>
      <c r="I762" s="6">
        <v>24076</v>
      </c>
      <c r="J762" t="s">
        <v>200</v>
      </c>
    </row>
    <row r="763" spans="1:10" x14ac:dyDescent="0.35">
      <c r="A763" t="s">
        <v>1051</v>
      </c>
      <c r="B763" t="s">
        <v>1800</v>
      </c>
      <c r="C763" t="s">
        <v>1801</v>
      </c>
      <c r="D763" s="7">
        <v>48.6</v>
      </c>
      <c r="E763">
        <v>48.588013247391473</v>
      </c>
      <c r="F763" s="7">
        <v>51.4</v>
      </c>
      <c r="G763" s="6">
        <v>28081</v>
      </c>
      <c r="H763" s="6">
        <v>13644</v>
      </c>
      <c r="I763" s="6">
        <v>14437</v>
      </c>
      <c r="J763" t="s">
        <v>200</v>
      </c>
    </row>
    <row r="764" spans="1:10" x14ac:dyDescent="0.35">
      <c r="A764" t="s">
        <v>1051</v>
      </c>
      <c r="B764" t="s">
        <v>1802</v>
      </c>
      <c r="C764" t="s">
        <v>1803</v>
      </c>
      <c r="D764" s="7">
        <v>48.5</v>
      </c>
      <c r="E764">
        <v>48.490488006617042</v>
      </c>
      <c r="F764" s="7">
        <v>51.5</v>
      </c>
      <c r="G764" s="6">
        <v>19344</v>
      </c>
      <c r="H764" s="6">
        <v>9380</v>
      </c>
      <c r="I764" s="6">
        <v>9964</v>
      </c>
      <c r="J764" t="s">
        <v>200</v>
      </c>
    </row>
    <row r="765" spans="1:10" x14ac:dyDescent="0.35">
      <c r="A765" t="s">
        <v>1051</v>
      </c>
      <c r="B765" t="s">
        <v>1804</v>
      </c>
      <c r="C765" t="s">
        <v>1805</v>
      </c>
      <c r="D765" s="7">
        <v>48.5</v>
      </c>
      <c r="E765">
        <v>48.485702211579103</v>
      </c>
      <c r="F765" s="7">
        <v>51.5</v>
      </c>
      <c r="G765" s="6">
        <v>28396</v>
      </c>
      <c r="H765" s="6">
        <v>13768</v>
      </c>
      <c r="I765" s="6">
        <v>14628</v>
      </c>
      <c r="J765" t="s">
        <v>200</v>
      </c>
    </row>
    <row r="766" spans="1:10" x14ac:dyDescent="0.35">
      <c r="A766" t="s">
        <v>1051</v>
      </c>
      <c r="B766" t="s">
        <v>1806</v>
      </c>
      <c r="C766" t="s">
        <v>1807</v>
      </c>
      <c r="D766" s="7">
        <v>48.5</v>
      </c>
      <c r="E766">
        <v>48.471579643093193</v>
      </c>
      <c r="F766" s="7">
        <v>51.5</v>
      </c>
      <c r="G766" s="6">
        <v>24208</v>
      </c>
      <c r="H766" s="6">
        <v>11734</v>
      </c>
      <c r="I766" s="6">
        <v>12474</v>
      </c>
      <c r="J766" t="s">
        <v>200</v>
      </c>
    </row>
    <row r="767" spans="1:10" x14ac:dyDescent="0.35">
      <c r="A767" t="s">
        <v>1051</v>
      </c>
      <c r="B767" t="s">
        <v>1808</v>
      </c>
      <c r="C767" t="s">
        <v>1809</v>
      </c>
      <c r="D767" s="7">
        <v>48.4</v>
      </c>
      <c r="E767">
        <v>48.416047425948413</v>
      </c>
      <c r="F767" s="7">
        <v>51.6</v>
      </c>
      <c r="G767" s="6">
        <v>48581</v>
      </c>
      <c r="H767" s="6">
        <v>23521</v>
      </c>
      <c r="I767" s="6">
        <v>25060</v>
      </c>
      <c r="J767" t="s">
        <v>200</v>
      </c>
    </row>
    <row r="768" spans="1:10" x14ac:dyDescent="0.35">
      <c r="A768" t="s">
        <v>1051</v>
      </c>
      <c r="B768" t="s">
        <v>1810</v>
      </c>
      <c r="C768" t="s">
        <v>1811</v>
      </c>
      <c r="D768" s="7">
        <v>48.4</v>
      </c>
      <c r="E768">
        <v>48.411852483479002</v>
      </c>
      <c r="F768" s="7">
        <v>51.6</v>
      </c>
      <c r="G768" s="6">
        <v>9382</v>
      </c>
      <c r="H768" s="6">
        <v>4542</v>
      </c>
      <c r="I768" s="6">
        <v>4840</v>
      </c>
      <c r="J768" t="s">
        <v>200</v>
      </c>
    </row>
    <row r="769" spans="1:10" x14ac:dyDescent="0.35">
      <c r="A769" t="s">
        <v>1051</v>
      </c>
      <c r="B769" t="s">
        <v>1812</v>
      </c>
      <c r="C769" t="s">
        <v>1813</v>
      </c>
      <c r="D769" s="7">
        <v>48.4</v>
      </c>
      <c r="E769">
        <v>48.401179060482818</v>
      </c>
      <c r="F769" s="7">
        <v>51.6</v>
      </c>
      <c r="G769" s="6">
        <v>26801</v>
      </c>
      <c r="H769" s="6">
        <v>12972</v>
      </c>
      <c r="I769" s="6">
        <v>13829</v>
      </c>
      <c r="J769" t="s">
        <v>200</v>
      </c>
    </row>
    <row r="770" spans="1:10" x14ac:dyDescent="0.35">
      <c r="A770" t="s">
        <v>1051</v>
      </c>
      <c r="B770" t="s">
        <v>1814</v>
      </c>
      <c r="C770" t="s">
        <v>1815</v>
      </c>
      <c r="D770" s="7">
        <v>48.4</v>
      </c>
      <c r="E770">
        <v>48.399007324011862</v>
      </c>
      <c r="F770" s="7">
        <v>51.6</v>
      </c>
      <c r="G770" s="6">
        <v>16521</v>
      </c>
      <c r="H770" s="6">
        <v>7996</v>
      </c>
      <c r="I770" s="6">
        <v>8525</v>
      </c>
      <c r="J770" t="s">
        <v>200</v>
      </c>
    </row>
    <row r="771" spans="1:10" x14ac:dyDescent="0.35">
      <c r="A771" t="s">
        <v>1051</v>
      </c>
      <c r="B771" t="s">
        <v>1816</v>
      </c>
      <c r="C771" t="s">
        <v>1817</v>
      </c>
      <c r="D771" s="7">
        <v>48.4</v>
      </c>
      <c r="E771">
        <v>48.381308994461349</v>
      </c>
      <c r="F771" s="7">
        <v>51.6</v>
      </c>
      <c r="G771" s="6">
        <v>12819</v>
      </c>
      <c r="H771" s="6">
        <v>6202</v>
      </c>
      <c r="I771" s="6">
        <v>6617</v>
      </c>
      <c r="J771" t="s">
        <v>200</v>
      </c>
    </row>
    <row r="772" spans="1:10" x14ac:dyDescent="0.35">
      <c r="A772" t="s">
        <v>1051</v>
      </c>
      <c r="B772" t="s">
        <v>1818</v>
      </c>
      <c r="C772" t="s">
        <v>1819</v>
      </c>
      <c r="D772" s="7">
        <v>48.4</v>
      </c>
      <c r="E772">
        <v>48.373052245646193</v>
      </c>
      <c r="F772" s="7">
        <v>51.6</v>
      </c>
      <c r="G772" s="6">
        <v>13092</v>
      </c>
      <c r="H772" s="6">
        <v>6333</v>
      </c>
      <c r="I772" s="6">
        <v>6759</v>
      </c>
      <c r="J772" t="s">
        <v>200</v>
      </c>
    </row>
    <row r="773" spans="1:10" x14ac:dyDescent="0.35">
      <c r="A773" t="s">
        <v>1051</v>
      </c>
      <c r="B773" t="s">
        <v>1820</v>
      </c>
      <c r="C773" t="s">
        <v>1821</v>
      </c>
      <c r="D773" s="7">
        <v>48.3</v>
      </c>
      <c r="E773">
        <v>48.286041105494263</v>
      </c>
      <c r="F773" s="7">
        <v>51.7</v>
      </c>
      <c r="G773" s="6">
        <v>27101</v>
      </c>
      <c r="H773" s="6">
        <v>13086</v>
      </c>
      <c r="I773" s="6">
        <v>14015</v>
      </c>
      <c r="J773" t="s">
        <v>200</v>
      </c>
    </row>
    <row r="774" spans="1:10" x14ac:dyDescent="0.35">
      <c r="A774" t="s">
        <v>1051</v>
      </c>
      <c r="B774" t="s">
        <v>1822</v>
      </c>
      <c r="C774" t="s">
        <v>1823</v>
      </c>
      <c r="D774" s="7">
        <v>48.3</v>
      </c>
      <c r="E774">
        <v>48.252584807314364</v>
      </c>
      <c r="F774" s="7">
        <v>51.7</v>
      </c>
      <c r="G774" s="6">
        <v>11703</v>
      </c>
      <c r="H774" s="6">
        <v>5647</v>
      </c>
      <c r="I774" s="6">
        <v>6056</v>
      </c>
      <c r="J774" t="s">
        <v>200</v>
      </c>
    </row>
    <row r="775" spans="1:10" x14ac:dyDescent="0.35">
      <c r="A775" t="s">
        <v>1051</v>
      </c>
      <c r="B775" t="s">
        <v>1824</v>
      </c>
      <c r="C775" t="s">
        <v>1825</v>
      </c>
      <c r="D775" s="7">
        <v>48.2</v>
      </c>
      <c r="E775">
        <v>48.156389065479978</v>
      </c>
      <c r="F775" s="7">
        <v>51.8</v>
      </c>
      <c r="G775" s="6">
        <v>12584</v>
      </c>
      <c r="H775" s="6">
        <v>6060</v>
      </c>
      <c r="I775" s="6">
        <v>6524</v>
      </c>
      <c r="J775" t="s">
        <v>200</v>
      </c>
    </row>
    <row r="776" spans="1:10" x14ac:dyDescent="0.35">
      <c r="A776" t="s">
        <v>1051</v>
      </c>
      <c r="B776" t="s">
        <v>1826</v>
      </c>
      <c r="C776" t="s">
        <v>1827</v>
      </c>
      <c r="D776" s="7">
        <v>48.1</v>
      </c>
      <c r="E776">
        <v>48.125737141685043</v>
      </c>
      <c r="F776" s="7">
        <v>51.9</v>
      </c>
      <c r="G776" s="6">
        <v>19501</v>
      </c>
      <c r="H776" s="6">
        <v>9385</v>
      </c>
      <c r="I776" s="6">
        <v>10116</v>
      </c>
      <c r="J776" t="s">
        <v>200</v>
      </c>
    </row>
    <row r="777" spans="1:10" x14ac:dyDescent="0.35">
      <c r="A777" t="s">
        <v>1051</v>
      </c>
      <c r="B777" t="s">
        <v>1828</v>
      </c>
      <c r="C777" t="s">
        <v>1829</v>
      </c>
      <c r="D777" s="7">
        <v>48.1</v>
      </c>
      <c r="E777">
        <v>48.098810139679252</v>
      </c>
      <c r="F777" s="7">
        <v>51.9</v>
      </c>
      <c r="G777" s="6">
        <v>15464</v>
      </c>
      <c r="H777" s="6">
        <v>7438</v>
      </c>
      <c r="I777" s="6">
        <v>8026</v>
      </c>
      <c r="J777" t="s">
        <v>200</v>
      </c>
    </row>
    <row r="778" spans="1:10" x14ac:dyDescent="0.35">
      <c r="A778" t="s">
        <v>1051</v>
      </c>
      <c r="B778" t="s">
        <v>1830</v>
      </c>
      <c r="C778" t="s">
        <v>1831</v>
      </c>
      <c r="D778" s="7">
        <v>48.1</v>
      </c>
      <c r="E778">
        <v>48.070684061572443</v>
      </c>
      <c r="F778" s="7">
        <v>51.9</v>
      </c>
      <c r="G778" s="6">
        <v>14487</v>
      </c>
      <c r="H778" s="6">
        <v>6964</v>
      </c>
      <c r="I778" s="6">
        <v>7523</v>
      </c>
      <c r="J778" t="s">
        <v>200</v>
      </c>
    </row>
    <row r="779" spans="1:10" x14ac:dyDescent="0.35">
      <c r="A779" t="s">
        <v>1051</v>
      </c>
      <c r="B779" t="s">
        <v>1832</v>
      </c>
      <c r="C779" t="s">
        <v>1833</v>
      </c>
      <c r="D779" s="7">
        <v>48.1</v>
      </c>
      <c r="E779">
        <v>48.070024393743722</v>
      </c>
      <c r="F779" s="7">
        <v>51.9</v>
      </c>
      <c r="G779" s="6">
        <v>13938</v>
      </c>
      <c r="H779" s="6">
        <v>6700</v>
      </c>
      <c r="I779" s="6">
        <v>7238</v>
      </c>
      <c r="J779" t="s">
        <v>200</v>
      </c>
    </row>
    <row r="780" spans="1:10" x14ac:dyDescent="0.35">
      <c r="A780" t="s">
        <v>1051</v>
      </c>
      <c r="B780" t="s">
        <v>1834</v>
      </c>
      <c r="C780" t="s">
        <v>1835</v>
      </c>
      <c r="D780" s="7">
        <v>48.1</v>
      </c>
      <c r="E780">
        <v>48.057680988816948</v>
      </c>
      <c r="F780" s="7">
        <v>51.9</v>
      </c>
      <c r="G780" s="6">
        <v>6796</v>
      </c>
      <c r="H780" s="6">
        <v>3266</v>
      </c>
      <c r="I780" s="6">
        <v>3530</v>
      </c>
      <c r="J780" t="s">
        <v>200</v>
      </c>
    </row>
    <row r="781" spans="1:10" x14ac:dyDescent="0.35">
      <c r="A781" t="s">
        <v>1051</v>
      </c>
      <c r="B781" t="s">
        <v>1836</v>
      </c>
      <c r="C781" t="s">
        <v>1837</v>
      </c>
      <c r="D781" s="7">
        <v>48</v>
      </c>
      <c r="E781">
        <v>48.037694013303771</v>
      </c>
      <c r="F781" s="7">
        <v>52</v>
      </c>
      <c r="G781" s="6">
        <v>9020</v>
      </c>
      <c r="H781" s="6">
        <v>4333</v>
      </c>
      <c r="I781" s="6">
        <v>4687</v>
      </c>
      <c r="J781" t="s">
        <v>200</v>
      </c>
    </row>
    <row r="782" spans="1:10" x14ac:dyDescent="0.35">
      <c r="A782" t="s">
        <v>1051</v>
      </c>
      <c r="B782" t="s">
        <v>1838</v>
      </c>
      <c r="C782" t="s">
        <v>1839</v>
      </c>
      <c r="D782" s="7">
        <v>48</v>
      </c>
      <c r="E782">
        <v>48.018376302797577</v>
      </c>
      <c r="F782" s="7">
        <v>52</v>
      </c>
      <c r="G782" s="6">
        <v>14584</v>
      </c>
      <c r="H782" s="6">
        <v>7003</v>
      </c>
      <c r="I782" s="6">
        <v>7581</v>
      </c>
      <c r="J782" t="s">
        <v>200</v>
      </c>
    </row>
    <row r="783" spans="1:10" x14ac:dyDescent="0.35">
      <c r="A783" t="s">
        <v>1051</v>
      </c>
      <c r="B783" t="s">
        <v>1840</v>
      </c>
      <c r="C783" t="s">
        <v>1841</v>
      </c>
      <c r="D783" s="7">
        <v>48</v>
      </c>
      <c r="E783">
        <v>47.979182814749187</v>
      </c>
      <c r="F783" s="7">
        <v>52</v>
      </c>
      <c r="G783" s="6">
        <v>9031</v>
      </c>
      <c r="H783" s="6">
        <v>4333</v>
      </c>
      <c r="I783" s="6">
        <v>4698</v>
      </c>
      <c r="J783" t="s">
        <v>200</v>
      </c>
    </row>
    <row r="784" spans="1:10" x14ac:dyDescent="0.35">
      <c r="A784" t="s">
        <v>1051</v>
      </c>
      <c r="B784" t="s">
        <v>1842</v>
      </c>
      <c r="C784" t="s">
        <v>1843</v>
      </c>
      <c r="D784" s="7">
        <v>48</v>
      </c>
      <c r="E784">
        <v>47.95167660497173</v>
      </c>
      <c r="F784" s="7">
        <v>52</v>
      </c>
      <c r="G784" s="6">
        <v>12913</v>
      </c>
      <c r="H784" s="6">
        <v>6192</v>
      </c>
      <c r="I784" s="6">
        <v>6721</v>
      </c>
      <c r="J784" t="s">
        <v>200</v>
      </c>
    </row>
    <row r="785" spans="1:10" x14ac:dyDescent="0.35">
      <c r="A785" t="s">
        <v>1051</v>
      </c>
      <c r="B785" t="s">
        <v>1844</v>
      </c>
      <c r="C785" t="s">
        <v>1845</v>
      </c>
      <c r="D785" s="7">
        <v>47.9</v>
      </c>
      <c r="E785">
        <v>47.94580102891095</v>
      </c>
      <c r="F785" s="7">
        <v>52.1</v>
      </c>
      <c r="G785" s="6">
        <v>13801</v>
      </c>
      <c r="H785" s="6">
        <v>6617</v>
      </c>
      <c r="I785" s="6">
        <v>7184</v>
      </c>
      <c r="J785" t="s">
        <v>200</v>
      </c>
    </row>
    <row r="786" spans="1:10" x14ac:dyDescent="0.35">
      <c r="A786" t="s">
        <v>1051</v>
      </c>
      <c r="B786" t="s">
        <v>1846</v>
      </c>
      <c r="C786" t="s">
        <v>1847</v>
      </c>
      <c r="D786" s="7">
        <v>47.9</v>
      </c>
      <c r="E786">
        <v>47.931889790172278</v>
      </c>
      <c r="F786" s="7">
        <v>52.1</v>
      </c>
      <c r="G786" s="6">
        <v>44751</v>
      </c>
      <c r="H786" s="6">
        <v>21450</v>
      </c>
      <c r="I786" s="6">
        <v>23301</v>
      </c>
      <c r="J786" t="s">
        <v>200</v>
      </c>
    </row>
    <row r="787" spans="1:10" x14ac:dyDescent="0.35">
      <c r="A787" t="s">
        <v>1051</v>
      </c>
      <c r="B787" t="s">
        <v>1848</v>
      </c>
      <c r="C787" t="s">
        <v>1849</v>
      </c>
      <c r="D787" s="7">
        <v>47.8</v>
      </c>
      <c r="E787">
        <v>47.828146143437067</v>
      </c>
      <c r="F787" s="7">
        <v>52.2</v>
      </c>
      <c r="G787" s="6">
        <v>14780</v>
      </c>
      <c r="H787" s="6">
        <v>7069</v>
      </c>
      <c r="I787" s="6">
        <v>7711</v>
      </c>
      <c r="J787" t="s">
        <v>200</v>
      </c>
    </row>
    <row r="788" spans="1:10" x14ac:dyDescent="0.35">
      <c r="A788" t="s">
        <v>1051</v>
      </c>
      <c r="B788" t="s">
        <v>1850</v>
      </c>
      <c r="C788" t="s">
        <v>1851</v>
      </c>
      <c r="D788" s="7">
        <v>47.8</v>
      </c>
      <c r="E788">
        <v>47.750680715046762</v>
      </c>
      <c r="F788" s="7">
        <v>52.2</v>
      </c>
      <c r="G788" s="6">
        <v>16894</v>
      </c>
      <c r="H788" s="6">
        <v>8067</v>
      </c>
      <c r="I788" s="6">
        <v>8827</v>
      </c>
      <c r="J788" t="s">
        <v>200</v>
      </c>
    </row>
    <row r="789" spans="1:10" x14ac:dyDescent="0.35">
      <c r="A789" t="s">
        <v>1051</v>
      </c>
      <c r="B789" t="s">
        <v>1852</v>
      </c>
      <c r="C789" t="s">
        <v>1853</v>
      </c>
      <c r="D789" s="7">
        <v>47.7</v>
      </c>
      <c r="E789">
        <v>47.705859823822287</v>
      </c>
      <c r="F789" s="7">
        <v>52.3</v>
      </c>
      <c r="G789" s="6">
        <v>13055</v>
      </c>
      <c r="H789" s="6">
        <v>6228</v>
      </c>
      <c r="I789" s="6">
        <v>6827</v>
      </c>
      <c r="J789" t="s">
        <v>200</v>
      </c>
    </row>
    <row r="790" spans="1:10" x14ac:dyDescent="0.35">
      <c r="A790" t="s">
        <v>1051</v>
      </c>
      <c r="B790" t="s">
        <v>1854</v>
      </c>
      <c r="C790" t="s">
        <v>1855</v>
      </c>
      <c r="D790" s="7">
        <v>47.6</v>
      </c>
      <c r="E790">
        <v>47.575354188456792</v>
      </c>
      <c r="F790" s="7">
        <v>52.4</v>
      </c>
      <c r="G790" s="6">
        <v>21034</v>
      </c>
      <c r="H790" s="6">
        <v>10007</v>
      </c>
      <c r="I790" s="6">
        <v>11027</v>
      </c>
      <c r="J790" t="s">
        <v>200</v>
      </c>
    </row>
    <row r="791" spans="1:10" x14ac:dyDescent="0.35">
      <c r="A791" t="s">
        <v>1051</v>
      </c>
      <c r="B791" t="s">
        <v>1856</v>
      </c>
      <c r="C791" t="s">
        <v>1857</v>
      </c>
      <c r="D791" s="7">
        <v>47.6</v>
      </c>
      <c r="E791">
        <v>47.563061137238137</v>
      </c>
      <c r="F791" s="7">
        <v>52.4</v>
      </c>
      <c r="G791" s="6">
        <v>9356</v>
      </c>
      <c r="H791" s="6">
        <v>4450</v>
      </c>
      <c r="I791" s="6">
        <v>4906</v>
      </c>
      <c r="J791" t="s">
        <v>200</v>
      </c>
    </row>
    <row r="792" spans="1:10" x14ac:dyDescent="0.35">
      <c r="A792" t="s">
        <v>1051</v>
      </c>
      <c r="B792" t="s">
        <v>1858</v>
      </c>
      <c r="C792" t="s">
        <v>1859</v>
      </c>
      <c r="D792" s="7">
        <v>47.5</v>
      </c>
      <c r="E792">
        <v>47.504873294346979</v>
      </c>
      <c r="F792" s="7">
        <v>52.5</v>
      </c>
      <c r="G792" s="6">
        <v>10260</v>
      </c>
      <c r="H792" s="6">
        <v>4874</v>
      </c>
      <c r="I792" s="6">
        <v>5386</v>
      </c>
      <c r="J792" t="s">
        <v>200</v>
      </c>
    </row>
    <row r="793" spans="1:10" x14ac:dyDescent="0.35">
      <c r="A793" t="s">
        <v>1051</v>
      </c>
      <c r="B793" t="s">
        <v>1860</v>
      </c>
      <c r="C793" t="s">
        <v>1861</v>
      </c>
      <c r="D793" s="7">
        <v>47.5</v>
      </c>
      <c r="E793">
        <v>47.469066366704162</v>
      </c>
      <c r="F793" s="7">
        <v>52.5</v>
      </c>
      <c r="G793" s="6">
        <v>6223</v>
      </c>
      <c r="H793" s="6">
        <v>2954</v>
      </c>
      <c r="I793" s="6">
        <v>3269</v>
      </c>
      <c r="J793" t="s">
        <v>200</v>
      </c>
    </row>
    <row r="794" spans="1:10" x14ac:dyDescent="0.35">
      <c r="A794" t="s">
        <v>1051</v>
      </c>
      <c r="B794" t="s">
        <v>1862</v>
      </c>
      <c r="C794" t="s">
        <v>1863</v>
      </c>
      <c r="D794" s="7">
        <v>47.4</v>
      </c>
      <c r="E794">
        <v>47.442515251055838</v>
      </c>
      <c r="F794" s="7">
        <v>52.6</v>
      </c>
      <c r="G794" s="6">
        <v>14917</v>
      </c>
      <c r="H794" s="6">
        <v>7077</v>
      </c>
      <c r="I794" s="6">
        <v>7840</v>
      </c>
      <c r="J794" t="s">
        <v>200</v>
      </c>
    </row>
    <row r="795" spans="1:10" x14ac:dyDescent="0.35">
      <c r="A795" t="s">
        <v>1051</v>
      </c>
      <c r="B795" t="s">
        <v>1864</v>
      </c>
      <c r="C795" t="s">
        <v>1865</v>
      </c>
      <c r="D795" s="7">
        <v>47.3</v>
      </c>
      <c r="E795">
        <v>47.336201770035331</v>
      </c>
      <c r="F795" s="7">
        <v>52.7</v>
      </c>
      <c r="G795" s="6">
        <v>28587</v>
      </c>
      <c r="H795" s="6">
        <v>13532</v>
      </c>
      <c r="I795" s="6">
        <v>15055</v>
      </c>
      <c r="J795" t="s">
        <v>200</v>
      </c>
    </row>
    <row r="796" spans="1:10" x14ac:dyDescent="0.35">
      <c r="A796" t="s">
        <v>1051</v>
      </c>
      <c r="B796" t="s">
        <v>1866</v>
      </c>
      <c r="C796" t="s">
        <v>1867</v>
      </c>
      <c r="D796" s="7">
        <v>47.3</v>
      </c>
      <c r="E796">
        <v>47.296367112810707</v>
      </c>
      <c r="F796" s="7">
        <v>52.7</v>
      </c>
      <c r="G796" s="6">
        <v>13075</v>
      </c>
      <c r="H796" s="6">
        <v>6184</v>
      </c>
      <c r="I796" s="6">
        <v>6891</v>
      </c>
      <c r="J796" t="s">
        <v>200</v>
      </c>
    </row>
    <row r="797" spans="1:10" x14ac:dyDescent="0.35">
      <c r="A797" t="s">
        <v>1051</v>
      </c>
      <c r="B797" t="s">
        <v>1868</v>
      </c>
      <c r="C797" t="s">
        <v>1869</v>
      </c>
      <c r="D797" s="7">
        <v>47.2</v>
      </c>
      <c r="E797">
        <v>47.19078139915451</v>
      </c>
      <c r="F797" s="7">
        <v>52.8</v>
      </c>
      <c r="G797" s="6">
        <v>14666</v>
      </c>
      <c r="H797" s="6">
        <v>6921</v>
      </c>
      <c r="I797" s="6">
        <v>7745</v>
      </c>
      <c r="J797" t="s">
        <v>200</v>
      </c>
    </row>
    <row r="798" spans="1:10" x14ac:dyDescent="0.35">
      <c r="A798" t="s">
        <v>1051</v>
      </c>
      <c r="B798" t="s">
        <v>1870</v>
      </c>
      <c r="C798" t="s">
        <v>1871</v>
      </c>
      <c r="D798" s="7">
        <v>47.2</v>
      </c>
      <c r="E798">
        <v>47.150058162078317</v>
      </c>
      <c r="F798" s="7">
        <v>52.8</v>
      </c>
      <c r="G798" s="6">
        <v>7737</v>
      </c>
      <c r="H798" s="6">
        <v>3648</v>
      </c>
      <c r="I798" s="6">
        <v>4089</v>
      </c>
      <c r="J798" t="s">
        <v>200</v>
      </c>
    </row>
    <row r="799" spans="1:10" x14ac:dyDescent="0.35">
      <c r="A799" t="s">
        <v>1051</v>
      </c>
      <c r="B799" t="s">
        <v>1872</v>
      </c>
      <c r="C799" t="s">
        <v>1873</v>
      </c>
      <c r="D799" s="7">
        <v>47.1</v>
      </c>
      <c r="E799">
        <v>47.119262938903752</v>
      </c>
      <c r="F799" s="7">
        <v>52.9</v>
      </c>
      <c r="G799" s="6">
        <v>23553</v>
      </c>
      <c r="H799" s="6">
        <v>11098</v>
      </c>
      <c r="I799" s="6">
        <v>12455</v>
      </c>
      <c r="J799" t="s">
        <v>200</v>
      </c>
    </row>
    <row r="800" spans="1:10" x14ac:dyDescent="0.35">
      <c r="A800" t="s">
        <v>1051</v>
      </c>
      <c r="B800" t="s">
        <v>1874</v>
      </c>
      <c r="C800" t="s">
        <v>1875</v>
      </c>
      <c r="D800" s="7">
        <v>46.8</v>
      </c>
      <c r="E800">
        <v>46.832233414379992</v>
      </c>
      <c r="F800" s="7">
        <v>53.2</v>
      </c>
      <c r="G800" s="6">
        <v>28790</v>
      </c>
      <c r="H800" s="6">
        <v>13483</v>
      </c>
      <c r="I800" s="6">
        <v>15307</v>
      </c>
      <c r="J800" t="s">
        <v>200</v>
      </c>
    </row>
    <row r="801" spans="1:10" x14ac:dyDescent="0.35">
      <c r="A801" t="s">
        <v>1051</v>
      </c>
      <c r="B801" t="s">
        <v>1876</v>
      </c>
      <c r="C801" t="s">
        <v>1877</v>
      </c>
      <c r="D801" s="7">
        <v>46.8</v>
      </c>
      <c r="E801">
        <v>46.814544717917563</v>
      </c>
      <c r="F801" s="7">
        <v>53.2</v>
      </c>
      <c r="G801" s="6">
        <v>29619</v>
      </c>
      <c r="H801" s="6">
        <v>13866</v>
      </c>
      <c r="I801" s="6">
        <v>15753</v>
      </c>
      <c r="J801" t="s">
        <v>200</v>
      </c>
    </row>
    <row r="802" spans="1:10" x14ac:dyDescent="0.35">
      <c r="A802" t="s">
        <v>1051</v>
      </c>
      <c r="B802" t="s">
        <v>1878</v>
      </c>
      <c r="C802" t="s">
        <v>1879</v>
      </c>
      <c r="D802" s="7">
        <v>46.8</v>
      </c>
      <c r="E802">
        <v>46.807096817064263</v>
      </c>
      <c r="F802" s="7">
        <v>53.2</v>
      </c>
      <c r="G802" s="6">
        <v>15049</v>
      </c>
      <c r="H802" s="6">
        <v>7044</v>
      </c>
      <c r="I802" s="6">
        <v>8005</v>
      </c>
      <c r="J802" t="s">
        <v>200</v>
      </c>
    </row>
    <row r="803" spans="1:10" x14ac:dyDescent="0.35">
      <c r="A803" t="s">
        <v>1051</v>
      </c>
      <c r="B803" t="s">
        <v>1880</v>
      </c>
      <c r="C803" t="s">
        <v>1881</v>
      </c>
      <c r="D803" s="7">
        <v>46.8</v>
      </c>
      <c r="E803">
        <v>46.77932546135898</v>
      </c>
      <c r="F803" s="7">
        <v>53.2</v>
      </c>
      <c r="G803" s="6">
        <v>14143</v>
      </c>
      <c r="H803" s="6">
        <v>6616</v>
      </c>
      <c r="I803" s="6">
        <v>7527</v>
      </c>
      <c r="J803" t="s">
        <v>200</v>
      </c>
    </row>
    <row r="804" spans="1:10" x14ac:dyDescent="0.35">
      <c r="A804" t="s">
        <v>1051</v>
      </c>
      <c r="B804" t="s">
        <v>1882</v>
      </c>
      <c r="C804" t="s">
        <v>1883</v>
      </c>
      <c r="D804" s="7">
        <v>46.7</v>
      </c>
      <c r="E804">
        <v>46.707044947401982</v>
      </c>
      <c r="F804" s="7">
        <v>53.3</v>
      </c>
      <c r="G804" s="6">
        <v>15685</v>
      </c>
      <c r="H804" s="6">
        <v>7326</v>
      </c>
      <c r="I804" s="6">
        <v>8359</v>
      </c>
      <c r="J804" t="s">
        <v>200</v>
      </c>
    </row>
    <row r="805" spans="1:10" x14ac:dyDescent="0.35">
      <c r="A805" t="s">
        <v>1051</v>
      </c>
      <c r="B805" t="s">
        <v>1884</v>
      </c>
      <c r="C805" t="s">
        <v>1885</v>
      </c>
      <c r="D805" s="7">
        <v>46.7</v>
      </c>
      <c r="E805">
        <v>46.69129996640914</v>
      </c>
      <c r="F805" s="7">
        <v>53.3</v>
      </c>
      <c r="G805" s="6">
        <v>8931</v>
      </c>
      <c r="H805" s="6">
        <v>4170</v>
      </c>
      <c r="I805" s="6">
        <v>4761</v>
      </c>
      <c r="J805" t="s">
        <v>200</v>
      </c>
    </row>
    <row r="806" spans="1:10" x14ac:dyDescent="0.35">
      <c r="A806" t="s">
        <v>1051</v>
      </c>
      <c r="B806" t="s">
        <v>1886</v>
      </c>
      <c r="C806" t="s">
        <v>1887</v>
      </c>
      <c r="D806" s="7">
        <v>46.7</v>
      </c>
      <c r="E806">
        <v>46.681867274690987</v>
      </c>
      <c r="F806" s="7">
        <v>53.3</v>
      </c>
      <c r="G806" s="6">
        <v>8333</v>
      </c>
      <c r="H806" s="6">
        <v>3890</v>
      </c>
      <c r="I806" s="6">
        <v>4443</v>
      </c>
      <c r="J806" t="s">
        <v>200</v>
      </c>
    </row>
    <row r="807" spans="1:10" x14ac:dyDescent="0.35">
      <c r="A807" t="s">
        <v>1051</v>
      </c>
      <c r="B807" t="s">
        <v>1888</v>
      </c>
      <c r="C807" t="s">
        <v>1889</v>
      </c>
      <c r="D807" s="7">
        <v>46.6</v>
      </c>
      <c r="E807">
        <v>46.647032170367012</v>
      </c>
      <c r="F807" s="7">
        <v>53.4</v>
      </c>
      <c r="G807" s="6">
        <v>22070</v>
      </c>
      <c r="H807" s="6">
        <v>10295</v>
      </c>
      <c r="I807" s="6">
        <v>11775</v>
      </c>
      <c r="J807" t="s">
        <v>200</v>
      </c>
    </row>
    <row r="808" spans="1:10" x14ac:dyDescent="0.35">
      <c r="A808" t="s">
        <v>1051</v>
      </c>
      <c r="B808" t="s">
        <v>1890</v>
      </c>
      <c r="C808" t="s">
        <v>1891</v>
      </c>
      <c r="D808" s="7">
        <v>46.6</v>
      </c>
      <c r="E808">
        <v>46.607642966844338</v>
      </c>
      <c r="F808" s="7">
        <v>53.4</v>
      </c>
      <c r="G808" s="6">
        <v>11069</v>
      </c>
      <c r="H808" s="6">
        <v>5159</v>
      </c>
      <c r="I808" s="6">
        <v>5910</v>
      </c>
      <c r="J808" t="s">
        <v>200</v>
      </c>
    </row>
    <row r="809" spans="1:10" x14ac:dyDescent="0.35">
      <c r="A809" t="s">
        <v>1051</v>
      </c>
      <c r="B809" t="s">
        <v>1892</v>
      </c>
      <c r="C809" t="s">
        <v>1893</v>
      </c>
      <c r="D809" s="7">
        <v>46.6</v>
      </c>
      <c r="E809">
        <v>46.598128681991447</v>
      </c>
      <c r="F809" s="7">
        <v>53.4</v>
      </c>
      <c r="G809" s="6">
        <v>8657</v>
      </c>
      <c r="H809" s="6">
        <v>4034</v>
      </c>
      <c r="I809" s="6">
        <v>4623</v>
      </c>
      <c r="J809" t="s">
        <v>200</v>
      </c>
    </row>
    <row r="810" spans="1:10" x14ac:dyDescent="0.35">
      <c r="A810" t="s">
        <v>1051</v>
      </c>
      <c r="B810" t="s">
        <v>1894</v>
      </c>
      <c r="C810" t="s">
        <v>1895</v>
      </c>
      <c r="D810" s="7">
        <v>46.6</v>
      </c>
      <c r="E810">
        <v>46.574916413964701</v>
      </c>
      <c r="F810" s="7">
        <v>53.4</v>
      </c>
      <c r="G810" s="6">
        <v>12861</v>
      </c>
      <c r="H810" s="6">
        <v>5990</v>
      </c>
      <c r="I810" s="6">
        <v>6871</v>
      </c>
      <c r="J810" t="s">
        <v>200</v>
      </c>
    </row>
    <row r="811" spans="1:10" x14ac:dyDescent="0.35">
      <c r="A811" t="s">
        <v>1051</v>
      </c>
      <c r="B811" t="s">
        <v>1896</v>
      </c>
      <c r="C811" t="s">
        <v>1897</v>
      </c>
      <c r="D811" s="7">
        <v>46.6</v>
      </c>
      <c r="E811">
        <v>46.563718370155193</v>
      </c>
      <c r="F811" s="7">
        <v>53.4</v>
      </c>
      <c r="G811" s="6">
        <v>13081</v>
      </c>
      <c r="H811" s="6">
        <v>6091</v>
      </c>
      <c r="I811" s="6">
        <v>6990</v>
      </c>
      <c r="J811" t="s">
        <v>200</v>
      </c>
    </row>
    <row r="812" spans="1:10" x14ac:dyDescent="0.35">
      <c r="A812" t="s">
        <v>1051</v>
      </c>
      <c r="B812" t="s">
        <v>1898</v>
      </c>
      <c r="C812" t="s">
        <v>1899</v>
      </c>
      <c r="D812" s="7">
        <v>46.6</v>
      </c>
      <c r="E812">
        <v>46.563248622116497</v>
      </c>
      <c r="F812" s="7">
        <v>53.4</v>
      </c>
      <c r="G812" s="6">
        <v>59693</v>
      </c>
      <c r="H812" s="6">
        <v>27795</v>
      </c>
      <c r="I812" s="6">
        <v>31898</v>
      </c>
      <c r="J812" t="s">
        <v>200</v>
      </c>
    </row>
    <row r="813" spans="1:10" x14ac:dyDescent="0.35">
      <c r="A813" t="s">
        <v>1051</v>
      </c>
      <c r="B813" t="s">
        <v>1900</v>
      </c>
      <c r="C813" t="s">
        <v>1901</v>
      </c>
      <c r="D813" s="7">
        <v>46.5</v>
      </c>
      <c r="E813">
        <v>46.497055714932813</v>
      </c>
      <c r="F813" s="7">
        <v>53.5</v>
      </c>
      <c r="G813" s="6">
        <v>13246</v>
      </c>
      <c r="H813" s="6">
        <v>6159</v>
      </c>
      <c r="I813" s="6">
        <v>7087</v>
      </c>
      <c r="J813" t="s">
        <v>200</v>
      </c>
    </row>
    <row r="814" spans="1:10" x14ac:dyDescent="0.35">
      <c r="A814" t="s">
        <v>1051</v>
      </c>
      <c r="B814" t="s">
        <v>1902</v>
      </c>
      <c r="C814" t="s">
        <v>1903</v>
      </c>
      <c r="D814" s="7">
        <v>46.4</v>
      </c>
      <c r="E814">
        <v>46.443888491779838</v>
      </c>
      <c r="F814" s="7">
        <v>53.6</v>
      </c>
      <c r="G814" s="6">
        <v>5596</v>
      </c>
      <c r="H814" s="6">
        <v>2599</v>
      </c>
      <c r="I814" s="6">
        <v>2997</v>
      </c>
      <c r="J814" t="s">
        <v>200</v>
      </c>
    </row>
    <row r="815" spans="1:10" x14ac:dyDescent="0.35">
      <c r="A815" t="s">
        <v>1051</v>
      </c>
      <c r="B815" t="s">
        <v>1904</v>
      </c>
      <c r="C815" t="s">
        <v>1905</v>
      </c>
      <c r="D815" s="7">
        <v>46.4</v>
      </c>
      <c r="E815">
        <v>46.399808627701141</v>
      </c>
      <c r="F815" s="7">
        <v>53.6</v>
      </c>
      <c r="G815" s="6">
        <v>25082</v>
      </c>
      <c r="H815" s="6">
        <v>11638</v>
      </c>
      <c r="I815" s="6">
        <v>13444</v>
      </c>
      <c r="J815" t="s">
        <v>200</v>
      </c>
    </row>
    <row r="816" spans="1:10" x14ac:dyDescent="0.35">
      <c r="A816" t="s">
        <v>1051</v>
      </c>
      <c r="B816" t="s">
        <v>1906</v>
      </c>
      <c r="C816" t="s">
        <v>1907</v>
      </c>
      <c r="D816" s="7">
        <v>46.3</v>
      </c>
      <c r="E816">
        <v>46.321164361531039</v>
      </c>
      <c r="F816" s="7">
        <v>53.7</v>
      </c>
      <c r="G816" s="6">
        <v>24872</v>
      </c>
      <c r="H816" s="6">
        <v>11521</v>
      </c>
      <c r="I816" s="6">
        <v>13351</v>
      </c>
      <c r="J816" t="s">
        <v>200</v>
      </c>
    </row>
    <row r="817" spans="1:10" x14ac:dyDescent="0.35">
      <c r="A817" t="s">
        <v>1051</v>
      </c>
      <c r="B817" t="s">
        <v>1908</v>
      </c>
      <c r="C817" t="s">
        <v>1909</v>
      </c>
      <c r="D817" s="7">
        <v>46.2</v>
      </c>
      <c r="E817">
        <v>46.222583265637702</v>
      </c>
      <c r="F817" s="7">
        <v>53.8</v>
      </c>
      <c r="G817" s="6">
        <v>18465</v>
      </c>
      <c r="H817" s="6">
        <v>8535</v>
      </c>
      <c r="I817" s="6">
        <v>9930</v>
      </c>
      <c r="J817" t="s">
        <v>200</v>
      </c>
    </row>
    <row r="818" spans="1:10" x14ac:dyDescent="0.35">
      <c r="A818" t="s">
        <v>1051</v>
      </c>
      <c r="B818" t="s">
        <v>1910</v>
      </c>
      <c r="C818" t="s">
        <v>1911</v>
      </c>
      <c r="D818" s="7">
        <v>46.2</v>
      </c>
      <c r="E818">
        <v>46.206148994875839</v>
      </c>
      <c r="F818" s="7">
        <v>53.8</v>
      </c>
      <c r="G818" s="6">
        <v>10148</v>
      </c>
      <c r="H818" s="6">
        <v>4689</v>
      </c>
      <c r="I818" s="6">
        <v>5459</v>
      </c>
      <c r="J818" t="s">
        <v>200</v>
      </c>
    </row>
    <row r="819" spans="1:10" x14ac:dyDescent="0.35">
      <c r="A819" t="s">
        <v>1051</v>
      </c>
      <c r="B819" t="s">
        <v>1912</v>
      </c>
      <c r="C819" t="s">
        <v>1913</v>
      </c>
      <c r="D819" s="7">
        <v>46.2</v>
      </c>
      <c r="E819">
        <v>46.197239850911657</v>
      </c>
      <c r="F819" s="7">
        <v>53.8</v>
      </c>
      <c r="G819" s="6">
        <v>9927</v>
      </c>
      <c r="H819" s="6">
        <v>4586</v>
      </c>
      <c r="I819" s="6">
        <v>5341</v>
      </c>
      <c r="J819" t="s">
        <v>200</v>
      </c>
    </row>
    <row r="820" spans="1:10" x14ac:dyDescent="0.35">
      <c r="A820" t="s">
        <v>1051</v>
      </c>
      <c r="B820" t="s">
        <v>1914</v>
      </c>
      <c r="C820" t="s">
        <v>1915</v>
      </c>
      <c r="D820" s="7">
        <v>46.1</v>
      </c>
      <c r="E820">
        <v>46.135296357405757</v>
      </c>
      <c r="F820" s="7">
        <v>53.9</v>
      </c>
      <c r="G820" s="6">
        <v>7879</v>
      </c>
      <c r="H820" s="6">
        <v>3635</v>
      </c>
      <c r="I820" s="6">
        <v>4244</v>
      </c>
      <c r="J820" t="s">
        <v>200</v>
      </c>
    </row>
    <row r="821" spans="1:10" x14ac:dyDescent="0.35">
      <c r="A821" t="s">
        <v>1051</v>
      </c>
      <c r="B821" t="s">
        <v>1916</v>
      </c>
      <c r="C821" t="s">
        <v>1917</v>
      </c>
      <c r="D821" s="7">
        <v>46.1</v>
      </c>
      <c r="E821">
        <v>46.061896184706072</v>
      </c>
      <c r="F821" s="7">
        <v>53.9</v>
      </c>
      <c r="G821" s="6">
        <v>6107</v>
      </c>
      <c r="H821" s="6">
        <v>2813</v>
      </c>
      <c r="I821" s="6">
        <v>3294</v>
      </c>
      <c r="J821" t="s">
        <v>200</v>
      </c>
    </row>
    <row r="822" spans="1:10" x14ac:dyDescent="0.35">
      <c r="A822" t="s">
        <v>1051</v>
      </c>
      <c r="B822" t="s">
        <v>1918</v>
      </c>
      <c r="C822" t="s">
        <v>1919</v>
      </c>
      <c r="D822" s="7">
        <v>46</v>
      </c>
      <c r="E822">
        <v>46.024844720496887</v>
      </c>
      <c r="F822" s="7">
        <v>54</v>
      </c>
      <c r="G822" s="6">
        <v>6440</v>
      </c>
      <c r="H822" s="6">
        <v>2964</v>
      </c>
      <c r="I822" s="6">
        <v>3476</v>
      </c>
      <c r="J822" t="s">
        <v>200</v>
      </c>
    </row>
    <row r="823" spans="1:10" x14ac:dyDescent="0.35">
      <c r="A823" t="s">
        <v>1051</v>
      </c>
      <c r="B823" t="s">
        <v>1920</v>
      </c>
      <c r="C823" t="s">
        <v>1921</v>
      </c>
      <c r="D823" s="7">
        <v>46</v>
      </c>
      <c r="E823">
        <v>45.987232102143182</v>
      </c>
      <c r="F823" s="7">
        <v>54</v>
      </c>
      <c r="G823" s="6">
        <v>13158</v>
      </c>
      <c r="H823" s="6">
        <v>6051</v>
      </c>
      <c r="I823" s="6">
        <v>7107</v>
      </c>
      <c r="J823" t="s">
        <v>200</v>
      </c>
    </row>
    <row r="824" spans="1:10" x14ac:dyDescent="0.35">
      <c r="A824" t="s">
        <v>1051</v>
      </c>
      <c r="B824" t="s">
        <v>1922</v>
      </c>
      <c r="C824" t="s">
        <v>1923</v>
      </c>
      <c r="D824" s="7">
        <v>46</v>
      </c>
      <c r="E824">
        <v>45.950263592310563</v>
      </c>
      <c r="F824" s="7">
        <v>54</v>
      </c>
      <c r="G824" s="6">
        <v>18779</v>
      </c>
      <c r="H824" s="6">
        <v>8629</v>
      </c>
      <c r="I824" s="6">
        <v>10150</v>
      </c>
      <c r="J824" t="s">
        <v>200</v>
      </c>
    </row>
    <row r="825" spans="1:10" x14ac:dyDescent="0.35">
      <c r="A825" t="s">
        <v>1051</v>
      </c>
      <c r="B825" t="s">
        <v>1924</v>
      </c>
      <c r="C825" t="s">
        <v>1925</v>
      </c>
      <c r="D825" s="7">
        <v>45.9</v>
      </c>
      <c r="E825">
        <v>45.877187706742049</v>
      </c>
      <c r="F825" s="7">
        <v>54.1</v>
      </c>
      <c r="G825" s="6">
        <v>16627</v>
      </c>
      <c r="H825" s="6">
        <v>7628</v>
      </c>
      <c r="I825" s="6">
        <v>8999</v>
      </c>
      <c r="J825" t="s">
        <v>200</v>
      </c>
    </row>
    <row r="826" spans="1:10" x14ac:dyDescent="0.35">
      <c r="A826" t="s">
        <v>1051</v>
      </c>
      <c r="B826" t="s">
        <v>1926</v>
      </c>
      <c r="C826" t="s">
        <v>1927</v>
      </c>
      <c r="D826" s="7">
        <v>45.4</v>
      </c>
      <c r="E826">
        <v>45.417889745492083</v>
      </c>
      <c r="F826" s="7">
        <v>54.6</v>
      </c>
      <c r="G826" s="6">
        <v>31001</v>
      </c>
      <c r="H826" s="6">
        <v>14080</v>
      </c>
      <c r="I826" s="6">
        <v>16921</v>
      </c>
      <c r="J826" t="s">
        <v>200</v>
      </c>
    </row>
    <row r="827" spans="1:10" x14ac:dyDescent="0.35">
      <c r="A827" t="s">
        <v>1051</v>
      </c>
      <c r="B827" t="s">
        <v>1928</v>
      </c>
      <c r="C827" t="s">
        <v>1929</v>
      </c>
      <c r="D827" s="7">
        <v>45.3</v>
      </c>
      <c r="E827">
        <v>45.313650871593417</v>
      </c>
      <c r="F827" s="7">
        <v>54.7</v>
      </c>
      <c r="G827" s="6">
        <v>32584</v>
      </c>
      <c r="H827" s="6">
        <v>14765</v>
      </c>
      <c r="I827" s="6">
        <v>17819</v>
      </c>
      <c r="J827" t="s">
        <v>200</v>
      </c>
    </row>
    <row r="828" spans="1:10" x14ac:dyDescent="0.35">
      <c r="A828" t="s">
        <v>1051</v>
      </c>
      <c r="B828" t="s">
        <v>1930</v>
      </c>
      <c r="C828" t="s">
        <v>1931</v>
      </c>
      <c r="D828" s="7">
        <v>45</v>
      </c>
      <c r="E828">
        <v>45.049040066777962</v>
      </c>
      <c r="F828" s="7">
        <v>55</v>
      </c>
      <c r="G828" s="6">
        <v>19168</v>
      </c>
      <c r="H828" s="6">
        <v>8635</v>
      </c>
      <c r="I828" s="6">
        <v>10533</v>
      </c>
      <c r="J828" t="s">
        <v>200</v>
      </c>
    </row>
    <row r="829" spans="1:10" x14ac:dyDescent="0.35">
      <c r="A829" t="s">
        <v>1051</v>
      </c>
      <c r="B829" t="s">
        <v>1932</v>
      </c>
      <c r="C829" t="s">
        <v>1933</v>
      </c>
      <c r="D829" s="7">
        <v>45</v>
      </c>
      <c r="E829">
        <v>45.027442371020847</v>
      </c>
      <c r="F829" s="7">
        <v>55</v>
      </c>
      <c r="G829" s="6">
        <v>13665</v>
      </c>
      <c r="H829" s="6">
        <v>6153</v>
      </c>
      <c r="I829" s="6">
        <v>7512</v>
      </c>
      <c r="J829" t="s">
        <v>200</v>
      </c>
    </row>
    <row r="830" spans="1:10" x14ac:dyDescent="0.35">
      <c r="A830" t="s">
        <v>1051</v>
      </c>
      <c r="B830" t="s">
        <v>1934</v>
      </c>
      <c r="C830" t="s">
        <v>1935</v>
      </c>
      <c r="D830" s="7">
        <v>45</v>
      </c>
      <c r="E830">
        <v>45.017692542920798</v>
      </c>
      <c r="F830" s="7">
        <v>55</v>
      </c>
      <c r="G830" s="6">
        <v>22891</v>
      </c>
      <c r="H830" s="6">
        <v>10305</v>
      </c>
      <c r="I830" s="6">
        <v>12586</v>
      </c>
      <c r="J830" t="s">
        <v>200</v>
      </c>
    </row>
    <row r="831" spans="1:10" x14ac:dyDescent="0.35">
      <c r="A831" t="s">
        <v>1051</v>
      </c>
      <c r="B831" t="s">
        <v>1936</v>
      </c>
      <c r="C831" t="s">
        <v>1937</v>
      </c>
      <c r="D831" s="7">
        <v>45</v>
      </c>
      <c r="E831">
        <v>44.952530756699062</v>
      </c>
      <c r="F831" s="7">
        <v>55</v>
      </c>
      <c r="G831" s="6">
        <v>35602</v>
      </c>
      <c r="H831" s="6">
        <v>16004</v>
      </c>
      <c r="I831" s="6">
        <v>19598</v>
      </c>
      <c r="J831" t="s">
        <v>200</v>
      </c>
    </row>
    <row r="832" spans="1:10" x14ac:dyDescent="0.35">
      <c r="A832" t="s">
        <v>1051</v>
      </c>
      <c r="B832" t="s">
        <v>1938</v>
      </c>
      <c r="C832" t="s">
        <v>1939</v>
      </c>
      <c r="D832" s="7">
        <v>44.9</v>
      </c>
      <c r="E832">
        <v>44.924234921263739</v>
      </c>
      <c r="F832" s="7">
        <v>55.1</v>
      </c>
      <c r="G832" s="6">
        <v>20194</v>
      </c>
      <c r="H832" s="6">
        <v>9072</v>
      </c>
      <c r="I832" s="6">
        <v>11122</v>
      </c>
      <c r="J832" t="s">
        <v>200</v>
      </c>
    </row>
    <row r="833" spans="1:10" x14ac:dyDescent="0.35">
      <c r="A833" t="s">
        <v>1051</v>
      </c>
      <c r="B833" t="s">
        <v>1940</v>
      </c>
      <c r="C833" t="s">
        <v>1941</v>
      </c>
      <c r="D833" s="7">
        <v>44.9</v>
      </c>
      <c r="E833">
        <v>44.89484025907867</v>
      </c>
      <c r="F833" s="7">
        <v>55.1</v>
      </c>
      <c r="G833" s="6">
        <v>13741</v>
      </c>
      <c r="H833" s="6">
        <v>6169</v>
      </c>
      <c r="I833" s="6">
        <v>7572</v>
      </c>
      <c r="J833" t="s">
        <v>200</v>
      </c>
    </row>
    <row r="834" spans="1:10" x14ac:dyDescent="0.35">
      <c r="A834" t="s">
        <v>1051</v>
      </c>
      <c r="B834" t="s">
        <v>1942</v>
      </c>
      <c r="C834" t="s">
        <v>1943</v>
      </c>
      <c r="D834" s="7">
        <v>44.8</v>
      </c>
      <c r="E834">
        <v>44.823072967793202</v>
      </c>
      <c r="F834" s="7">
        <v>55.2</v>
      </c>
      <c r="G834" s="6">
        <v>21393</v>
      </c>
      <c r="H834" s="6">
        <v>9589</v>
      </c>
      <c r="I834" s="6">
        <v>11804</v>
      </c>
      <c r="J834" t="s">
        <v>200</v>
      </c>
    </row>
    <row r="835" spans="1:10" x14ac:dyDescent="0.35">
      <c r="A835" t="s">
        <v>1051</v>
      </c>
      <c r="B835" t="s">
        <v>1944</v>
      </c>
      <c r="C835" t="s">
        <v>1945</v>
      </c>
      <c r="D835" s="7">
        <v>44.8</v>
      </c>
      <c r="E835">
        <v>44.77700930121631</v>
      </c>
      <c r="F835" s="7">
        <v>55.2</v>
      </c>
      <c r="G835" s="6">
        <v>8386</v>
      </c>
      <c r="H835" s="6">
        <v>3755</v>
      </c>
      <c r="I835" s="6">
        <v>4631</v>
      </c>
      <c r="J835" t="s">
        <v>200</v>
      </c>
    </row>
    <row r="836" spans="1:10" x14ac:dyDescent="0.35">
      <c r="A836" t="s">
        <v>1051</v>
      </c>
      <c r="B836" t="s">
        <v>1946</v>
      </c>
      <c r="C836" t="s">
        <v>1947</v>
      </c>
      <c r="D836" s="7">
        <v>44.8</v>
      </c>
      <c r="E836">
        <v>44.760624393158572</v>
      </c>
      <c r="F836" s="7">
        <v>55.2</v>
      </c>
      <c r="G836" s="6">
        <v>13389</v>
      </c>
      <c r="H836" s="6">
        <v>5993</v>
      </c>
      <c r="I836" s="6">
        <v>7396</v>
      </c>
      <c r="J836" t="s">
        <v>200</v>
      </c>
    </row>
    <row r="837" spans="1:10" x14ac:dyDescent="0.35">
      <c r="A837" t="s">
        <v>1051</v>
      </c>
      <c r="B837" t="s">
        <v>1948</v>
      </c>
      <c r="C837" t="s">
        <v>1949</v>
      </c>
      <c r="D837" s="7">
        <v>44.7</v>
      </c>
      <c r="E837">
        <v>44.699471598414803</v>
      </c>
      <c r="F837" s="7">
        <v>55.3</v>
      </c>
      <c r="G837" s="6">
        <v>6056</v>
      </c>
      <c r="H837" s="6">
        <v>2707</v>
      </c>
      <c r="I837" s="6">
        <v>3349</v>
      </c>
      <c r="J837" t="s">
        <v>200</v>
      </c>
    </row>
    <row r="838" spans="1:10" x14ac:dyDescent="0.35">
      <c r="A838" t="s">
        <v>1051</v>
      </c>
      <c r="B838" t="s">
        <v>1950</v>
      </c>
      <c r="C838" t="s">
        <v>1951</v>
      </c>
      <c r="D838" s="7">
        <v>44.7</v>
      </c>
      <c r="E838">
        <v>44.690990320178713</v>
      </c>
      <c r="F838" s="7">
        <v>55.3</v>
      </c>
      <c r="G838" s="6">
        <v>13430</v>
      </c>
      <c r="H838" s="6">
        <v>6002</v>
      </c>
      <c r="I838" s="6">
        <v>7428</v>
      </c>
      <c r="J838" t="s">
        <v>200</v>
      </c>
    </row>
    <row r="839" spans="1:10" x14ac:dyDescent="0.35">
      <c r="A839" t="s">
        <v>1051</v>
      </c>
      <c r="B839" t="s">
        <v>1952</v>
      </c>
      <c r="C839" t="s">
        <v>1953</v>
      </c>
      <c r="D839" s="7">
        <v>44.6</v>
      </c>
      <c r="E839">
        <v>44.628775479839312</v>
      </c>
      <c r="F839" s="7">
        <v>55.4</v>
      </c>
      <c r="G839" s="6">
        <v>13442</v>
      </c>
      <c r="H839" s="6">
        <v>5999</v>
      </c>
      <c r="I839" s="6">
        <v>7443</v>
      </c>
      <c r="J839" t="s">
        <v>200</v>
      </c>
    </row>
    <row r="840" spans="1:10" x14ac:dyDescent="0.35">
      <c r="A840" t="s">
        <v>1051</v>
      </c>
      <c r="B840" t="s">
        <v>1954</v>
      </c>
      <c r="C840" t="s">
        <v>1955</v>
      </c>
      <c r="D840" s="7">
        <v>44.6</v>
      </c>
      <c r="E840">
        <v>44.569004696258141</v>
      </c>
      <c r="F840" s="7">
        <v>55.4</v>
      </c>
      <c r="G840" s="6">
        <v>19803</v>
      </c>
      <c r="H840" s="6">
        <v>8826</v>
      </c>
      <c r="I840" s="6">
        <v>10977</v>
      </c>
      <c r="J840" t="s">
        <v>200</v>
      </c>
    </row>
    <row r="841" spans="1:10" x14ac:dyDescent="0.35">
      <c r="A841" t="s">
        <v>1051</v>
      </c>
      <c r="B841" t="s">
        <v>1956</v>
      </c>
      <c r="C841" t="s">
        <v>1957</v>
      </c>
      <c r="D841" s="7">
        <v>44.4</v>
      </c>
      <c r="E841">
        <v>44.445457446323573</v>
      </c>
      <c r="F841" s="7">
        <v>55.6</v>
      </c>
      <c r="G841" s="6">
        <v>21937</v>
      </c>
      <c r="H841" s="6">
        <v>9750</v>
      </c>
      <c r="I841" s="6">
        <v>12187</v>
      </c>
      <c r="J841" t="s">
        <v>200</v>
      </c>
    </row>
    <row r="842" spans="1:10" x14ac:dyDescent="0.35">
      <c r="A842" t="s">
        <v>1051</v>
      </c>
      <c r="B842" t="s">
        <v>1958</v>
      </c>
      <c r="C842" t="s">
        <v>1959</v>
      </c>
      <c r="D842" s="7">
        <v>44.4</v>
      </c>
      <c r="E842">
        <v>44.4292576248682</v>
      </c>
      <c r="F842" s="7">
        <v>55.6</v>
      </c>
      <c r="G842" s="6">
        <v>25607</v>
      </c>
      <c r="H842" s="6">
        <v>11377</v>
      </c>
      <c r="I842" s="6">
        <v>14230</v>
      </c>
      <c r="J842" t="s">
        <v>200</v>
      </c>
    </row>
    <row r="843" spans="1:10" x14ac:dyDescent="0.35">
      <c r="A843" t="s">
        <v>1051</v>
      </c>
      <c r="B843" t="s">
        <v>1960</v>
      </c>
      <c r="C843" t="s">
        <v>1961</v>
      </c>
      <c r="D843" s="7">
        <v>44.3</v>
      </c>
      <c r="E843">
        <v>44.331634330812243</v>
      </c>
      <c r="F843" s="7">
        <v>55.7</v>
      </c>
      <c r="G843" s="6">
        <v>24328</v>
      </c>
      <c r="H843" s="6">
        <v>10785</v>
      </c>
      <c r="I843" s="6">
        <v>13543</v>
      </c>
      <c r="J843" t="s">
        <v>200</v>
      </c>
    </row>
    <row r="844" spans="1:10" x14ac:dyDescent="0.35">
      <c r="A844" t="s">
        <v>1051</v>
      </c>
      <c r="B844" t="s">
        <v>1962</v>
      </c>
      <c r="C844" t="s">
        <v>1963</v>
      </c>
      <c r="D844" s="7">
        <v>44.2</v>
      </c>
      <c r="E844">
        <v>44.247050050445232</v>
      </c>
      <c r="F844" s="7">
        <v>55.8</v>
      </c>
      <c r="G844" s="6">
        <v>22797</v>
      </c>
      <c r="H844" s="6">
        <v>10087</v>
      </c>
      <c r="I844" s="6">
        <v>12710</v>
      </c>
      <c r="J844" t="s">
        <v>200</v>
      </c>
    </row>
    <row r="845" spans="1:10" x14ac:dyDescent="0.35">
      <c r="A845" t="s">
        <v>1051</v>
      </c>
      <c r="B845" t="s">
        <v>1964</v>
      </c>
      <c r="C845" t="s">
        <v>1965</v>
      </c>
      <c r="D845" s="7">
        <v>44.2</v>
      </c>
      <c r="E845">
        <v>44.246737841043888</v>
      </c>
      <c r="F845" s="7">
        <v>55.8</v>
      </c>
      <c r="G845" s="6">
        <v>8430</v>
      </c>
      <c r="H845" s="6">
        <v>3730</v>
      </c>
      <c r="I845" s="6">
        <v>4700</v>
      </c>
      <c r="J845" t="s">
        <v>200</v>
      </c>
    </row>
    <row r="846" spans="1:10" x14ac:dyDescent="0.35">
      <c r="A846" t="s">
        <v>1051</v>
      </c>
      <c r="B846" t="s">
        <v>1966</v>
      </c>
      <c r="C846" t="s">
        <v>1967</v>
      </c>
      <c r="D846" s="7">
        <v>44.2</v>
      </c>
      <c r="E846">
        <v>44.200462740646962</v>
      </c>
      <c r="F846" s="7">
        <v>55.8</v>
      </c>
      <c r="G846" s="6">
        <v>22907</v>
      </c>
      <c r="H846" s="6">
        <v>10125</v>
      </c>
      <c r="I846" s="6">
        <v>12782</v>
      </c>
      <c r="J846" t="s">
        <v>200</v>
      </c>
    </row>
    <row r="847" spans="1:10" x14ac:dyDescent="0.35">
      <c r="A847" t="s">
        <v>1051</v>
      </c>
      <c r="B847" t="s">
        <v>1968</v>
      </c>
      <c r="C847" t="s">
        <v>1969</v>
      </c>
      <c r="D847" s="7">
        <v>44.1</v>
      </c>
      <c r="E847">
        <v>44.134399999999999</v>
      </c>
      <c r="F847" s="7">
        <v>55.9</v>
      </c>
      <c r="G847" s="6">
        <v>15625</v>
      </c>
      <c r="H847" s="6">
        <v>6896</v>
      </c>
      <c r="I847" s="6">
        <v>8729</v>
      </c>
      <c r="J847" t="s">
        <v>200</v>
      </c>
    </row>
    <row r="848" spans="1:10" x14ac:dyDescent="0.35">
      <c r="A848" t="s">
        <v>1051</v>
      </c>
      <c r="B848" t="s">
        <v>1970</v>
      </c>
      <c r="C848" t="s">
        <v>1971</v>
      </c>
      <c r="D848" s="7">
        <v>44.1</v>
      </c>
      <c r="E848">
        <v>44.103450760031699</v>
      </c>
      <c r="F848" s="7">
        <v>55.9</v>
      </c>
      <c r="G848" s="6">
        <v>13881</v>
      </c>
      <c r="H848" s="6">
        <v>6122</v>
      </c>
      <c r="I848" s="6">
        <v>7759</v>
      </c>
      <c r="J848" t="s">
        <v>200</v>
      </c>
    </row>
    <row r="849" spans="1:10" x14ac:dyDescent="0.35">
      <c r="A849" t="s">
        <v>1051</v>
      </c>
      <c r="B849" t="s">
        <v>1972</v>
      </c>
      <c r="C849" t="s">
        <v>1973</v>
      </c>
      <c r="D849" s="7">
        <v>44.1</v>
      </c>
      <c r="E849">
        <v>44.064545249379371</v>
      </c>
      <c r="F849" s="7">
        <v>55.9</v>
      </c>
      <c r="G849" s="6">
        <v>26586</v>
      </c>
      <c r="H849" s="6">
        <v>11715</v>
      </c>
      <c r="I849" s="6">
        <v>14871</v>
      </c>
      <c r="J849" t="s">
        <v>200</v>
      </c>
    </row>
    <row r="850" spans="1:10" x14ac:dyDescent="0.35">
      <c r="A850" t="s">
        <v>1051</v>
      </c>
      <c r="B850" t="s">
        <v>1974</v>
      </c>
      <c r="C850" t="s">
        <v>1975</v>
      </c>
      <c r="D850" s="7">
        <v>44</v>
      </c>
      <c r="E850">
        <v>44.028266903001608</v>
      </c>
      <c r="F850" s="7">
        <v>56</v>
      </c>
      <c r="G850" s="6">
        <v>42877</v>
      </c>
      <c r="H850" s="6">
        <v>18878</v>
      </c>
      <c r="I850" s="6">
        <v>23999</v>
      </c>
      <c r="J850" t="s">
        <v>200</v>
      </c>
    </row>
    <row r="851" spans="1:10" x14ac:dyDescent="0.35">
      <c r="A851" t="s">
        <v>1051</v>
      </c>
      <c r="B851" t="s">
        <v>1976</v>
      </c>
      <c r="C851" t="s">
        <v>1977</v>
      </c>
      <c r="D851" s="7">
        <v>44</v>
      </c>
      <c r="E851">
        <v>44.013000342114267</v>
      </c>
      <c r="F851" s="7">
        <v>56</v>
      </c>
      <c r="G851" s="6">
        <v>23384</v>
      </c>
      <c r="H851" s="6">
        <v>10292</v>
      </c>
      <c r="I851" s="6">
        <v>13092</v>
      </c>
      <c r="J851" t="s">
        <v>200</v>
      </c>
    </row>
    <row r="852" spans="1:10" x14ac:dyDescent="0.35">
      <c r="A852" t="s">
        <v>1051</v>
      </c>
      <c r="B852" t="s">
        <v>1978</v>
      </c>
      <c r="C852" t="s">
        <v>1979</v>
      </c>
      <c r="D852" s="7">
        <v>44</v>
      </c>
      <c r="E852">
        <v>43.985532609963833</v>
      </c>
      <c r="F852" s="7">
        <v>56</v>
      </c>
      <c r="G852" s="6">
        <v>25713</v>
      </c>
      <c r="H852" s="6">
        <v>11310</v>
      </c>
      <c r="I852" s="6">
        <v>14403</v>
      </c>
      <c r="J852" t="s">
        <v>200</v>
      </c>
    </row>
    <row r="853" spans="1:10" x14ac:dyDescent="0.35">
      <c r="A853" t="s">
        <v>1051</v>
      </c>
      <c r="B853" t="s">
        <v>1980</v>
      </c>
      <c r="C853" t="s">
        <v>1981</v>
      </c>
      <c r="D853" s="7">
        <v>43.8</v>
      </c>
      <c r="E853">
        <v>43.754965835054833</v>
      </c>
      <c r="F853" s="7">
        <v>56.2</v>
      </c>
      <c r="G853" s="6">
        <v>12586</v>
      </c>
      <c r="H853" s="6">
        <v>5507</v>
      </c>
      <c r="I853" s="6">
        <v>7079</v>
      </c>
      <c r="J853" t="s">
        <v>200</v>
      </c>
    </row>
    <row r="854" spans="1:10" x14ac:dyDescent="0.35">
      <c r="A854" t="s">
        <v>1051</v>
      </c>
      <c r="B854" t="s">
        <v>1982</v>
      </c>
      <c r="C854" t="s">
        <v>1983</v>
      </c>
      <c r="D854" s="7">
        <v>43.7</v>
      </c>
      <c r="E854">
        <v>43.742959971427787</v>
      </c>
      <c r="F854" s="7">
        <v>56.3</v>
      </c>
      <c r="G854" s="6">
        <v>36399</v>
      </c>
      <c r="H854" s="6">
        <v>15922</v>
      </c>
      <c r="I854" s="6">
        <v>20477</v>
      </c>
      <c r="J854" t="s">
        <v>200</v>
      </c>
    </row>
    <row r="855" spans="1:10" x14ac:dyDescent="0.35">
      <c r="A855" t="s">
        <v>1051</v>
      </c>
      <c r="B855" t="s">
        <v>1984</v>
      </c>
      <c r="C855" t="s">
        <v>1985</v>
      </c>
      <c r="D855" s="7">
        <v>43.7</v>
      </c>
      <c r="E855">
        <v>43.677558084648872</v>
      </c>
      <c r="F855" s="7">
        <v>56.3</v>
      </c>
      <c r="G855" s="6">
        <v>19067</v>
      </c>
      <c r="H855" s="6">
        <v>8328</v>
      </c>
      <c r="I855" s="6">
        <v>10739</v>
      </c>
      <c r="J855" t="s">
        <v>200</v>
      </c>
    </row>
    <row r="856" spans="1:10" x14ac:dyDescent="0.35">
      <c r="A856" t="s">
        <v>1051</v>
      </c>
      <c r="B856" t="s">
        <v>1986</v>
      </c>
      <c r="C856" t="s">
        <v>1987</v>
      </c>
      <c r="D856" s="7">
        <v>43.6</v>
      </c>
      <c r="E856">
        <v>43.641121495327113</v>
      </c>
      <c r="F856" s="7">
        <v>56.4</v>
      </c>
      <c r="G856" s="6">
        <v>13375</v>
      </c>
      <c r="H856" s="6">
        <v>5837</v>
      </c>
      <c r="I856" s="6">
        <v>7538</v>
      </c>
      <c r="J856" t="s">
        <v>200</v>
      </c>
    </row>
    <row r="857" spans="1:10" x14ac:dyDescent="0.35">
      <c r="A857" t="s">
        <v>1051</v>
      </c>
      <c r="B857" t="s">
        <v>1988</v>
      </c>
      <c r="C857" t="s">
        <v>1989</v>
      </c>
      <c r="D857" s="7">
        <v>43.6</v>
      </c>
      <c r="E857">
        <v>43.621735074626862</v>
      </c>
      <c r="F857" s="7">
        <v>56.4</v>
      </c>
      <c r="G857" s="6">
        <v>8576</v>
      </c>
      <c r="H857" s="6">
        <v>3741</v>
      </c>
      <c r="I857" s="6">
        <v>4835</v>
      </c>
      <c r="J857" t="s">
        <v>200</v>
      </c>
    </row>
    <row r="858" spans="1:10" x14ac:dyDescent="0.35">
      <c r="A858" t="s">
        <v>1051</v>
      </c>
      <c r="B858" t="s">
        <v>1990</v>
      </c>
      <c r="C858" t="s">
        <v>1991</v>
      </c>
      <c r="D858" s="7">
        <v>43.6</v>
      </c>
      <c r="E858">
        <v>43.558389685014539</v>
      </c>
      <c r="F858" s="7">
        <v>56.4</v>
      </c>
      <c r="G858" s="6">
        <v>28541</v>
      </c>
      <c r="H858" s="6">
        <v>12432</v>
      </c>
      <c r="I858" s="6">
        <v>16109</v>
      </c>
      <c r="J858" t="s">
        <v>200</v>
      </c>
    </row>
    <row r="859" spans="1:10" x14ac:dyDescent="0.35">
      <c r="A859" t="s">
        <v>1051</v>
      </c>
      <c r="B859" t="s">
        <v>1992</v>
      </c>
      <c r="C859" t="s">
        <v>1993</v>
      </c>
      <c r="D859" s="7">
        <v>43.6</v>
      </c>
      <c r="E859">
        <v>43.555022283167638</v>
      </c>
      <c r="F859" s="7">
        <v>56.4</v>
      </c>
      <c r="G859" s="6">
        <v>35004</v>
      </c>
      <c r="H859" s="6">
        <v>15246</v>
      </c>
      <c r="I859" s="6">
        <v>19758</v>
      </c>
      <c r="J859" t="s">
        <v>200</v>
      </c>
    </row>
    <row r="860" spans="1:10" x14ac:dyDescent="0.35">
      <c r="A860" t="s">
        <v>1051</v>
      </c>
      <c r="B860" t="s">
        <v>1994</v>
      </c>
      <c r="C860" t="s">
        <v>1995</v>
      </c>
      <c r="D860" s="7">
        <v>43.4</v>
      </c>
      <c r="E860">
        <v>43.42800323162016</v>
      </c>
      <c r="F860" s="7">
        <v>56.6</v>
      </c>
      <c r="G860" s="6">
        <v>16091</v>
      </c>
      <c r="H860" s="6">
        <v>6988</v>
      </c>
      <c r="I860" s="6">
        <v>9103</v>
      </c>
      <c r="J860" t="s">
        <v>200</v>
      </c>
    </row>
    <row r="861" spans="1:10" x14ac:dyDescent="0.35">
      <c r="A861" t="s">
        <v>1051</v>
      </c>
      <c r="B861" t="s">
        <v>1996</v>
      </c>
      <c r="C861" t="s">
        <v>1997</v>
      </c>
      <c r="D861" s="7">
        <v>43.4</v>
      </c>
      <c r="E861">
        <v>43.365921787709503</v>
      </c>
      <c r="F861" s="7">
        <v>56.6</v>
      </c>
      <c r="G861" s="6">
        <v>8592</v>
      </c>
      <c r="H861" s="6">
        <v>3726</v>
      </c>
      <c r="I861" s="6">
        <v>4866</v>
      </c>
      <c r="J861" t="s">
        <v>200</v>
      </c>
    </row>
    <row r="862" spans="1:10" x14ac:dyDescent="0.35">
      <c r="A862" t="s">
        <v>1051</v>
      </c>
      <c r="B862" t="s">
        <v>1998</v>
      </c>
      <c r="C862" t="s">
        <v>1999</v>
      </c>
      <c r="D862" s="7">
        <v>43.3</v>
      </c>
      <c r="E862">
        <v>43.3467633628794</v>
      </c>
      <c r="F862" s="7">
        <v>56.7</v>
      </c>
      <c r="G862" s="6">
        <v>37230</v>
      </c>
      <c r="H862" s="6">
        <v>16138</v>
      </c>
      <c r="I862" s="6">
        <v>21092</v>
      </c>
      <c r="J862" t="s">
        <v>200</v>
      </c>
    </row>
    <row r="863" spans="1:10" x14ac:dyDescent="0.35">
      <c r="A863" t="s">
        <v>1051</v>
      </c>
      <c r="B863" t="s">
        <v>2000</v>
      </c>
      <c r="C863" t="s">
        <v>2001</v>
      </c>
      <c r="D863" s="7">
        <v>43.2</v>
      </c>
      <c r="E863">
        <v>43.240296554731792</v>
      </c>
      <c r="F863" s="7">
        <v>56.8</v>
      </c>
      <c r="G863" s="6">
        <v>13758</v>
      </c>
      <c r="H863" s="6">
        <v>5949</v>
      </c>
      <c r="I863" s="6">
        <v>7809</v>
      </c>
      <c r="J863" t="s">
        <v>200</v>
      </c>
    </row>
    <row r="864" spans="1:10" x14ac:dyDescent="0.35">
      <c r="A864" t="s">
        <v>1051</v>
      </c>
      <c r="B864" t="s">
        <v>2002</v>
      </c>
      <c r="C864" t="s">
        <v>2003</v>
      </c>
      <c r="D864" s="7">
        <v>43.2</v>
      </c>
      <c r="E864">
        <v>43.205429391803698</v>
      </c>
      <c r="F864" s="7">
        <v>56.8</v>
      </c>
      <c r="G864" s="6">
        <v>19155</v>
      </c>
      <c r="H864" s="6">
        <v>8276</v>
      </c>
      <c r="I864" s="6">
        <v>10879</v>
      </c>
      <c r="J864" t="s">
        <v>200</v>
      </c>
    </row>
    <row r="865" spans="1:10" x14ac:dyDescent="0.35">
      <c r="A865" t="s">
        <v>1051</v>
      </c>
      <c r="B865" t="s">
        <v>2004</v>
      </c>
      <c r="C865" t="s">
        <v>2005</v>
      </c>
      <c r="D865" s="7">
        <v>43.1</v>
      </c>
      <c r="E865">
        <v>43.138163437236727</v>
      </c>
      <c r="F865" s="7">
        <v>56.9</v>
      </c>
      <c r="G865" s="6">
        <v>23740</v>
      </c>
      <c r="H865" s="6">
        <v>10241</v>
      </c>
      <c r="I865" s="6">
        <v>13499</v>
      </c>
      <c r="J865" t="s">
        <v>200</v>
      </c>
    </row>
    <row r="866" spans="1:10" x14ac:dyDescent="0.35">
      <c r="A866" t="s">
        <v>1051</v>
      </c>
      <c r="B866" t="s">
        <v>2006</v>
      </c>
      <c r="C866" t="s">
        <v>2007</v>
      </c>
      <c r="D866" s="7">
        <v>43.1</v>
      </c>
      <c r="E866">
        <v>43.063467864880053</v>
      </c>
      <c r="F866" s="7">
        <v>56.9</v>
      </c>
      <c r="G866" s="6">
        <v>12463</v>
      </c>
      <c r="H866" s="6">
        <v>5367</v>
      </c>
      <c r="I866" s="6">
        <v>7096</v>
      </c>
      <c r="J866" t="s">
        <v>200</v>
      </c>
    </row>
    <row r="867" spans="1:10" x14ac:dyDescent="0.35">
      <c r="A867" t="s">
        <v>1051</v>
      </c>
      <c r="B867" t="s">
        <v>2008</v>
      </c>
      <c r="C867" t="s">
        <v>2009</v>
      </c>
      <c r="D867" s="7">
        <v>42.8</v>
      </c>
      <c r="E867">
        <v>42.823096089264432</v>
      </c>
      <c r="F867" s="7">
        <v>57.2</v>
      </c>
      <c r="G867" s="6">
        <v>18462</v>
      </c>
      <c r="H867" s="6">
        <v>7906</v>
      </c>
      <c r="I867" s="6">
        <v>10556</v>
      </c>
      <c r="J867" t="s">
        <v>200</v>
      </c>
    </row>
    <row r="868" spans="1:10" x14ac:dyDescent="0.35">
      <c r="A868" t="s">
        <v>1051</v>
      </c>
      <c r="B868" t="s">
        <v>2010</v>
      </c>
      <c r="C868" t="s">
        <v>2011</v>
      </c>
      <c r="D868" s="7">
        <v>42.8</v>
      </c>
      <c r="E868">
        <v>42.796286876907423</v>
      </c>
      <c r="F868" s="7">
        <v>57.2</v>
      </c>
      <c r="G868" s="6">
        <v>15728</v>
      </c>
      <c r="H868" s="6">
        <v>6731</v>
      </c>
      <c r="I868" s="6">
        <v>8997</v>
      </c>
      <c r="J868" t="s">
        <v>200</v>
      </c>
    </row>
    <row r="869" spans="1:10" x14ac:dyDescent="0.35">
      <c r="A869" t="s">
        <v>1051</v>
      </c>
      <c r="B869" t="s">
        <v>2012</v>
      </c>
      <c r="C869" t="s">
        <v>2013</v>
      </c>
      <c r="D869" s="7">
        <v>42.5</v>
      </c>
      <c r="E869">
        <v>42.497357129531743</v>
      </c>
      <c r="F869" s="7">
        <v>57.5</v>
      </c>
      <c r="G869" s="6">
        <v>16081</v>
      </c>
      <c r="H869" s="6">
        <v>6834</v>
      </c>
      <c r="I869" s="6">
        <v>9247</v>
      </c>
      <c r="J869" t="s">
        <v>200</v>
      </c>
    </row>
    <row r="870" spans="1:10" x14ac:dyDescent="0.35">
      <c r="A870" t="s">
        <v>1051</v>
      </c>
      <c r="B870" t="s">
        <v>2014</v>
      </c>
      <c r="C870" t="s">
        <v>2015</v>
      </c>
      <c r="D870" s="7">
        <v>42.4</v>
      </c>
      <c r="E870">
        <v>42.435014441235282</v>
      </c>
      <c r="F870" s="7">
        <v>57.6</v>
      </c>
      <c r="G870" s="6">
        <v>9002</v>
      </c>
      <c r="H870" s="6">
        <v>3820</v>
      </c>
      <c r="I870" s="6">
        <v>5182</v>
      </c>
      <c r="J870" t="s">
        <v>200</v>
      </c>
    </row>
    <row r="871" spans="1:10" x14ac:dyDescent="0.35">
      <c r="A871" t="s">
        <v>1051</v>
      </c>
      <c r="B871" t="s">
        <v>2016</v>
      </c>
      <c r="C871" t="s">
        <v>2017</v>
      </c>
      <c r="D871" s="7">
        <v>42.4</v>
      </c>
      <c r="E871">
        <v>42.428465254552208</v>
      </c>
      <c r="F871" s="7">
        <v>57.6</v>
      </c>
      <c r="G871" s="6">
        <v>43056</v>
      </c>
      <c r="H871" s="6">
        <v>18268</v>
      </c>
      <c r="I871" s="6">
        <v>24788</v>
      </c>
      <c r="J871" t="s">
        <v>200</v>
      </c>
    </row>
    <row r="872" spans="1:10" x14ac:dyDescent="0.35">
      <c r="A872" t="s">
        <v>1051</v>
      </c>
      <c r="B872" t="s">
        <v>2018</v>
      </c>
      <c r="C872" t="s">
        <v>2019</v>
      </c>
      <c r="D872" s="7">
        <v>42.3</v>
      </c>
      <c r="E872">
        <v>42.340130244475283</v>
      </c>
      <c r="F872" s="7">
        <v>57.7</v>
      </c>
      <c r="G872" s="6">
        <v>28101</v>
      </c>
      <c r="H872" s="6">
        <v>11898</v>
      </c>
      <c r="I872" s="6">
        <v>16203</v>
      </c>
      <c r="J872" t="s">
        <v>200</v>
      </c>
    </row>
    <row r="873" spans="1:10" x14ac:dyDescent="0.35">
      <c r="A873" t="s">
        <v>1051</v>
      </c>
      <c r="B873" t="s">
        <v>2020</v>
      </c>
      <c r="C873" t="s">
        <v>2021</v>
      </c>
      <c r="D873" s="7">
        <v>42.2</v>
      </c>
      <c r="E873">
        <v>42.23062828772386</v>
      </c>
      <c r="F873" s="7">
        <v>57.8</v>
      </c>
      <c r="G873" s="6">
        <v>33838</v>
      </c>
      <c r="H873" s="6">
        <v>14290</v>
      </c>
      <c r="I873" s="6">
        <v>19548</v>
      </c>
      <c r="J873" t="s">
        <v>200</v>
      </c>
    </row>
    <row r="874" spans="1:10" x14ac:dyDescent="0.35">
      <c r="A874" t="s">
        <v>1051</v>
      </c>
      <c r="B874" t="s">
        <v>2022</v>
      </c>
      <c r="C874" t="s">
        <v>2023</v>
      </c>
      <c r="D874" s="7">
        <v>42</v>
      </c>
      <c r="E874">
        <v>42.004905451380637</v>
      </c>
      <c r="F874" s="7">
        <v>58</v>
      </c>
      <c r="G874" s="6">
        <v>12639</v>
      </c>
      <c r="H874" s="6">
        <v>5309</v>
      </c>
      <c r="I874" s="6">
        <v>7330</v>
      </c>
      <c r="J874" t="s">
        <v>200</v>
      </c>
    </row>
    <row r="875" spans="1:10" x14ac:dyDescent="0.35">
      <c r="A875" t="s">
        <v>1051</v>
      </c>
      <c r="B875" t="s">
        <v>2024</v>
      </c>
      <c r="C875" t="s">
        <v>2025</v>
      </c>
      <c r="D875" s="7">
        <v>41.9</v>
      </c>
      <c r="E875">
        <v>41.871132459215033</v>
      </c>
      <c r="F875" s="7">
        <v>58.1</v>
      </c>
      <c r="G875" s="6">
        <v>23109</v>
      </c>
      <c r="H875" s="6">
        <v>9676</v>
      </c>
      <c r="I875" s="6">
        <v>13433</v>
      </c>
      <c r="J875" t="s">
        <v>200</v>
      </c>
    </row>
    <row r="876" spans="1:10" x14ac:dyDescent="0.35">
      <c r="A876" t="s">
        <v>1051</v>
      </c>
      <c r="B876" t="s">
        <v>2026</v>
      </c>
      <c r="C876" t="s">
        <v>2027</v>
      </c>
      <c r="D876" s="7">
        <v>41.7</v>
      </c>
      <c r="E876">
        <v>41.717961131475207</v>
      </c>
      <c r="F876" s="7">
        <v>58.3</v>
      </c>
      <c r="G876" s="6">
        <v>14459</v>
      </c>
      <c r="H876" s="6">
        <v>6032</v>
      </c>
      <c r="I876" s="6">
        <v>8427</v>
      </c>
      <c r="J876" t="s">
        <v>200</v>
      </c>
    </row>
    <row r="877" spans="1:10" x14ac:dyDescent="0.35">
      <c r="A877" t="s">
        <v>1051</v>
      </c>
      <c r="B877" t="s">
        <v>2028</v>
      </c>
      <c r="C877" t="s">
        <v>2029</v>
      </c>
      <c r="D877" s="7">
        <v>41.6</v>
      </c>
      <c r="E877">
        <v>41.645933014354057</v>
      </c>
      <c r="F877" s="7">
        <v>58.4</v>
      </c>
      <c r="G877" s="6">
        <v>20900</v>
      </c>
      <c r="H877" s="6">
        <v>8704</v>
      </c>
      <c r="I877" s="6">
        <v>12196</v>
      </c>
      <c r="J877" t="s">
        <v>200</v>
      </c>
    </row>
    <row r="878" spans="1:10" x14ac:dyDescent="0.35">
      <c r="A878" t="s">
        <v>1051</v>
      </c>
      <c r="B878" t="s">
        <v>2030</v>
      </c>
      <c r="C878" t="s">
        <v>2031</v>
      </c>
      <c r="D878" s="7">
        <v>41.6</v>
      </c>
      <c r="E878">
        <v>41.585989767807952</v>
      </c>
      <c r="F878" s="7">
        <v>58.4</v>
      </c>
      <c r="G878" s="6">
        <v>25410</v>
      </c>
      <c r="H878" s="6">
        <v>10567</v>
      </c>
      <c r="I878" s="6">
        <v>14843</v>
      </c>
      <c r="J878" t="s">
        <v>200</v>
      </c>
    </row>
    <row r="879" spans="1:10" x14ac:dyDescent="0.35">
      <c r="A879" t="s">
        <v>1051</v>
      </c>
      <c r="B879" t="s">
        <v>2032</v>
      </c>
      <c r="C879" t="s">
        <v>2033</v>
      </c>
      <c r="D879" s="7">
        <v>41.4</v>
      </c>
      <c r="E879">
        <v>41.39998066325051</v>
      </c>
      <c r="F879" s="7">
        <v>58.6</v>
      </c>
      <c r="G879" s="6">
        <v>20686</v>
      </c>
      <c r="H879" s="6">
        <v>8564</v>
      </c>
      <c r="I879" s="6">
        <v>12122</v>
      </c>
      <c r="J879" t="s">
        <v>200</v>
      </c>
    </row>
    <row r="880" spans="1:10" x14ac:dyDescent="0.35">
      <c r="A880" t="s">
        <v>1051</v>
      </c>
      <c r="B880" t="s">
        <v>2034</v>
      </c>
      <c r="C880" t="s">
        <v>2035</v>
      </c>
      <c r="D880" s="7">
        <v>41.2</v>
      </c>
      <c r="E880">
        <v>41.158000502386336</v>
      </c>
      <c r="F880" s="7">
        <v>58.8</v>
      </c>
      <c r="G880" s="6">
        <v>15924</v>
      </c>
      <c r="H880" s="6">
        <v>6554</v>
      </c>
      <c r="I880" s="6">
        <v>9370</v>
      </c>
      <c r="J880" t="s">
        <v>200</v>
      </c>
    </row>
    <row r="881" spans="1:10" x14ac:dyDescent="0.35">
      <c r="A881" t="s">
        <v>1051</v>
      </c>
      <c r="B881" t="s">
        <v>2036</v>
      </c>
      <c r="C881" t="s">
        <v>2037</v>
      </c>
      <c r="D881" s="7">
        <v>41</v>
      </c>
      <c r="E881">
        <v>40.964820899110507</v>
      </c>
      <c r="F881" s="7">
        <v>59</v>
      </c>
      <c r="G881" s="6">
        <v>24958</v>
      </c>
      <c r="H881" s="6">
        <v>10224</v>
      </c>
      <c r="I881" s="6">
        <v>14734</v>
      </c>
      <c r="J881" t="s">
        <v>200</v>
      </c>
    </row>
    <row r="882" spans="1:10" x14ac:dyDescent="0.35">
      <c r="A882" t="s">
        <v>1051</v>
      </c>
      <c r="B882" t="s">
        <v>2038</v>
      </c>
      <c r="C882" t="s">
        <v>2039</v>
      </c>
      <c r="D882" s="7">
        <v>40.799999999999997</v>
      </c>
      <c r="E882">
        <v>40.801361791279298</v>
      </c>
      <c r="F882" s="7">
        <v>59.2</v>
      </c>
      <c r="G882" s="6">
        <v>22911</v>
      </c>
      <c r="H882" s="6">
        <v>9348</v>
      </c>
      <c r="I882" s="6">
        <v>13563</v>
      </c>
      <c r="J882" t="s">
        <v>200</v>
      </c>
    </row>
    <row r="883" spans="1:10" x14ac:dyDescent="0.35">
      <c r="A883" t="s">
        <v>1051</v>
      </c>
      <c r="B883" t="s">
        <v>2040</v>
      </c>
      <c r="C883" t="s">
        <v>2041</v>
      </c>
      <c r="D883" s="7">
        <v>40.700000000000003</v>
      </c>
      <c r="E883">
        <v>40.703277828140664</v>
      </c>
      <c r="F883" s="7">
        <v>59.3</v>
      </c>
      <c r="G883" s="6">
        <v>20959</v>
      </c>
      <c r="H883" s="6">
        <v>8531</v>
      </c>
      <c r="I883" s="6">
        <v>12428</v>
      </c>
      <c r="J883" t="s">
        <v>200</v>
      </c>
    </row>
    <row r="884" spans="1:10" x14ac:dyDescent="0.35">
      <c r="A884" t="s">
        <v>1051</v>
      </c>
      <c r="B884" t="s">
        <v>2042</v>
      </c>
      <c r="C884" t="s">
        <v>2043</v>
      </c>
      <c r="D884" s="7">
        <v>40.6</v>
      </c>
      <c r="E884">
        <v>40.63132335087009</v>
      </c>
      <c r="F884" s="7">
        <v>59.4</v>
      </c>
      <c r="G884" s="6">
        <v>14826</v>
      </c>
      <c r="H884" s="6">
        <v>6024</v>
      </c>
      <c r="I884" s="6">
        <v>8802</v>
      </c>
      <c r="J884" t="s">
        <v>200</v>
      </c>
    </row>
    <row r="885" spans="1:10" x14ac:dyDescent="0.35">
      <c r="A885" t="s">
        <v>1051</v>
      </c>
      <c r="B885" t="s">
        <v>2044</v>
      </c>
      <c r="C885" t="s">
        <v>2045</v>
      </c>
      <c r="D885" s="7">
        <v>40.5</v>
      </c>
      <c r="E885">
        <v>40.522574092881541</v>
      </c>
      <c r="F885" s="7">
        <v>59.5</v>
      </c>
      <c r="G885" s="6">
        <v>10831</v>
      </c>
      <c r="H885" s="6">
        <v>4389</v>
      </c>
      <c r="I885" s="6">
        <v>6442</v>
      </c>
      <c r="J885" t="s">
        <v>200</v>
      </c>
    </row>
    <row r="886" spans="1:10" x14ac:dyDescent="0.35">
      <c r="A886" t="s">
        <v>1051</v>
      </c>
      <c r="B886" t="s">
        <v>2046</v>
      </c>
      <c r="C886" t="s">
        <v>2047</v>
      </c>
      <c r="D886" s="7">
        <v>40.299999999999997</v>
      </c>
      <c r="E886">
        <v>40.302210193955787</v>
      </c>
      <c r="F886" s="7">
        <v>59.7</v>
      </c>
      <c r="G886" s="6">
        <v>8868</v>
      </c>
      <c r="H886" s="6">
        <v>3574</v>
      </c>
      <c r="I886" s="6">
        <v>5294</v>
      </c>
      <c r="J886" t="s">
        <v>200</v>
      </c>
    </row>
    <row r="887" spans="1:10" x14ac:dyDescent="0.35">
      <c r="A887" t="s">
        <v>1051</v>
      </c>
      <c r="B887" t="s">
        <v>2048</v>
      </c>
      <c r="C887" t="s">
        <v>2049</v>
      </c>
      <c r="D887" s="7">
        <v>40.200000000000003</v>
      </c>
      <c r="E887">
        <v>40.237853343692109</v>
      </c>
      <c r="F887" s="7">
        <v>59.8</v>
      </c>
      <c r="G887" s="6">
        <v>16733</v>
      </c>
      <c r="H887" s="6">
        <v>6733</v>
      </c>
      <c r="I887" s="6">
        <v>10000</v>
      </c>
      <c r="J887" t="s">
        <v>200</v>
      </c>
    </row>
    <row r="888" spans="1:10" x14ac:dyDescent="0.35">
      <c r="A888" t="s">
        <v>1051</v>
      </c>
      <c r="B888" t="s">
        <v>2050</v>
      </c>
      <c r="C888" t="s">
        <v>2051</v>
      </c>
      <c r="D888" s="7">
        <v>40.1</v>
      </c>
      <c r="E888">
        <v>40.074571998739628</v>
      </c>
      <c r="F888" s="7">
        <v>59.9</v>
      </c>
      <c r="G888" s="6">
        <v>19042</v>
      </c>
      <c r="H888" s="6">
        <v>7631</v>
      </c>
      <c r="I888" s="6">
        <v>11411</v>
      </c>
      <c r="J888" t="s">
        <v>200</v>
      </c>
    </row>
    <row r="889" spans="1:10" x14ac:dyDescent="0.35">
      <c r="A889" t="s">
        <v>1051</v>
      </c>
      <c r="B889" t="s">
        <v>2052</v>
      </c>
      <c r="C889" t="s">
        <v>2053</v>
      </c>
      <c r="D889" s="7">
        <v>40</v>
      </c>
      <c r="E889">
        <v>40.031548787947067</v>
      </c>
      <c r="F889" s="7">
        <v>60</v>
      </c>
      <c r="G889" s="6">
        <v>31063</v>
      </c>
      <c r="H889" s="6">
        <v>12435</v>
      </c>
      <c r="I889" s="6">
        <v>18628</v>
      </c>
      <c r="J889" t="s">
        <v>200</v>
      </c>
    </row>
    <row r="890" spans="1:10" x14ac:dyDescent="0.35">
      <c r="A890" t="s">
        <v>1051</v>
      </c>
      <c r="B890" t="s">
        <v>2054</v>
      </c>
      <c r="C890" t="s">
        <v>2055</v>
      </c>
      <c r="D890" s="7">
        <v>40</v>
      </c>
      <c r="E890">
        <v>39.990416866315293</v>
      </c>
      <c r="F890" s="7">
        <v>60</v>
      </c>
      <c r="G890" s="6">
        <v>10435</v>
      </c>
      <c r="H890" s="6">
        <v>4173</v>
      </c>
      <c r="I890" s="6">
        <v>6262</v>
      </c>
      <c r="J890" t="s">
        <v>200</v>
      </c>
    </row>
    <row r="891" spans="1:10" x14ac:dyDescent="0.35">
      <c r="A891" t="s">
        <v>1051</v>
      </c>
      <c r="B891" t="s">
        <v>2056</v>
      </c>
      <c r="C891" t="s">
        <v>2057</v>
      </c>
      <c r="D891" s="7">
        <v>40</v>
      </c>
      <c r="E891">
        <v>39.977141405803543</v>
      </c>
      <c r="F891" s="7">
        <v>60</v>
      </c>
      <c r="G891" s="6">
        <v>31498</v>
      </c>
      <c r="H891" s="6">
        <v>12592</v>
      </c>
      <c r="I891" s="6">
        <v>18906</v>
      </c>
      <c r="J891" t="s">
        <v>200</v>
      </c>
    </row>
    <row r="892" spans="1:10" x14ac:dyDescent="0.35">
      <c r="A892" t="s">
        <v>1051</v>
      </c>
      <c r="B892" t="s">
        <v>2058</v>
      </c>
      <c r="C892" t="s">
        <v>2059</v>
      </c>
      <c r="D892" s="7">
        <v>40</v>
      </c>
      <c r="E892">
        <v>39.960981047937572</v>
      </c>
      <c r="F892" s="7">
        <v>60</v>
      </c>
      <c r="G892" s="6">
        <v>17940</v>
      </c>
      <c r="H892" s="6">
        <v>7169</v>
      </c>
      <c r="I892" s="6">
        <v>10771</v>
      </c>
      <c r="J892" t="s">
        <v>200</v>
      </c>
    </row>
    <row r="893" spans="1:10" x14ac:dyDescent="0.35">
      <c r="A893" t="s">
        <v>1051</v>
      </c>
      <c r="B893" t="s">
        <v>2060</v>
      </c>
      <c r="C893" t="s">
        <v>2061</v>
      </c>
      <c r="D893" s="7">
        <v>39.6</v>
      </c>
      <c r="E893">
        <v>39.599410174490053</v>
      </c>
      <c r="F893" s="7">
        <v>60.4</v>
      </c>
      <c r="G893" s="6">
        <v>40690</v>
      </c>
      <c r="H893" s="6">
        <v>16113</v>
      </c>
      <c r="I893" s="6">
        <v>24577</v>
      </c>
      <c r="J893" t="s">
        <v>200</v>
      </c>
    </row>
    <row r="894" spans="1:10" x14ac:dyDescent="0.35">
      <c r="A894" t="s">
        <v>1051</v>
      </c>
      <c r="B894" t="s">
        <v>2062</v>
      </c>
      <c r="C894" t="s">
        <v>2063</v>
      </c>
      <c r="D894" s="7">
        <v>39.5</v>
      </c>
      <c r="E894">
        <v>39.47774480712166</v>
      </c>
      <c r="F894" s="7">
        <v>60.5</v>
      </c>
      <c r="G894" s="6">
        <v>25275</v>
      </c>
      <c r="H894" s="6">
        <v>9978</v>
      </c>
      <c r="I894" s="6">
        <v>15297</v>
      </c>
      <c r="J894" t="s">
        <v>200</v>
      </c>
    </row>
    <row r="895" spans="1:10" x14ac:dyDescent="0.35">
      <c r="A895" t="s">
        <v>1051</v>
      </c>
      <c r="B895" t="s">
        <v>2064</v>
      </c>
      <c r="C895" t="s">
        <v>2065</v>
      </c>
      <c r="D895" s="7">
        <v>39.200000000000003</v>
      </c>
      <c r="E895">
        <v>39.231894659839057</v>
      </c>
      <c r="F895" s="7">
        <v>60.8</v>
      </c>
      <c r="G895" s="6">
        <v>13670</v>
      </c>
      <c r="H895" s="6">
        <v>5363</v>
      </c>
      <c r="I895" s="6">
        <v>8307</v>
      </c>
      <c r="J895" t="s">
        <v>200</v>
      </c>
    </row>
    <row r="896" spans="1:10" x14ac:dyDescent="0.35">
      <c r="A896" t="s">
        <v>1051</v>
      </c>
      <c r="B896" t="s">
        <v>2066</v>
      </c>
      <c r="C896" t="s">
        <v>2067</v>
      </c>
      <c r="D896" s="7">
        <v>39.1</v>
      </c>
      <c r="E896">
        <v>39.148936170212757</v>
      </c>
      <c r="F896" s="7">
        <v>60.9</v>
      </c>
      <c r="G896" s="6">
        <v>20915</v>
      </c>
      <c r="H896" s="6">
        <v>8188</v>
      </c>
      <c r="I896" s="6">
        <v>12727</v>
      </c>
      <c r="J896" t="s">
        <v>200</v>
      </c>
    </row>
    <row r="897" spans="1:10" x14ac:dyDescent="0.35">
      <c r="A897" t="s">
        <v>1051</v>
      </c>
      <c r="B897" t="s">
        <v>2068</v>
      </c>
      <c r="C897" t="s">
        <v>2069</v>
      </c>
      <c r="D897" s="7">
        <v>39.1</v>
      </c>
      <c r="E897">
        <v>39.056559857242611</v>
      </c>
      <c r="F897" s="7">
        <v>60.9</v>
      </c>
      <c r="G897" s="6">
        <v>12889</v>
      </c>
      <c r="H897" s="6">
        <v>5034</v>
      </c>
      <c r="I897" s="6">
        <v>7855</v>
      </c>
      <c r="J897" t="s">
        <v>200</v>
      </c>
    </row>
    <row r="898" spans="1:10" x14ac:dyDescent="0.35">
      <c r="A898" t="s">
        <v>1051</v>
      </c>
      <c r="B898" t="s">
        <v>2070</v>
      </c>
      <c r="C898" t="s">
        <v>2071</v>
      </c>
      <c r="D898" s="7">
        <v>39</v>
      </c>
      <c r="E898">
        <v>38.959666529677683</v>
      </c>
      <c r="F898" s="7">
        <v>61</v>
      </c>
      <c r="G898" s="6">
        <v>17033</v>
      </c>
      <c r="H898" s="6">
        <v>6636</v>
      </c>
      <c r="I898" s="6">
        <v>10397</v>
      </c>
      <c r="J898" t="s">
        <v>200</v>
      </c>
    </row>
    <row r="899" spans="1:10" x14ac:dyDescent="0.35">
      <c r="A899" t="s">
        <v>1051</v>
      </c>
      <c r="B899" t="s">
        <v>2072</v>
      </c>
      <c r="C899" t="s">
        <v>2073</v>
      </c>
      <c r="D899" s="7">
        <v>38.9</v>
      </c>
      <c r="E899">
        <v>38.867465693937817</v>
      </c>
      <c r="F899" s="7">
        <v>61.1</v>
      </c>
      <c r="G899" s="6">
        <v>28785</v>
      </c>
      <c r="H899" s="6">
        <v>11188</v>
      </c>
      <c r="I899" s="6">
        <v>17597</v>
      </c>
      <c r="J899" t="s">
        <v>200</v>
      </c>
    </row>
    <row r="900" spans="1:10" x14ac:dyDescent="0.35">
      <c r="A900" t="s">
        <v>1051</v>
      </c>
      <c r="B900" t="s">
        <v>2074</v>
      </c>
      <c r="C900" t="s">
        <v>2075</v>
      </c>
      <c r="D900" s="7">
        <v>38.799999999999997</v>
      </c>
      <c r="E900">
        <v>38.833422794775451</v>
      </c>
      <c r="F900" s="7">
        <v>61.2</v>
      </c>
      <c r="G900" s="6">
        <v>27945</v>
      </c>
      <c r="H900" s="6">
        <v>10852</v>
      </c>
      <c r="I900" s="6">
        <v>17093</v>
      </c>
      <c r="J900" t="s">
        <v>200</v>
      </c>
    </row>
    <row r="901" spans="1:10" x14ac:dyDescent="0.35">
      <c r="A901" t="s">
        <v>1051</v>
      </c>
      <c r="B901" t="s">
        <v>2076</v>
      </c>
      <c r="C901" t="s">
        <v>2077</v>
      </c>
      <c r="D901" s="7">
        <v>38.299999999999997</v>
      </c>
      <c r="E901">
        <v>38.345549738219887</v>
      </c>
      <c r="F901" s="7">
        <v>61.7</v>
      </c>
      <c r="G901" s="6">
        <v>4775</v>
      </c>
      <c r="H901" s="6">
        <v>1831</v>
      </c>
      <c r="I901" s="6">
        <v>2944</v>
      </c>
      <c r="J901" t="s">
        <v>200</v>
      </c>
    </row>
    <row r="902" spans="1:10" x14ac:dyDescent="0.35">
      <c r="A902" t="s">
        <v>1051</v>
      </c>
      <c r="B902" t="s">
        <v>2078</v>
      </c>
      <c r="C902" t="s">
        <v>2079</v>
      </c>
      <c r="D902" s="7">
        <v>38.200000000000003</v>
      </c>
      <c r="E902">
        <v>38.177060619276062</v>
      </c>
      <c r="F902" s="7">
        <v>61.8</v>
      </c>
      <c r="G902" s="6">
        <v>11465</v>
      </c>
      <c r="H902" s="6">
        <v>4377</v>
      </c>
      <c r="I902" s="6">
        <v>7088</v>
      </c>
      <c r="J902" t="s">
        <v>200</v>
      </c>
    </row>
    <row r="903" spans="1:10" x14ac:dyDescent="0.35">
      <c r="A903" t="s">
        <v>1051</v>
      </c>
      <c r="B903" t="s">
        <v>2080</v>
      </c>
      <c r="C903" t="s">
        <v>2081</v>
      </c>
      <c r="D903" s="7">
        <v>38.1</v>
      </c>
      <c r="E903">
        <v>38.109624514458353</v>
      </c>
      <c r="F903" s="7">
        <v>61.9</v>
      </c>
      <c r="G903" s="6">
        <v>4634</v>
      </c>
      <c r="H903" s="6">
        <v>1766</v>
      </c>
      <c r="I903" s="6">
        <v>2868</v>
      </c>
      <c r="J903" t="s">
        <v>200</v>
      </c>
    </row>
    <row r="904" spans="1:10" x14ac:dyDescent="0.35">
      <c r="A904" t="s">
        <v>1051</v>
      </c>
      <c r="B904" t="s">
        <v>2082</v>
      </c>
      <c r="C904" t="s">
        <v>2083</v>
      </c>
      <c r="D904" s="7">
        <v>37.799999999999997</v>
      </c>
      <c r="E904">
        <v>37.817298652460053</v>
      </c>
      <c r="F904" s="7">
        <v>62.2</v>
      </c>
      <c r="G904" s="6">
        <v>12764</v>
      </c>
      <c r="H904" s="6">
        <v>4827</v>
      </c>
      <c r="I904" s="6">
        <v>7937</v>
      </c>
      <c r="J904" t="s">
        <v>200</v>
      </c>
    </row>
    <row r="905" spans="1:10" x14ac:dyDescent="0.35">
      <c r="A905" t="s">
        <v>1051</v>
      </c>
      <c r="B905" t="s">
        <v>2084</v>
      </c>
      <c r="C905" t="s">
        <v>2085</v>
      </c>
      <c r="D905" s="7">
        <v>37.6</v>
      </c>
      <c r="E905">
        <v>37.550487051556189</v>
      </c>
      <c r="F905" s="7">
        <v>62.4</v>
      </c>
      <c r="G905" s="6">
        <v>8418</v>
      </c>
      <c r="H905" s="6">
        <v>3161</v>
      </c>
      <c r="I905" s="6">
        <v>5257</v>
      </c>
      <c r="J905" t="s">
        <v>200</v>
      </c>
    </row>
    <row r="906" spans="1:10" x14ac:dyDescent="0.35">
      <c r="A906" t="s">
        <v>1051</v>
      </c>
      <c r="B906" t="s">
        <v>2086</v>
      </c>
      <c r="C906" t="s">
        <v>2087</v>
      </c>
      <c r="D906" s="7">
        <v>37.4</v>
      </c>
      <c r="E906">
        <v>37.442829259766363</v>
      </c>
      <c r="F906" s="7">
        <v>62.6</v>
      </c>
      <c r="G906" s="6">
        <v>34327</v>
      </c>
      <c r="H906" s="6">
        <v>12853</v>
      </c>
      <c r="I906" s="6">
        <v>21474</v>
      </c>
      <c r="J906" t="s">
        <v>200</v>
      </c>
    </row>
    <row r="907" spans="1:10" x14ac:dyDescent="0.35">
      <c r="A907" t="s">
        <v>1051</v>
      </c>
      <c r="B907" t="s">
        <v>2088</v>
      </c>
      <c r="C907" t="s">
        <v>2089</v>
      </c>
      <c r="D907" s="7">
        <v>36.9</v>
      </c>
      <c r="E907">
        <v>36.935246011529699</v>
      </c>
      <c r="F907" s="7">
        <v>63.1</v>
      </c>
      <c r="G907" s="6">
        <v>14918</v>
      </c>
      <c r="H907" s="6">
        <v>5510</v>
      </c>
      <c r="I907" s="6">
        <v>9408</v>
      </c>
      <c r="J907" t="s">
        <v>200</v>
      </c>
    </row>
    <row r="908" spans="1:10" x14ac:dyDescent="0.35">
      <c r="A908" t="s">
        <v>1051</v>
      </c>
      <c r="B908" t="s">
        <v>2090</v>
      </c>
      <c r="C908" t="s">
        <v>2091</v>
      </c>
      <c r="D908" s="7">
        <v>36.4</v>
      </c>
      <c r="E908">
        <v>36.445280989513307</v>
      </c>
      <c r="F908" s="7">
        <v>63.6</v>
      </c>
      <c r="G908" s="6">
        <v>18595</v>
      </c>
      <c r="H908" s="6">
        <v>6777</v>
      </c>
      <c r="I908" s="6">
        <v>11818</v>
      </c>
      <c r="J908" t="s">
        <v>200</v>
      </c>
    </row>
    <row r="909" spans="1:10" x14ac:dyDescent="0.35">
      <c r="A909" t="s">
        <v>1051</v>
      </c>
      <c r="B909" t="s">
        <v>2092</v>
      </c>
      <c r="C909" t="s">
        <v>2093</v>
      </c>
      <c r="D909" s="7">
        <v>36.4</v>
      </c>
      <c r="E909">
        <v>36.393415772663992</v>
      </c>
      <c r="F909" s="7">
        <v>63.6</v>
      </c>
      <c r="G909" s="6">
        <v>12211</v>
      </c>
      <c r="H909" s="6">
        <v>4444</v>
      </c>
      <c r="I909" s="6">
        <v>7767</v>
      </c>
      <c r="J909" t="s">
        <v>200</v>
      </c>
    </row>
    <row r="910" spans="1:10" x14ac:dyDescent="0.35">
      <c r="A910" t="s">
        <v>1051</v>
      </c>
      <c r="B910" t="s">
        <v>2094</v>
      </c>
      <c r="C910" t="s">
        <v>2095</v>
      </c>
      <c r="D910" s="7">
        <v>36.299999999999997</v>
      </c>
      <c r="E910">
        <v>36.29133934632916</v>
      </c>
      <c r="F910" s="7">
        <v>63.7</v>
      </c>
      <c r="G910" s="6">
        <v>10311</v>
      </c>
      <c r="H910" s="6">
        <v>3742</v>
      </c>
      <c r="I910" s="6">
        <v>6569</v>
      </c>
      <c r="J910" t="s">
        <v>200</v>
      </c>
    </row>
    <row r="911" spans="1:10" x14ac:dyDescent="0.35">
      <c r="A911" t="s">
        <v>1051</v>
      </c>
      <c r="B911" t="s">
        <v>2096</v>
      </c>
      <c r="C911" t="s">
        <v>2097</v>
      </c>
      <c r="D911" s="7">
        <v>36.299999999999997</v>
      </c>
      <c r="E911">
        <v>36.276076888397057</v>
      </c>
      <c r="F911" s="7">
        <v>63.7</v>
      </c>
      <c r="G911" s="6">
        <v>24399</v>
      </c>
      <c r="H911" s="6">
        <v>8851</v>
      </c>
      <c r="I911" s="6">
        <v>15548</v>
      </c>
      <c r="J911" t="s">
        <v>200</v>
      </c>
    </row>
    <row r="912" spans="1:10" x14ac:dyDescent="0.35">
      <c r="A912" t="s">
        <v>1051</v>
      </c>
      <c r="B912" t="s">
        <v>2098</v>
      </c>
      <c r="C912" t="s">
        <v>2099</v>
      </c>
      <c r="D912" s="7">
        <v>36.1</v>
      </c>
      <c r="E912">
        <v>36.132177681473458</v>
      </c>
      <c r="F912" s="7">
        <v>63.9</v>
      </c>
      <c r="G912" s="6">
        <v>9230</v>
      </c>
      <c r="H912" s="6">
        <v>3335</v>
      </c>
      <c r="I912" s="6">
        <v>5895</v>
      </c>
      <c r="J912" t="s">
        <v>200</v>
      </c>
    </row>
    <row r="913" spans="1:10" x14ac:dyDescent="0.35">
      <c r="A913" t="s">
        <v>1051</v>
      </c>
      <c r="B913" t="s">
        <v>2100</v>
      </c>
      <c r="C913" t="s">
        <v>2101</v>
      </c>
      <c r="D913" s="7">
        <v>36</v>
      </c>
      <c r="E913">
        <v>36.043036461446498</v>
      </c>
      <c r="F913" s="7">
        <v>64</v>
      </c>
      <c r="G913" s="6">
        <v>11711</v>
      </c>
      <c r="H913" s="6">
        <v>4221</v>
      </c>
      <c r="I913" s="6">
        <v>7490</v>
      </c>
      <c r="J913" t="s">
        <v>200</v>
      </c>
    </row>
    <row r="914" spans="1:10" x14ac:dyDescent="0.35">
      <c r="A914" t="s">
        <v>1051</v>
      </c>
      <c r="B914" t="s">
        <v>2102</v>
      </c>
      <c r="C914" t="s">
        <v>2103</v>
      </c>
      <c r="D914" s="7">
        <v>35.799999999999997</v>
      </c>
      <c r="E914">
        <v>35.793731041456013</v>
      </c>
      <c r="F914" s="7">
        <v>64.2</v>
      </c>
      <c r="G914" s="6">
        <v>13846</v>
      </c>
      <c r="H914" s="6">
        <v>4956</v>
      </c>
      <c r="I914" s="6">
        <v>8890</v>
      </c>
      <c r="J914" t="s">
        <v>200</v>
      </c>
    </row>
    <row r="915" spans="1:10" x14ac:dyDescent="0.35">
      <c r="A915" t="s">
        <v>1051</v>
      </c>
      <c r="B915" t="s">
        <v>2104</v>
      </c>
      <c r="C915" t="s">
        <v>2105</v>
      </c>
      <c r="D915" s="7">
        <v>35.5</v>
      </c>
      <c r="E915">
        <v>35.454926624737944</v>
      </c>
      <c r="F915" s="7">
        <v>64.5</v>
      </c>
      <c r="G915" s="6">
        <v>11925</v>
      </c>
      <c r="H915" s="6">
        <v>4228</v>
      </c>
      <c r="I915" s="6">
        <v>7697</v>
      </c>
      <c r="J915" t="s">
        <v>200</v>
      </c>
    </row>
    <row r="916" spans="1:10" x14ac:dyDescent="0.35">
      <c r="A916" t="s">
        <v>1051</v>
      </c>
      <c r="B916" t="s">
        <v>2106</v>
      </c>
      <c r="C916" t="s">
        <v>2107</v>
      </c>
      <c r="D916" s="7">
        <v>35</v>
      </c>
      <c r="E916">
        <v>34.961176951369033</v>
      </c>
      <c r="F916" s="7">
        <v>65</v>
      </c>
      <c r="G916" s="6">
        <v>24470</v>
      </c>
      <c r="H916" s="6">
        <v>8555</v>
      </c>
      <c r="I916" s="6">
        <v>15915</v>
      </c>
      <c r="J916" t="s">
        <v>200</v>
      </c>
    </row>
    <row r="917" spans="1:10" x14ac:dyDescent="0.35">
      <c r="A917" t="s">
        <v>1051</v>
      </c>
      <c r="B917" t="s">
        <v>2108</v>
      </c>
      <c r="C917" t="s">
        <v>2109</v>
      </c>
      <c r="D917" s="7">
        <v>34.6</v>
      </c>
      <c r="E917">
        <v>34.557313249972971</v>
      </c>
      <c r="F917" s="7">
        <v>65.400000000000006</v>
      </c>
      <c r="G917" s="6">
        <v>27751</v>
      </c>
      <c r="H917" s="6">
        <v>9590</v>
      </c>
      <c r="I917" s="6">
        <v>18161</v>
      </c>
      <c r="J917" t="s">
        <v>200</v>
      </c>
    </row>
    <row r="918" spans="1:10" x14ac:dyDescent="0.35">
      <c r="A918" t="s">
        <v>1051</v>
      </c>
      <c r="B918" t="s">
        <v>2110</v>
      </c>
      <c r="C918" t="s">
        <v>2111</v>
      </c>
      <c r="D918" s="7">
        <v>32.700000000000003</v>
      </c>
      <c r="E918">
        <v>32.745789267528401</v>
      </c>
      <c r="F918" s="7">
        <v>67.3</v>
      </c>
      <c r="G918" s="6">
        <v>17871</v>
      </c>
      <c r="H918" s="6">
        <v>5852</v>
      </c>
      <c r="I918" s="6">
        <v>12019</v>
      </c>
      <c r="J918" t="s">
        <v>200</v>
      </c>
    </row>
    <row r="919" spans="1:10" x14ac:dyDescent="0.35">
      <c r="A919" t="s">
        <v>1051</v>
      </c>
      <c r="B919" t="s">
        <v>2112</v>
      </c>
      <c r="C919" t="s">
        <v>2113</v>
      </c>
      <c r="D919" s="7">
        <v>31.7</v>
      </c>
      <c r="E919">
        <v>31.7056216873751</v>
      </c>
      <c r="F919" s="7">
        <v>68.3</v>
      </c>
      <c r="G919" s="6">
        <v>23018</v>
      </c>
      <c r="H919" s="6">
        <v>7298</v>
      </c>
      <c r="I919" s="6">
        <v>15720</v>
      </c>
      <c r="J919" t="s">
        <v>200</v>
      </c>
    </row>
    <row r="920" spans="1:10" x14ac:dyDescent="0.35">
      <c r="A920" t="s">
        <v>1051</v>
      </c>
      <c r="B920" t="s">
        <v>2114</v>
      </c>
      <c r="C920" t="s">
        <v>2115</v>
      </c>
      <c r="D920" s="7">
        <v>31.6</v>
      </c>
      <c r="E920">
        <v>31.611629922017912</v>
      </c>
      <c r="F920" s="7">
        <v>68.400000000000006</v>
      </c>
      <c r="G920" s="6">
        <v>20774</v>
      </c>
      <c r="H920" s="6">
        <v>6567</v>
      </c>
      <c r="I920" s="6">
        <v>14207</v>
      </c>
      <c r="J920" t="s">
        <v>200</v>
      </c>
    </row>
    <row r="921" spans="1:10" x14ac:dyDescent="0.35">
      <c r="A921" t="s">
        <v>1051</v>
      </c>
      <c r="B921" t="s">
        <v>2116</v>
      </c>
      <c r="C921" t="s">
        <v>2117</v>
      </c>
      <c r="D921" s="7">
        <v>31.3</v>
      </c>
      <c r="E921">
        <v>31.31070767807585</v>
      </c>
      <c r="F921" s="7">
        <v>68.7</v>
      </c>
      <c r="G921" s="6">
        <v>34592</v>
      </c>
      <c r="H921" s="6">
        <v>10831</v>
      </c>
      <c r="I921" s="6">
        <v>23761</v>
      </c>
      <c r="J921" t="s">
        <v>200</v>
      </c>
    </row>
    <row r="922" spans="1:10" x14ac:dyDescent="0.35">
      <c r="A922" t="s">
        <v>1051</v>
      </c>
      <c r="B922" t="s">
        <v>2118</v>
      </c>
      <c r="C922" t="s">
        <v>2119</v>
      </c>
      <c r="D922" s="7">
        <v>30.5</v>
      </c>
      <c r="E922">
        <v>30.472396129766651</v>
      </c>
      <c r="F922" s="7">
        <v>69.5</v>
      </c>
      <c r="G922" s="6">
        <v>17570</v>
      </c>
      <c r="H922" s="6">
        <v>5354</v>
      </c>
      <c r="I922" s="6">
        <v>12216</v>
      </c>
      <c r="J922" t="s">
        <v>200</v>
      </c>
    </row>
    <row r="923" spans="1:10" x14ac:dyDescent="0.35">
      <c r="A923" t="s">
        <v>1051</v>
      </c>
      <c r="B923" t="s">
        <v>2120</v>
      </c>
      <c r="C923" t="s">
        <v>2121</v>
      </c>
      <c r="D923" s="7">
        <v>29.9</v>
      </c>
      <c r="E923">
        <v>29.881672645499808</v>
      </c>
      <c r="F923" s="7">
        <v>70.099999999999994</v>
      </c>
      <c r="G923" s="6">
        <v>18677</v>
      </c>
      <c r="H923" s="6">
        <v>5581</v>
      </c>
      <c r="I923" s="6">
        <v>13096</v>
      </c>
      <c r="J923" t="s">
        <v>200</v>
      </c>
    </row>
    <row r="924" spans="1:10" x14ac:dyDescent="0.35">
      <c r="A924" t="s">
        <v>1051</v>
      </c>
      <c r="B924" t="s">
        <v>2122</v>
      </c>
      <c r="C924" t="s">
        <v>2123</v>
      </c>
      <c r="D924" s="7">
        <v>29.4</v>
      </c>
      <c r="E924">
        <v>29.44432838938793</v>
      </c>
      <c r="F924" s="7">
        <v>70.599999999999994</v>
      </c>
      <c r="G924" s="6">
        <v>9574</v>
      </c>
      <c r="H924" s="6">
        <v>2819</v>
      </c>
      <c r="I924" s="6">
        <v>6755</v>
      </c>
      <c r="J924" t="s">
        <v>200</v>
      </c>
    </row>
    <row r="925" spans="1:10" x14ac:dyDescent="0.35">
      <c r="A925" t="s">
        <v>1051</v>
      </c>
      <c r="B925" t="s">
        <v>2124</v>
      </c>
      <c r="C925" t="s">
        <v>2125</v>
      </c>
      <c r="D925" s="7">
        <v>29.2</v>
      </c>
      <c r="E925">
        <v>29.197530864197532</v>
      </c>
      <c r="F925" s="7">
        <v>70.8</v>
      </c>
      <c r="G925" s="6">
        <v>3240</v>
      </c>
      <c r="H925" s="6">
        <v>946</v>
      </c>
      <c r="I925" s="6">
        <v>2294</v>
      </c>
      <c r="J925" t="s">
        <v>200</v>
      </c>
    </row>
    <row r="926" spans="1:10" x14ac:dyDescent="0.35">
      <c r="A926" t="s">
        <v>1051</v>
      </c>
      <c r="B926" t="s">
        <v>2126</v>
      </c>
      <c r="C926" t="s">
        <v>2127</v>
      </c>
      <c r="D926" s="7">
        <v>21.4</v>
      </c>
      <c r="E926">
        <v>21.39657605694299</v>
      </c>
      <c r="F926" s="7">
        <v>78.599999999999994</v>
      </c>
      <c r="G926" s="6">
        <v>16297</v>
      </c>
      <c r="H926" s="6">
        <v>3487</v>
      </c>
      <c r="I926" s="6">
        <v>12810</v>
      </c>
      <c r="J926" t="s">
        <v>200</v>
      </c>
    </row>
  </sheetData>
  <autoFilter ref="A1:J926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6" customWidth="1"/>
    <col min="3" max="3" width="28" customWidth="1"/>
    <col min="4" max="4" width="24" customWidth="1"/>
    <col min="5" max="5" width="55" customWidth="1"/>
  </cols>
  <sheetData>
    <row r="1" spans="1:5" x14ac:dyDescent="0.35">
      <c r="A1" s="3" t="s">
        <v>2128</v>
      </c>
      <c r="B1" s="3" t="s">
        <v>230</v>
      </c>
      <c r="C1" s="3" t="s">
        <v>231</v>
      </c>
      <c r="D1" s="3" t="s">
        <v>232</v>
      </c>
      <c r="E1" s="3" t="s">
        <v>2129</v>
      </c>
    </row>
    <row r="2" spans="1:5" x14ac:dyDescent="0.35">
      <c r="A2" t="s">
        <v>2130</v>
      </c>
      <c r="B2" s="6">
        <v>43926885</v>
      </c>
      <c r="C2" s="7">
        <v>32.4</v>
      </c>
      <c r="D2">
        <v>32.359042710534347</v>
      </c>
      <c r="E2" t="s">
        <v>2131</v>
      </c>
    </row>
    <row r="3" spans="1:5" x14ac:dyDescent="0.35">
      <c r="A3" t="s">
        <v>2132</v>
      </c>
      <c r="B3" s="6">
        <v>62250556</v>
      </c>
      <c r="C3" s="7">
        <v>45.9</v>
      </c>
      <c r="D3">
        <v>45.85730129415073</v>
      </c>
      <c r="E3" t="s">
        <v>2133</v>
      </c>
    </row>
    <row r="4" spans="1:5" x14ac:dyDescent="0.35">
      <c r="A4" t="s">
        <v>240</v>
      </c>
      <c r="B4" s="6">
        <v>73497851</v>
      </c>
      <c r="C4" s="7">
        <v>54.1</v>
      </c>
      <c r="D4">
        <v>54.14269870584927</v>
      </c>
      <c r="E4" t="s">
        <v>2134</v>
      </c>
    </row>
    <row r="6" spans="1:5" x14ac:dyDescent="0.35">
      <c r="A6" t="s">
        <v>2135</v>
      </c>
      <c r="B6" s="6">
        <v>135748407</v>
      </c>
    </row>
    <row r="7" spans="1:5" ht="60" customHeight="1" x14ac:dyDescent="0.35">
      <c r="A7" t="s">
        <v>242</v>
      </c>
      <c r="B7" s="38" t="s">
        <v>206</v>
      </c>
      <c r="C7" s="34"/>
      <c r="D7" s="34"/>
      <c r="E7" s="34"/>
    </row>
  </sheetData>
  <autoFilter ref="A1:E7" xr:uid="{00000000-0009-0000-0000-000007000000}"/>
  <mergeCells count="1">
    <mergeCell ref="B7:E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42" customWidth="1"/>
    <col min="3" max="4" width="48" customWidth="1"/>
  </cols>
  <sheetData>
    <row r="1" spans="1:4" x14ac:dyDescent="0.35">
      <c r="A1" s="3" t="s">
        <v>168</v>
      </c>
      <c r="B1" s="3" t="s">
        <v>2136</v>
      </c>
      <c r="C1" s="3" t="s">
        <v>2137</v>
      </c>
      <c r="D1" s="3" t="s">
        <v>2138</v>
      </c>
    </row>
    <row r="2" spans="1:4" ht="72" customHeight="1" x14ac:dyDescent="0.35">
      <c r="A2" t="s">
        <v>2139</v>
      </c>
      <c r="B2" s="4" t="s">
        <v>2140</v>
      </c>
      <c r="C2" s="4" t="s">
        <v>2141</v>
      </c>
      <c r="D2" s="4" t="s">
        <v>2142</v>
      </c>
    </row>
    <row r="3" spans="1:4" ht="36" customHeight="1" x14ac:dyDescent="0.35">
      <c r="A3" t="s">
        <v>185</v>
      </c>
      <c r="B3" s="4" t="s">
        <v>186</v>
      </c>
      <c r="C3" s="4" t="s">
        <v>2143</v>
      </c>
      <c r="D3" s="4" t="s">
        <v>186</v>
      </c>
    </row>
    <row r="4" spans="1:4" ht="36" customHeight="1" x14ac:dyDescent="0.35">
      <c r="A4" t="s">
        <v>187</v>
      </c>
      <c r="B4" s="4" t="s">
        <v>2144</v>
      </c>
      <c r="C4" s="4" t="s">
        <v>2145</v>
      </c>
      <c r="D4" s="4" t="s">
        <v>2146</v>
      </c>
    </row>
    <row r="5" spans="1:4" ht="36" customHeight="1" x14ac:dyDescent="0.35">
      <c r="A5" t="s">
        <v>2147</v>
      </c>
      <c r="B5" s="4" t="s">
        <v>2148</v>
      </c>
      <c r="C5" s="4" t="s">
        <v>2149</v>
      </c>
      <c r="D5" s="4" t="s">
        <v>2150</v>
      </c>
    </row>
    <row r="6" spans="1:4" ht="36" customHeight="1" x14ac:dyDescent="0.35">
      <c r="A6" t="s">
        <v>174</v>
      </c>
      <c r="B6" s="4" t="s">
        <v>2151</v>
      </c>
      <c r="C6" s="4" t="s">
        <v>2151</v>
      </c>
      <c r="D6" s="4" t="s">
        <v>2152</v>
      </c>
    </row>
    <row r="7" spans="1:4" ht="72" customHeight="1" x14ac:dyDescent="0.35">
      <c r="A7" t="s">
        <v>2153</v>
      </c>
      <c r="B7" s="4" t="s">
        <v>2154</v>
      </c>
      <c r="C7" s="4" t="s">
        <v>2155</v>
      </c>
      <c r="D7" s="4" t="s">
        <v>2156</v>
      </c>
    </row>
    <row r="8" spans="1:4" ht="36" customHeight="1" x14ac:dyDescent="0.35">
      <c r="A8" t="s">
        <v>2157</v>
      </c>
      <c r="B8" s="4" t="s">
        <v>2158</v>
      </c>
      <c r="C8" s="4" t="s">
        <v>2159</v>
      </c>
      <c r="D8" s="4" t="s">
        <v>2160</v>
      </c>
    </row>
    <row r="9" spans="1:4" ht="36" customHeight="1" x14ac:dyDescent="0.35">
      <c r="A9" t="s">
        <v>2161</v>
      </c>
      <c r="B9" s="4" t="s">
        <v>2162</v>
      </c>
      <c r="C9" s="4" t="s">
        <v>2163</v>
      </c>
      <c r="D9" s="4" t="s">
        <v>2164</v>
      </c>
    </row>
    <row r="10" spans="1:4" ht="36" customHeight="1" x14ac:dyDescent="0.35">
      <c r="A10" t="s">
        <v>2165</v>
      </c>
      <c r="B10" s="4" t="s">
        <v>2166</v>
      </c>
      <c r="C10" s="4" t="s">
        <v>2167</v>
      </c>
      <c r="D10" s="4" t="s">
        <v>2166</v>
      </c>
    </row>
    <row r="11" spans="1:4" ht="36" customHeight="1" x14ac:dyDescent="0.35">
      <c r="A11" t="s">
        <v>176</v>
      </c>
      <c r="B11" s="4" t="s">
        <v>23</v>
      </c>
      <c r="C11" s="4" t="s">
        <v>23</v>
      </c>
      <c r="D11" s="4" t="s">
        <v>23</v>
      </c>
    </row>
    <row r="12" spans="1:4" ht="36" customHeight="1" x14ac:dyDescent="0.35">
      <c r="A12" t="s">
        <v>2168</v>
      </c>
      <c r="B12" s="4" t="s">
        <v>2169</v>
      </c>
      <c r="C12" s="4" t="s">
        <v>2169</v>
      </c>
      <c r="D12" s="4" t="s">
        <v>2169</v>
      </c>
    </row>
    <row r="13" spans="1:4" ht="72" customHeight="1" x14ac:dyDescent="0.35">
      <c r="A13" t="s">
        <v>233</v>
      </c>
      <c r="B13" s="4" t="s">
        <v>2170</v>
      </c>
      <c r="C13" s="4" t="s">
        <v>2171</v>
      </c>
      <c r="D13" s="4" t="s">
        <v>2172</v>
      </c>
    </row>
    <row r="14" spans="1:4" ht="36" customHeight="1" x14ac:dyDescent="0.35">
      <c r="A14" t="s">
        <v>172</v>
      </c>
      <c r="B14" s="4" t="s">
        <v>2173</v>
      </c>
      <c r="C14" s="4" t="s">
        <v>2174</v>
      </c>
      <c r="D14" s="4" t="s">
        <v>2175</v>
      </c>
    </row>
    <row r="15" spans="1:4" ht="36" customHeight="1" x14ac:dyDescent="0.35">
      <c r="A15" t="s">
        <v>2176</v>
      </c>
      <c r="B15" s="4" t="s">
        <v>2177</v>
      </c>
      <c r="C15" s="4" t="s">
        <v>2178</v>
      </c>
      <c r="D15" s="4" t="s">
        <v>2179</v>
      </c>
    </row>
    <row r="16" spans="1:4" ht="36" customHeight="1" x14ac:dyDescent="0.35">
      <c r="A16" t="s">
        <v>213</v>
      </c>
      <c r="B16" s="4" t="s">
        <v>2180</v>
      </c>
      <c r="C16" s="4" t="s">
        <v>2181</v>
      </c>
      <c r="D16" s="4" t="s">
        <v>2182</v>
      </c>
    </row>
  </sheetData>
  <autoFilter ref="A1:D16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3" width="22" customWidth="1"/>
    <col min="4" max="4" width="18" customWidth="1"/>
    <col min="5" max="5" width="22" customWidth="1"/>
    <col min="6" max="6" width="55" customWidth="1"/>
    <col min="7" max="7" width="45" customWidth="1"/>
    <col min="8" max="8" width="22" customWidth="1"/>
    <col min="9" max="10" width="40" customWidth="1"/>
    <col min="11" max="11" width="8" customWidth="1"/>
    <col min="12" max="12" width="55" customWidth="1"/>
  </cols>
  <sheetData>
    <row r="1" spans="1:12" ht="29" customHeight="1" x14ac:dyDescent="0.35">
      <c r="A1" s="3" t="s">
        <v>219</v>
      </c>
      <c r="B1" s="3" t="s">
        <v>2183</v>
      </c>
      <c r="C1" s="3" t="s">
        <v>2184</v>
      </c>
      <c r="D1" s="3" t="s">
        <v>2185</v>
      </c>
      <c r="E1" s="3" t="s">
        <v>2186</v>
      </c>
      <c r="F1" s="3" t="s">
        <v>227</v>
      </c>
      <c r="G1" s="3" t="s">
        <v>2161</v>
      </c>
      <c r="H1" s="3" t="s">
        <v>185</v>
      </c>
      <c r="I1" s="3" t="s">
        <v>187</v>
      </c>
      <c r="J1" s="3" t="s">
        <v>2187</v>
      </c>
      <c r="K1" s="3" t="s">
        <v>174</v>
      </c>
      <c r="L1" s="3" t="s">
        <v>2188</v>
      </c>
    </row>
    <row r="2" spans="1:12" ht="60" customHeight="1" x14ac:dyDescent="0.35">
      <c r="A2" t="s">
        <v>228</v>
      </c>
      <c r="B2" s="6">
        <v>22026372</v>
      </c>
      <c r="C2" s="6">
        <v>165360450</v>
      </c>
      <c r="D2" s="7">
        <v>13.3</v>
      </c>
      <c r="E2" s="8">
        <v>13.3202177425134</v>
      </c>
      <c r="F2" s="4" t="s">
        <v>2158</v>
      </c>
      <c r="G2" s="4" t="s">
        <v>2162</v>
      </c>
      <c r="H2" t="s">
        <v>186</v>
      </c>
      <c r="I2" t="s">
        <v>2144</v>
      </c>
      <c r="J2" t="s">
        <v>2148</v>
      </c>
      <c r="K2" t="s">
        <v>2151</v>
      </c>
      <c r="L2" s="4" t="s">
        <v>2154</v>
      </c>
    </row>
  </sheetData>
  <autoFilter ref="A1:L2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2" customWidth="1"/>
    <col min="3" max="3" width="18" customWidth="1"/>
    <col min="4" max="4" width="22" customWidth="1"/>
    <col min="5" max="5" width="18" customWidth="1"/>
    <col min="6" max="6" width="16" customWidth="1"/>
    <col min="7" max="7" width="55" customWidth="1"/>
    <col min="8" max="8" width="45" customWidth="1"/>
  </cols>
  <sheetData>
    <row r="1" spans="1:8" ht="29" customHeight="1" x14ac:dyDescent="0.35">
      <c r="A1" s="3" t="s">
        <v>2189</v>
      </c>
      <c r="B1" s="3" t="s">
        <v>244</v>
      </c>
      <c r="C1" s="3" t="s">
        <v>2185</v>
      </c>
      <c r="D1" s="3" t="s">
        <v>2186</v>
      </c>
      <c r="E1" s="3" t="s">
        <v>2190</v>
      </c>
      <c r="F1" s="3" t="s">
        <v>2191</v>
      </c>
      <c r="G1" s="3" t="s">
        <v>227</v>
      </c>
      <c r="H1" s="3" t="s">
        <v>2161</v>
      </c>
    </row>
    <row r="2" spans="1:8" x14ac:dyDescent="0.35">
      <c r="A2">
        <v>1</v>
      </c>
      <c r="B2" t="s">
        <v>246</v>
      </c>
      <c r="C2" s="7">
        <v>22.9</v>
      </c>
      <c r="D2" s="8">
        <v>22.859513160335549</v>
      </c>
      <c r="E2" s="6">
        <v>388136</v>
      </c>
      <c r="F2" s="6">
        <v>88726</v>
      </c>
      <c r="G2" t="s">
        <v>2158</v>
      </c>
      <c r="H2" t="s">
        <v>2162</v>
      </c>
    </row>
    <row r="3" spans="1:8" x14ac:dyDescent="0.35">
      <c r="A3">
        <v>2</v>
      </c>
      <c r="B3" t="s">
        <v>123</v>
      </c>
      <c r="C3" s="7">
        <v>19.899999999999999</v>
      </c>
      <c r="D3" s="8">
        <v>19.872057567148939</v>
      </c>
      <c r="E3" s="6">
        <v>3167362</v>
      </c>
      <c r="F3" s="6">
        <v>629420</v>
      </c>
      <c r="G3" t="s">
        <v>2158</v>
      </c>
      <c r="H3" t="s">
        <v>2162</v>
      </c>
    </row>
    <row r="4" spans="1:8" x14ac:dyDescent="0.35">
      <c r="A4">
        <v>3</v>
      </c>
      <c r="B4" t="s">
        <v>105</v>
      </c>
      <c r="C4" s="7">
        <v>17.100000000000001</v>
      </c>
      <c r="D4" s="8">
        <v>17.062588785024261</v>
      </c>
      <c r="E4" s="6">
        <v>2080165</v>
      </c>
      <c r="F4" s="6">
        <v>354930</v>
      </c>
      <c r="G4" t="s">
        <v>2158</v>
      </c>
      <c r="H4" t="s">
        <v>2162</v>
      </c>
    </row>
    <row r="5" spans="1:8" x14ac:dyDescent="0.35">
      <c r="A5">
        <v>4</v>
      </c>
      <c r="B5" t="s">
        <v>127</v>
      </c>
      <c r="C5" s="7">
        <v>16.399999999999999</v>
      </c>
      <c r="D5" s="8">
        <v>16.413535851546541</v>
      </c>
      <c r="E5" s="6">
        <v>3932815</v>
      </c>
      <c r="F5" s="6">
        <v>645514</v>
      </c>
      <c r="G5" t="s">
        <v>2158</v>
      </c>
      <c r="H5" t="s">
        <v>2162</v>
      </c>
    </row>
    <row r="6" spans="1:8" x14ac:dyDescent="0.35">
      <c r="A6">
        <v>5</v>
      </c>
      <c r="B6" t="s">
        <v>85</v>
      </c>
      <c r="C6" s="7">
        <v>16.3</v>
      </c>
      <c r="D6" s="8">
        <v>16.302054243219601</v>
      </c>
      <c r="E6" s="6">
        <v>3571875</v>
      </c>
      <c r="F6" s="6">
        <v>582289</v>
      </c>
      <c r="G6" t="s">
        <v>2158</v>
      </c>
      <c r="H6" t="s">
        <v>2162</v>
      </c>
    </row>
    <row r="7" spans="1:8" x14ac:dyDescent="0.35">
      <c r="A7">
        <v>6</v>
      </c>
      <c r="B7" t="s">
        <v>95</v>
      </c>
      <c r="C7" s="7">
        <v>16</v>
      </c>
      <c r="D7" s="8">
        <v>16.039093217698031</v>
      </c>
      <c r="E7" s="6">
        <v>754095</v>
      </c>
      <c r="F7" s="6">
        <v>120950</v>
      </c>
      <c r="G7" t="s">
        <v>2158</v>
      </c>
      <c r="H7" t="s">
        <v>2162</v>
      </c>
    </row>
    <row r="8" spans="1:8" x14ac:dyDescent="0.35">
      <c r="A8">
        <v>7</v>
      </c>
      <c r="B8" t="s">
        <v>87</v>
      </c>
      <c r="C8" s="7">
        <v>16</v>
      </c>
      <c r="D8" s="8">
        <v>15.960829797542321</v>
      </c>
      <c r="E8" s="6">
        <v>340565</v>
      </c>
      <c r="F8" s="6">
        <v>54357</v>
      </c>
      <c r="G8" t="s">
        <v>2158</v>
      </c>
      <c r="H8" t="s">
        <v>2162</v>
      </c>
    </row>
    <row r="9" spans="1:8" x14ac:dyDescent="0.35">
      <c r="A9">
        <v>8</v>
      </c>
      <c r="B9" t="s">
        <v>117</v>
      </c>
      <c r="C9" s="7">
        <v>15.8</v>
      </c>
      <c r="D9" s="8">
        <v>15.818022097670219</v>
      </c>
      <c r="E9" s="6">
        <v>4445265</v>
      </c>
      <c r="F9" s="6">
        <v>703153</v>
      </c>
      <c r="G9" t="s">
        <v>2158</v>
      </c>
      <c r="H9" t="s">
        <v>2162</v>
      </c>
    </row>
    <row r="10" spans="1:8" x14ac:dyDescent="0.35">
      <c r="A10">
        <v>9</v>
      </c>
      <c r="B10" t="s">
        <v>111</v>
      </c>
      <c r="C10" s="7">
        <v>15.7</v>
      </c>
      <c r="D10" s="8">
        <v>15.692970758635949</v>
      </c>
      <c r="E10" s="6">
        <v>1771258</v>
      </c>
      <c r="F10" s="6">
        <v>277963</v>
      </c>
      <c r="G10" t="s">
        <v>2158</v>
      </c>
      <c r="H10" t="s">
        <v>2162</v>
      </c>
    </row>
    <row r="11" spans="1:8" x14ac:dyDescent="0.35">
      <c r="A11">
        <v>10</v>
      </c>
      <c r="B11" t="s">
        <v>131</v>
      </c>
      <c r="C11" s="7">
        <v>15.6</v>
      </c>
      <c r="D11" s="8">
        <v>15.62963339308274</v>
      </c>
      <c r="E11" s="6">
        <v>3227926</v>
      </c>
      <c r="F11" s="6">
        <v>504513</v>
      </c>
      <c r="G11" t="s">
        <v>2158</v>
      </c>
      <c r="H11" t="s">
        <v>2162</v>
      </c>
    </row>
    <row r="12" spans="1:8" x14ac:dyDescent="0.35">
      <c r="A12">
        <v>11</v>
      </c>
      <c r="B12" t="s">
        <v>119</v>
      </c>
      <c r="C12" s="7">
        <v>15.5</v>
      </c>
      <c r="D12" s="8">
        <v>15.52614873632195</v>
      </c>
      <c r="E12" s="6">
        <v>11086922</v>
      </c>
      <c r="F12" s="6">
        <v>1721372</v>
      </c>
      <c r="G12" t="s">
        <v>2158</v>
      </c>
      <c r="H12" t="s">
        <v>2162</v>
      </c>
    </row>
    <row r="13" spans="1:8" x14ac:dyDescent="0.35">
      <c r="A13">
        <v>12</v>
      </c>
      <c r="B13" t="s">
        <v>28</v>
      </c>
      <c r="C13" s="7">
        <v>15.4</v>
      </c>
      <c r="D13" s="8">
        <v>15.40536171715129</v>
      </c>
      <c r="E13" s="6">
        <v>5375927</v>
      </c>
      <c r="F13" s="6">
        <v>828181</v>
      </c>
      <c r="G13" t="s">
        <v>2158</v>
      </c>
      <c r="H13" t="s">
        <v>2162</v>
      </c>
    </row>
    <row r="14" spans="1:8" x14ac:dyDescent="0.35">
      <c r="A14">
        <v>13</v>
      </c>
      <c r="B14" t="s">
        <v>121</v>
      </c>
      <c r="C14" s="7">
        <v>14.9</v>
      </c>
      <c r="D14" s="8">
        <v>14.8755035751685</v>
      </c>
      <c r="E14" s="6">
        <v>5402123</v>
      </c>
      <c r="F14" s="6">
        <v>803593</v>
      </c>
      <c r="G14" t="s">
        <v>2158</v>
      </c>
      <c r="H14" t="s">
        <v>2162</v>
      </c>
    </row>
    <row r="15" spans="1:8" x14ac:dyDescent="0.35">
      <c r="A15">
        <v>14</v>
      </c>
      <c r="B15" t="s">
        <v>129</v>
      </c>
      <c r="C15" s="7">
        <v>14.8</v>
      </c>
      <c r="D15" s="8">
        <v>14.835228237253</v>
      </c>
      <c r="E15" s="6">
        <v>3752433</v>
      </c>
      <c r="F15" s="6">
        <v>556682</v>
      </c>
      <c r="G15" t="s">
        <v>2158</v>
      </c>
      <c r="H15" t="s">
        <v>2162</v>
      </c>
    </row>
    <row r="16" spans="1:8" x14ac:dyDescent="0.35">
      <c r="A16">
        <v>15</v>
      </c>
      <c r="B16" t="s">
        <v>103</v>
      </c>
      <c r="C16" s="7">
        <v>14.7</v>
      </c>
      <c r="D16" s="8">
        <v>14.733057671613381</v>
      </c>
      <c r="E16" s="6">
        <v>3009002</v>
      </c>
      <c r="F16" s="6">
        <v>443318</v>
      </c>
      <c r="G16" t="s">
        <v>2158</v>
      </c>
      <c r="H16" t="s">
        <v>2162</v>
      </c>
    </row>
    <row r="17" spans="1:8" x14ac:dyDescent="0.35">
      <c r="A17">
        <v>16</v>
      </c>
      <c r="B17" t="s">
        <v>53</v>
      </c>
      <c r="C17" s="7">
        <v>14.7</v>
      </c>
      <c r="D17" s="8">
        <v>14.672324724297811</v>
      </c>
      <c r="E17" s="6">
        <v>702479</v>
      </c>
      <c r="F17" s="6">
        <v>103070</v>
      </c>
      <c r="G17" t="s">
        <v>2158</v>
      </c>
      <c r="H17" t="s">
        <v>2162</v>
      </c>
    </row>
    <row r="18" spans="1:8" x14ac:dyDescent="0.35">
      <c r="A18">
        <v>17</v>
      </c>
      <c r="B18" t="s">
        <v>37</v>
      </c>
      <c r="C18" s="7">
        <v>14.1</v>
      </c>
      <c r="D18" s="8">
        <v>14.14278886638294</v>
      </c>
      <c r="E18" s="6">
        <v>18893770</v>
      </c>
      <c r="F18" s="6">
        <v>2672106</v>
      </c>
      <c r="G18" t="s">
        <v>2158</v>
      </c>
      <c r="H18" t="s">
        <v>2162</v>
      </c>
    </row>
    <row r="19" spans="1:8" x14ac:dyDescent="0.35">
      <c r="A19">
        <v>18</v>
      </c>
      <c r="B19" t="s">
        <v>135</v>
      </c>
      <c r="C19" s="7">
        <v>13.8</v>
      </c>
      <c r="D19" s="8">
        <v>13.82743087606819</v>
      </c>
      <c r="E19" s="6">
        <v>6390587</v>
      </c>
      <c r="F19" s="6">
        <v>883654</v>
      </c>
      <c r="G19" t="s">
        <v>2158</v>
      </c>
      <c r="H19" t="s">
        <v>2162</v>
      </c>
    </row>
    <row r="20" spans="1:8" x14ac:dyDescent="0.35">
      <c r="A20">
        <v>19</v>
      </c>
      <c r="B20" t="s">
        <v>133</v>
      </c>
      <c r="C20" s="7">
        <v>13.6</v>
      </c>
      <c r="D20" s="8">
        <v>13.57742472678494</v>
      </c>
      <c r="E20" s="6">
        <v>6314165</v>
      </c>
      <c r="F20" s="6">
        <v>857301</v>
      </c>
      <c r="G20" t="s">
        <v>2158</v>
      </c>
      <c r="H20" t="s">
        <v>2162</v>
      </c>
    </row>
    <row r="21" spans="1:8" x14ac:dyDescent="0.35">
      <c r="A21">
        <v>20</v>
      </c>
      <c r="B21" t="s">
        <v>125</v>
      </c>
      <c r="C21" s="7">
        <v>13.5</v>
      </c>
      <c r="D21" s="8">
        <v>13.50596040089432</v>
      </c>
      <c r="E21" s="6">
        <v>4772330</v>
      </c>
      <c r="F21" s="6">
        <v>644549</v>
      </c>
      <c r="G21" t="s">
        <v>2158</v>
      </c>
      <c r="H21" t="s">
        <v>2162</v>
      </c>
    </row>
    <row r="22" spans="1:8" x14ac:dyDescent="0.35">
      <c r="A22">
        <v>21</v>
      </c>
      <c r="B22" t="s">
        <v>107</v>
      </c>
      <c r="C22" s="7">
        <v>13.4</v>
      </c>
      <c r="D22" s="8">
        <v>13.37001730698233</v>
      </c>
      <c r="E22" s="6">
        <v>1874388</v>
      </c>
      <c r="F22" s="6">
        <v>250606</v>
      </c>
      <c r="G22" t="s">
        <v>2158</v>
      </c>
      <c r="H22" t="s">
        <v>2162</v>
      </c>
    </row>
    <row r="23" spans="1:8" x14ac:dyDescent="0.35">
      <c r="A23">
        <v>22</v>
      </c>
      <c r="B23" t="s">
        <v>32</v>
      </c>
      <c r="C23" s="7">
        <v>12.9</v>
      </c>
      <c r="D23" s="8">
        <v>12.929749065519729</v>
      </c>
      <c r="E23" s="6">
        <v>15130603</v>
      </c>
      <c r="F23" s="6">
        <v>1956349</v>
      </c>
      <c r="G23" t="s">
        <v>2158</v>
      </c>
      <c r="H23" t="s">
        <v>2162</v>
      </c>
    </row>
    <row r="24" spans="1:8" x14ac:dyDescent="0.35">
      <c r="A24">
        <v>23</v>
      </c>
      <c r="B24" t="s">
        <v>97</v>
      </c>
      <c r="C24" s="7">
        <v>12.9</v>
      </c>
      <c r="D24" s="8">
        <v>12.88963504816725</v>
      </c>
      <c r="E24" s="6">
        <v>500340</v>
      </c>
      <c r="F24" s="6">
        <v>64492</v>
      </c>
      <c r="G24" t="s">
        <v>2158</v>
      </c>
      <c r="H24" t="s">
        <v>2162</v>
      </c>
    </row>
    <row r="25" spans="1:8" x14ac:dyDescent="0.35">
      <c r="A25">
        <v>24</v>
      </c>
      <c r="B25" t="s">
        <v>67</v>
      </c>
      <c r="C25" s="7">
        <v>12.7</v>
      </c>
      <c r="D25" s="8">
        <v>12.706975728012569</v>
      </c>
      <c r="E25" s="6">
        <v>952044</v>
      </c>
      <c r="F25" s="6">
        <v>120976</v>
      </c>
      <c r="G25" t="s">
        <v>2158</v>
      </c>
      <c r="H25" t="s">
        <v>2162</v>
      </c>
    </row>
    <row r="26" spans="1:8" x14ac:dyDescent="0.35">
      <c r="A26">
        <v>25</v>
      </c>
      <c r="B26" t="s">
        <v>109</v>
      </c>
      <c r="C26" s="7">
        <v>12.7</v>
      </c>
      <c r="D26" s="8">
        <v>12.67718356972178</v>
      </c>
      <c r="E26" s="6">
        <v>3479795</v>
      </c>
      <c r="F26" s="6">
        <v>441140</v>
      </c>
      <c r="G26" t="s">
        <v>2158</v>
      </c>
      <c r="H26" t="s">
        <v>2162</v>
      </c>
    </row>
    <row r="27" spans="1:8" x14ac:dyDescent="0.35">
      <c r="A27">
        <v>26</v>
      </c>
      <c r="B27" t="s">
        <v>47</v>
      </c>
      <c r="C27" s="7">
        <v>12.3</v>
      </c>
      <c r="D27" s="8">
        <v>12.3202859790688</v>
      </c>
      <c r="E27" s="6">
        <v>2571377</v>
      </c>
      <c r="F27" s="6">
        <v>316801</v>
      </c>
      <c r="G27" t="s">
        <v>2158</v>
      </c>
      <c r="H27" t="s">
        <v>2162</v>
      </c>
    </row>
    <row r="28" spans="1:8" x14ac:dyDescent="0.35">
      <c r="A28">
        <v>27</v>
      </c>
      <c r="B28" t="s">
        <v>24</v>
      </c>
      <c r="C28" s="7">
        <v>11.9</v>
      </c>
      <c r="D28" s="8">
        <v>11.915789824216411</v>
      </c>
      <c r="E28" s="6">
        <v>5765669</v>
      </c>
      <c r="F28" s="6">
        <v>687025</v>
      </c>
      <c r="G28" t="s">
        <v>2158</v>
      </c>
      <c r="H28" t="s">
        <v>2162</v>
      </c>
    </row>
    <row r="29" spans="1:8" x14ac:dyDescent="0.35">
      <c r="A29">
        <v>28</v>
      </c>
      <c r="B29" t="s">
        <v>35</v>
      </c>
      <c r="C29" s="7">
        <v>11.8</v>
      </c>
      <c r="D29" s="8">
        <v>11.805267357293509</v>
      </c>
      <c r="E29" s="6">
        <v>3050562</v>
      </c>
      <c r="F29" s="6">
        <v>360127</v>
      </c>
      <c r="G29" t="s">
        <v>2158</v>
      </c>
      <c r="H29" t="s">
        <v>2162</v>
      </c>
    </row>
    <row r="30" spans="1:8" x14ac:dyDescent="0.35">
      <c r="A30">
        <v>29</v>
      </c>
      <c r="B30" t="s">
        <v>41</v>
      </c>
      <c r="C30" s="7">
        <v>11.8</v>
      </c>
      <c r="D30" s="8">
        <v>11.789929886475219</v>
      </c>
      <c r="E30" s="6">
        <v>3054047</v>
      </c>
      <c r="F30" s="6">
        <v>360070</v>
      </c>
      <c r="G30" t="s">
        <v>2158</v>
      </c>
      <c r="H30" t="s">
        <v>2162</v>
      </c>
    </row>
    <row r="31" spans="1:8" x14ac:dyDescent="0.35">
      <c r="A31">
        <v>30</v>
      </c>
      <c r="B31" t="s">
        <v>18</v>
      </c>
      <c r="C31" s="7">
        <v>11.8</v>
      </c>
      <c r="D31" s="8">
        <v>11.768972747208601</v>
      </c>
      <c r="E31" s="6">
        <v>9557920</v>
      </c>
      <c r="F31" s="6">
        <v>1124869</v>
      </c>
      <c r="G31" t="s">
        <v>2158</v>
      </c>
      <c r="H31" t="s">
        <v>2162</v>
      </c>
    </row>
    <row r="32" spans="1:8" x14ac:dyDescent="0.35">
      <c r="A32">
        <v>31</v>
      </c>
      <c r="B32" t="s">
        <v>56</v>
      </c>
      <c r="C32" s="7">
        <v>11.7</v>
      </c>
      <c r="D32" s="8">
        <v>11.685121640012101</v>
      </c>
      <c r="E32" s="6">
        <v>565069</v>
      </c>
      <c r="F32" s="6">
        <v>66029</v>
      </c>
      <c r="G32" t="s">
        <v>2158</v>
      </c>
      <c r="H32" t="s">
        <v>2162</v>
      </c>
    </row>
    <row r="33" spans="1:8" x14ac:dyDescent="0.35">
      <c r="A33">
        <v>32</v>
      </c>
      <c r="B33" t="s">
        <v>82</v>
      </c>
      <c r="C33" s="7">
        <v>11.6</v>
      </c>
      <c r="D33" s="8">
        <v>11.57893806717269</v>
      </c>
      <c r="E33" s="6">
        <v>565855</v>
      </c>
      <c r="F33" s="6">
        <v>65520</v>
      </c>
      <c r="G33" t="s">
        <v>2158</v>
      </c>
      <c r="H33" t="s">
        <v>2162</v>
      </c>
    </row>
    <row r="34" spans="1:8" x14ac:dyDescent="0.35">
      <c r="A34">
        <v>33</v>
      </c>
      <c r="B34" t="s">
        <v>61</v>
      </c>
      <c r="C34" s="7">
        <v>11.3</v>
      </c>
      <c r="D34" s="8">
        <v>11.33208478254407</v>
      </c>
      <c r="E34" s="6">
        <v>1581033</v>
      </c>
      <c r="F34" s="6">
        <v>179164</v>
      </c>
      <c r="G34" t="s">
        <v>2158</v>
      </c>
      <c r="H34" t="s">
        <v>2162</v>
      </c>
    </row>
    <row r="35" spans="1:8" x14ac:dyDescent="0.35">
      <c r="A35">
        <v>34</v>
      </c>
      <c r="B35" t="s">
        <v>115</v>
      </c>
      <c r="C35" s="7">
        <v>11.2</v>
      </c>
      <c r="D35" s="8">
        <v>11.231139081759981</v>
      </c>
      <c r="E35" s="6">
        <v>4800270</v>
      </c>
      <c r="F35" s="6">
        <v>539125</v>
      </c>
      <c r="G35" t="s">
        <v>2158</v>
      </c>
      <c r="H35" t="s">
        <v>2162</v>
      </c>
    </row>
    <row r="36" spans="1:8" x14ac:dyDescent="0.35">
      <c r="A36">
        <v>35</v>
      </c>
      <c r="B36" t="s">
        <v>63</v>
      </c>
      <c r="C36" s="7">
        <v>10.3</v>
      </c>
      <c r="D36" s="8">
        <v>10.27245533620532</v>
      </c>
      <c r="E36" s="6">
        <v>1494667</v>
      </c>
      <c r="F36" s="6">
        <v>153539</v>
      </c>
      <c r="G36" t="s">
        <v>2158</v>
      </c>
      <c r="H36" t="s">
        <v>2162</v>
      </c>
    </row>
    <row r="37" spans="1:8" x14ac:dyDescent="0.35">
      <c r="A37">
        <v>36</v>
      </c>
      <c r="B37" t="s">
        <v>101</v>
      </c>
      <c r="C37" s="7">
        <v>10.3</v>
      </c>
      <c r="D37" s="8">
        <v>10.26659650785199</v>
      </c>
      <c r="E37" s="6">
        <v>954026</v>
      </c>
      <c r="F37" s="6">
        <v>97946</v>
      </c>
      <c r="G37" t="s">
        <v>2158</v>
      </c>
      <c r="H37" t="s">
        <v>2162</v>
      </c>
    </row>
    <row r="38" spans="1:8" x14ac:dyDescent="0.35">
      <c r="A38">
        <v>37</v>
      </c>
      <c r="B38" t="s">
        <v>74</v>
      </c>
      <c r="C38" s="7">
        <v>9.9</v>
      </c>
      <c r="D38" s="8">
        <v>9.866779653619826</v>
      </c>
      <c r="E38" s="6">
        <v>1649748</v>
      </c>
      <c r="F38" s="6">
        <v>162777</v>
      </c>
      <c r="G38" t="s">
        <v>2158</v>
      </c>
      <c r="H38" t="s">
        <v>2162</v>
      </c>
    </row>
    <row r="39" spans="1:8" x14ac:dyDescent="0.35">
      <c r="A39">
        <v>38</v>
      </c>
      <c r="B39" t="s">
        <v>59</v>
      </c>
      <c r="C39" s="7">
        <v>9.6999999999999993</v>
      </c>
      <c r="D39" s="8">
        <v>9.7395490509841469</v>
      </c>
      <c r="E39" s="6">
        <v>1036126</v>
      </c>
      <c r="F39" s="6">
        <v>100914</v>
      </c>
      <c r="G39" t="s">
        <v>2158</v>
      </c>
      <c r="H39" t="s">
        <v>2162</v>
      </c>
    </row>
    <row r="40" spans="1:8" x14ac:dyDescent="0.35">
      <c r="A40">
        <v>39</v>
      </c>
      <c r="B40" t="s">
        <v>65</v>
      </c>
      <c r="C40" s="7">
        <v>9.6999999999999993</v>
      </c>
      <c r="D40" s="8">
        <v>9.7243320222433205</v>
      </c>
      <c r="E40" s="6">
        <v>294920</v>
      </c>
      <c r="F40" s="6">
        <v>28679</v>
      </c>
      <c r="G40" t="s">
        <v>2158</v>
      </c>
      <c r="H40" t="s">
        <v>2162</v>
      </c>
    </row>
    <row r="41" spans="1:8" x14ac:dyDescent="0.35">
      <c r="A41">
        <v>40</v>
      </c>
      <c r="B41" t="s">
        <v>113</v>
      </c>
      <c r="C41" s="7">
        <v>9.6</v>
      </c>
      <c r="D41" s="8">
        <v>9.636304682000544</v>
      </c>
      <c r="E41" s="6">
        <v>3355446</v>
      </c>
      <c r="F41" s="6">
        <v>323341</v>
      </c>
      <c r="G41" t="s">
        <v>2158</v>
      </c>
      <c r="H41" t="s">
        <v>2162</v>
      </c>
    </row>
    <row r="42" spans="1:8" x14ac:dyDescent="0.35">
      <c r="A42">
        <v>41</v>
      </c>
      <c r="B42" t="s">
        <v>44</v>
      </c>
      <c r="C42" s="7">
        <v>9.5</v>
      </c>
      <c r="D42" s="8">
        <v>9.4831882724898833</v>
      </c>
      <c r="E42" s="6">
        <v>2078668</v>
      </c>
      <c r="F42" s="6">
        <v>197124</v>
      </c>
      <c r="G42" t="s">
        <v>2158</v>
      </c>
      <c r="H42" t="s">
        <v>2162</v>
      </c>
    </row>
    <row r="43" spans="1:8" x14ac:dyDescent="0.35">
      <c r="A43">
        <v>42</v>
      </c>
      <c r="B43" t="s">
        <v>78</v>
      </c>
      <c r="C43" s="7">
        <v>8.9</v>
      </c>
      <c r="D43" s="8">
        <v>8.9270828225371446</v>
      </c>
      <c r="E43" s="6">
        <v>1876156</v>
      </c>
      <c r="F43" s="6">
        <v>167486</v>
      </c>
      <c r="G43" t="s">
        <v>2158</v>
      </c>
      <c r="H43" t="s">
        <v>2162</v>
      </c>
    </row>
    <row r="44" spans="1:8" x14ac:dyDescent="0.35">
      <c r="A44">
        <v>43</v>
      </c>
      <c r="B44" t="s">
        <v>51</v>
      </c>
      <c r="C44" s="7">
        <v>8.9</v>
      </c>
      <c r="D44" s="8">
        <v>8.874679378937115</v>
      </c>
      <c r="E44" s="6">
        <v>716578</v>
      </c>
      <c r="F44" s="6">
        <v>63594</v>
      </c>
      <c r="G44" t="s">
        <v>2158</v>
      </c>
      <c r="H44" t="s">
        <v>2162</v>
      </c>
    </row>
    <row r="45" spans="1:8" x14ac:dyDescent="0.35">
      <c r="A45">
        <v>44</v>
      </c>
      <c r="B45" t="s">
        <v>89</v>
      </c>
      <c r="C45" s="7">
        <v>8.8000000000000007</v>
      </c>
      <c r="D45" s="8">
        <v>8.810796006667843</v>
      </c>
      <c r="E45" s="6">
        <v>759466</v>
      </c>
      <c r="F45" s="6">
        <v>66915</v>
      </c>
      <c r="G45" t="s">
        <v>2158</v>
      </c>
      <c r="H45" t="s">
        <v>2162</v>
      </c>
    </row>
    <row r="46" spans="1:8" x14ac:dyDescent="0.35">
      <c r="A46">
        <v>45</v>
      </c>
      <c r="B46" t="s">
        <v>91</v>
      </c>
      <c r="C46" s="7">
        <v>8.6</v>
      </c>
      <c r="D46" s="8">
        <v>8.5860166588540725</v>
      </c>
      <c r="E46" s="6">
        <v>1386650</v>
      </c>
      <c r="F46" s="6">
        <v>119058</v>
      </c>
      <c r="G46" t="s">
        <v>2158</v>
      </c>
      <c r="H46" t="s">
        <v>2162</v>
      </c>
    </row>
    <row r="47" spans="1:8" x14ac:dyDescent="0.35">
      <c r="A47">
        <v>46</v>
      </c>
      <c r="B47" t="s">
        <v>71</v>
      </c>
      <c r="C47" s="7">
        <v>8.4</v>
      </c>
      <c r="D47" s="8">
        <v>8.4194561623059645</v>
      </c>
      <c r="E47" s="6">
        <v>361983</v>
      </c>
      <c r="F47" s="6">
        <v>30477</v>
      </c>
      <c r="G47" t="s">
        <v>2158</v>
      </c>
      <c r="H47" t="s">
        <v>2162</v>
      </c>
    </row>
    <row r="48" spans="1:8" x14ac:dyDescent="0.35">
      <c r="A48">
        <v>47</v>
      </c>
      <c r="B48" t="s">
        <v>49</v>
      </c>
      <c r="C48" s="7">
        <v>8.3000000000000007</v>
      </c>
      <c r="D48" s="8">
        <v>8.3375181431407199</v>
      </c>
      <c r="E48" s="6">
        <v>2323881</v>
      </c>
      <c r="F48" s="6">
        <v>193754</v>
      </c>
      <c r="G48" t="s">
        <v>2158</v>
      </c>
      <c r="H48" t="s">
        <v>2162</v>
      </c>
    </row>
    <row r="49" spans="1:8" x14ac:dyDescent="0.35">
      <c r="A49">
        <v>48</v>
      </c>
      <c r="B49" t="s">
        <v>80</v>
      </c>
      <c r="C49" s="7">
        <v>8</v>
      </c>
      <c r="D49" s="8">
        <v>8.0386541237579134</v>
      </c>
      <c r="E49" s="6">
        <v>475913</v>
      </c>
      <c r="F49" s="6">
        <v>38257</v>
      </c>
      <c r="G49" t="s">
        <v>2158</v>
      </c>
      <c r="H49" t="s">
        <v>2162</v>
      </c>
    </row>
    <row r="50" spans="1:8" x14ac:dyDescent="0.35">
      <c r="A50">
        <v>49</v>
      </c>
      <c r="B50" t="s">
        <v>69</v>
      </c>
      <c r="C50" s="7">
        <v>8</v>
      </c>
      <c r="D50" s="8">
        <v>7.994403286380841</v>
      </c>
      <c r="E50" s="6">
        <v>2043342</v>
      </c>
      <c r="F50" s="6">
        <v>163353</v>
      </c>
      <c r="G50" t="s">
        <v>2158</v>
      </c>
      <c r="H50" t="s">
        <v>2162</v>
      </c>
    </row>
    <row r="51" spans="1:8" x14ac:dyDescent="0.35">
      <c r="A51">
        <v>50</v>
      </c>
      <c r="B51" t="s">
        <v>76</v>
      </c>
      <c r="C51" s="7">
        <v>7.1</v>
      </c>
      <c r="D51" s="8">
        <v>7.0901890606617952</v>
      </c>
      <c r="E51" s="6">
        <v>422457</v>
      </c>
      <c r="F51" s="6">
        <v>29953</v>
      </c>
      <c r="G51" t="s">
        <v>2158</v>
      </c>
      <c r="H51" t="s">
        <v>2162</v>
      </c>
    </row>
    <row r="52" spans="1:8" x14ac:dyDescent="0.35">
      <c r="A52">
        <v>51</v>
      </c>
      <c r="B52" t="s">
        <v>99</v>
      </c>
      <c r="C52" s="7">
        <v>6.2</v>
      </c>
      <c r="D52" s="8">
        <v>6.2407323933711707</v>
      </c>
      <c r="E52" s="6">
        <v>1302251</v>
      </c>
      <c r="F52" s="6">
        <v>81270</v>
      </c>
      <c r="G52" t="s">
        <v>2158</v>
      </c>
      <c r="H52" t="s">
        <v>2162</v>
      </c>
    </row>
  </sheetData>
  <autoFilter ref="A1:H52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48" customWidth="1"/>
    <col min="3" max="3" width="12" customWidth="1"/>
    <col min="4" max="5" width="18" customWidth="1"/>
    <col min="6" max="6" width="16" customWidth="1"/>
    <col min="7" max="7" width="18" customWidth="1"/>
    <col min="8" max="8" width="16" customWidth="1"/>
    <col min="9" max="9" width="12" customWidth="1"/>
    <col min="10" max="11" width="50" customWidth="1"/>
    <col min="12" max="12" width="22" customWidth="1"/>
    <col min="13" max="13" width="8" customWidth="1"/>
    <col min="14" max="14" width="50" customWidth="1"/>
  </cols>
  <sheetData>
    <row r="1" spans="1:14" ht="116" customHeight="1" x14ac:dyDescent="0.35">
      <c r="A1" s="3" t="s">
        <v>2192</v>
      </c>
      <c r="B1" s="3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227</v>
      </c>
      <c r="K1" s="3" t="s">
        <v>2201</v>
      </c>
      <c r="L1" s="3" t="s">
        <v>185</v>
      </c>
      <c r="M1" s="3" t="s">
        <v>174</v>
      </c>
      <c r="N1" s="3" t="s">
        <v>233</v>
      </c>
    </row>
    <row r="2" spans="1:14" ht="58" customHeight="1" x14ac:dyDescent="0.35">
      <c r="A2" t="s">
        <v>2202</v>
      </c>
      <c r="B2" t="s">
        <v>2203</v>
      </c>
      <c r="C2" t="s">
        <v>2204</v>
      </c>
      <c r="D2" s="7">
        <v>32.5</v>
      </c>
      <c r="E2" s="8">
        <v>32.477010265183921</v>
      </c>
      <c r="F2" s="9">
        <v>36447</v>
      </c>
      <c r="G2" s="9">
        <v>112224</v>
      </c>
      <c r="H2" s="9">
        <v>172537</v>
      </c>
      <c r="I2" t="s">
        <v>2205</v>
      </c>
      <c r="J2" t="s">
        <v>2159</v>
      </c>
      <c r="K2" t="s">
        <v>2163</v>
      </c>
      <c r="L2" t="s">
        <v>2143</v>
      </c>
      <c r="M2" t="s">
        <v>2151</v>
      </c>
      <c r="N2" s="4" t="s">
        <v>2171</v>
      </c>
    </row>
    <row r="3" spans="1:14" ht="58" customHeight="1" x14ac:dyDescent="0.35">
      <c r="A3" t="s">
        <v>2206</v>
      </c>
      <c r="B3" t="s">
        <v>2207</v>
      </c>
      <c r="C3" t="s">
        <v>2208</v>
      </c>
      <c r="D3" s="7">
        <v>48.1</v>
      </c>
      <c r="E3" s="8">
        <v>48.115079365079367</v>
      </c>
      <c r="F3" s="9">
        <v>10670</v>
      </c>
      <c r="G3" s="9">
        <v>22176</v>
      </c>
      <c r="H3" s="9">
        <v>31374</v>
      </c>
      <c r="I3" t="s">
        <v>2209</v>
      </c>
      <c r="J3" t="s">
        <v>2159</v>
      </c>
      <c r="K3" t="s">
        <v>2163</v>
      </c>
      <c r="L3" t="s">
        <v>2143</v>
      </c>
      <c r="M3" t="s">
        <v>2151</v>
      </c>
      <c r="N3" s="4" t="s">
        <v>2171</v>
      </c>
    </row>
    <row r="4" spans="1:14" ht="58" customHeight="1" x14ac:dyDescent="0.35">
      <c r="A4" t="s">
        <v>2206</v>
      </c>
      <c r="B4" t="s">
        <v>2210</v>
      </c>
      <c r="C4" t="s">
        <v>2208</v>
      </c>
      <c r="D4" s="7">
        <v>46.5</v>
      </c>
      <c r="E4" s="8">
        <v>46.4573623882101</v>
      </c>
      <c r="F4" s="9">
        <v>14753</v>
      </c>
      <c r="G4" s="9">
        <v>31756</v>
      </c>
      <c r="H4" s="9">
        <v>48324</v>
      </c>
      <c r="I4" t="s">
        <v>2209</v>
      </c>
      <c r="J4" t="s">
        <v>2159</v>
      </c>
      <c r="K4" t="s">
        <v>2163</v>
      </c>
      <c r="L4" t="s">
        <v>2143</v>
      </c>
      <c r="M4" t="s">
        <v>2151</v>
      </c>
      <c r="N4" s="4" t="s">
        <v>2171</v>
      </c>
    </row>
    <row r="5" spans="1:14" ht="58" customHeight="1" x14ac:dyDescent="0.35">
      <c r="A5" t="s">
        <v>2206</v>
      </c>
      <c r="B5" t="s">
        <v>2211</v>
      </c>
      <c r="C5" t="s">
        <v>2208</v>
      </c>
      <c r="D5" s="7">
        <v>10.5</v>
      </c>
      <c r="E5" s="8">
        <v>10.53669083047183</v>
      </c>
      <c r="F5" s="9">
        <v>1657</v>
      </c>
      <c r="G5" s="9">
        <v>15726</v>
      </c>
      <c r="H5" s="9">
        <v>28485</v>
      </c>
      <c r="I5" t="s">
        <v>2209</v>
      </c>
      <c r="J5" t="s">
        <v>2159</v>
      </c>
      <c r="K5" t="s">
        <v>2163</v>
      </c>
      <c r="L5" t="s">
        <v>2143</v>
      </c>
      <c r="M5" t="s">
        <v>2151</v>
      </c>
      <c r="N5" s="4" t="s">
        <v>2171</v>
      </c>
    </row>
    <row r="6" spans="1:14" ht="58" customHeight="1" x14ac:dyDescent="0.35">
      <c r="A6" t="s">
        <v>2212</v>
      </c>
      <c r="B6" t="s">
        <v>2213</v>
      </c>
      <c r="C6" t="s">
        <v>2208</v>
      </c>
      <c r="D6" s="7">
        <v>51</v>
      </c>
      <c r="E6" s="8">
        <v>51.019986572328669</v>
      </c>
      <c r="F6" s="9">
        <v>9879</v>
      </c>
      <c r="G6" s="9">
        <v>19363</v>
      </c>
      <c r="H6" s="9">
        <v>27837</v>
      </c>
      <c r="I6" t="s">
        <v>2209</v>
      </c>
      <c r="J6" t="s">
        <v>2159</v>
      </c>
      <c r="K6" t="s">
        <v>2163</v>
      </c>
      <c r="L6" t="s">
        <v>2143</v>
      </c>
      <c r="M6" t="s">
        <v>2151</v>
      </c>
      <c r="N6" s="4" t="s">
        <v>2171</v>
      </c>
    </row>
    <row r="7" spans="1:14" ht="58" customHeight="1" x14ac:dyDescent="0.35">
      <c r="A7" t="s">
        <v>2212</v>
      </c>
      <c r="B7" t="s">
        <v>2214</v>
      </c>
      <c r="C7" t="s">
        <v>2208</v>
      </c>
      <c r="D7" s="7">
        <v>13.3</v>
      </c>
      <c r="E7" s="8">
        <v>13.2919827762969</v>
      </c>
      <c r="F7" s="9">
        <v>2593</v>
      </c>
      <c r="G7" s="9">
        <v>19508</v>
      </c>
      <c r="H7" s="9">
        <v>28317</v>
      </c>
      <c r="I7" t="s">
        <v>2209</v>
      </c>
      <c r="J7" t="s">
        <v>2159</v>
      </c>
      <c r="K7" t="s">
        <v>2163</v>
      </c>
      <c r="L7" t="s">
        <v>2143</v>
      </c>
      <c r="M7" t="s">
        <v>2151</v>
      </c>
      <c r="N7" s="4" t="s">
        <v>2171</v>
      </c>
    </row>
    <row r="8" spans="1:14" ht="58" customHeight="1" x14ac:dyDescent="0.35">
      <c r="A8" t="s">
        <v>2215</v>
      </c>
      <c r="B8" t="s">
        <v>2216</v>
      </c>
      <c r="C8" t="s">
        <v>2204</v>
      </c>
      <c r="D8" s="7">
        <v>50</v>
      </c>
      <c r="E8" s="8">
        <v>49.990805631040189</v>
      </c>
      <c r="F8" s="9">
        <v>24467</v>
      </c>
      <c r="G8" s="9">
        <v>48943</v>
      </c>
      <c r="H8" s="9">
        <v>71811</v>
      </c>
      <c r="I8" t="s">
        <v>2209</v>
      </c>
      <c r="J8" t="s">
        <v>2159</v>
      </c>
      <c r="K8" t="s">
        <v>2163</v>
      </c>
      <c r="L8" t="s">
        <v>2143</v>
      </c>
      <c r="M8" t="s">
        <v>2151</v>
      </c>
      <c r="N8" s="4" t="s">
        <v>2171</v>
      </c>
    </row>
    <row r="9" spans="1:14" ht="58" customHeight="1" x14ac:dyDescent="0.35">
      <c r="A9" t="s">
        <v>2215</v>
      </c>
      <c r="B9" t="s">
        <v>2217</v>
      </c>
      <c r="C9" t="s">
        <v>2204</v>
      </c>
      <c r="D9" s="7">
        <v>17.8</v>
      </c>
      <c r="E9" s="8">
        <v>17.809516294484339</v>
      </c>
      <c r="F9" s="9">
        <v>4514</v>
      </c>
      <c r="G9" s="9">
        <v>25346</v>
      </c>
      <c r="H9" s="9">
        <v>38258</v>
      </c>
      <c r="I9" t="s">
        <v>2209</v>
      </c>
      <c r="J9" t="s">
        <v>2159</v>
      </c>
      <c r="K9" t="s">
        <v>2163</v>
      </c>
      <c r="L9" t="s">
        <v>2143</v>
      </c>
      <c r="M9" t="s">
        <v>2151</v>
      </c>
      <c r="N9" s="4" t="s">
        <v>2171</v>
      </c>
    </row>
    <row r="10" spans="1:14" ht="58" customHeight="1" x14ac:dyDescent="0.35">
      <c r="A10" t="s">
        <v>2218</v>
      </c>
      <c r="B10" t="s">
        <v>2219</v>
      </c>
      <c r="C10" t="s">
        <v>2204</v>
      </c>
      <c r="D10" s="7">
        <v>33.4</v>
      </c>
      <c r="E10" s="8">
        <v>33.380209665047303</v>
      </c>
      <c r="F10" s="9">
        <v>31332</v>
      </c>
      <c r="G10" s="9">
        <v>93864</v>
      </c>
      <c r="H10" s="9">
        <v>134979</v>
      </c>
      <c r="I10" t="s">
        <v>2205</v>
      </c>
      <c r="J10" t="s">
        <v>2159</v>
      </c>
      <c r="K10" t="s">
        <v>2163</v>
      </c>
      <c r="L10" t="s">
        <v>2143</v>
      </c>
      <c r="M10" t="s">
        <v>2151</v>
      </c>
      <c r="N10" s="4" t="s">
        <v>2171</v>
      </c>
    </row>
    <row r="11" spans="1:14" ht="58" customHeight="1" x14ac:dyDescent="0.35">
      <c r="A11" t="s">
        <v>2218</v>
      </c>
      <c r="B11" t="s">
        <v>2220</v>
      </c>
      <c r="C11" t="s">
        <v>2204</v>
      </c>
      <c r="D11" s="7">
        <v>27.9</v>
      </c>
      <c r="E11" s="8">
        <v>27.852513479657969</v>
      </c>
      <c r="F11" s="9">
        <v>5114</v>
      </c>
      <c r="G11" s="9">
        <v>18361</v>
      </c>
      <c r="H11" s="9">
        <v>37558</v>
      </c>
      <c r="I11" t="s">
        <v>2205</v>
      </c>
      <c r="J11" t="s">
        <v>2159</v>
      </c>
      <c r="K11" t="s">
        <v>2163</v>
      </c>
      <c r="L11" t="s">
        <v>2143</v>
      </c>
      <c r="M11" t="s">
        <v>2151</v>
      </c>
      <c r="N11" s="4" t="s">
        <v>2171</v>
      </c>
    </row>
    <row r="12" spans="1:14" ht="58" customHeight="1" x14ac:dyDescent="0.35">
      <c r="A12" t="s">
        <v>2215</v>
      </c>
      <c r="B12" t="s">
        <v>2221</v>
      </c>
      <c r="C12" t="s">
        <v>2204</v>
      </c>
      <c r="D12" s="7">
        <v>5</v>
      </c>
      <c r="E12" s="8">
        <v>5.0255053844700548</v>
      </c>
      <c r="F12" s="9">
        <v>266</v>
      </c>
      <c r="G12" s="9">
        <v>5293</v>
      </c>
      <c r="H12" s="9">
        <v>8106</v>
      </c>
      <c r="I12" t="s">
        <v>2209</v>
      </c>
      <c r="J12" t="s">
        <v>2159</v>
      </c>
      <c r="K12" t="s">
        <v>2163</v>
      </c>
      <c r="L12" t="s">
        <v>2143</v>
      </c>
      <c r="M12" t="s">
        <v>2151</v>
      </c>
      <c r="N12" s="4" t="s">
        <v>2171</v>
      </c>
    </row>
    <row r="13" spans="1:14" ht="58" customHeight="1" x14ac:dyDescent="0.35">
      <c r="A13" t="s">
        <v>2215</v>
      </c>
      <c r="B13" t="s">
        <v>2222</v>
      </c>
      <c r="C13" t="s">
        <v>2204</v>
      </c>
      <c r="D13" s="7">
        <v>25.9</v>
      </c>
      <c r="E13" s="8">
        <v>25.885755603759939</v>
      </c>
      <c r="F13" s="9">
        <v>5012</v>
      </c>
      <c r="G13" s="9">
        <v>19362</v>
      </c>
      <c r="H13" s="9">
        <v>30545</v>
      </c>
      <c r="I13" t="s">
        <v>2209</v>
      </c>
      <c r="J13" t="s">
        <v>2159</v>
      </c>
      <c r="K13" t="s">
        <v>2163</v>
      </c>
      <c r="L13" t="s">
        <v>2143</v>
      </c>
      <c r="M13" t="s">
        <v>2151</v>
      </c>
      <c r="N13" s="4" t="s">
        <v>2171</v>
      </c>
    </row>
    <row r="14" spans="1:14" ht="58" customHeight="1" x14ac:dyDescent="0.35">
      <c r="A14" t="s">
        <v>2215</v>
      </c>
      <c r="B14" t="s">
        <v>2223</v>
      </c>
      <c r="C14" t="s">
        <v>2204</v>
      </c>
      <c r="D14" s="7">
        <v>46.4</v>
      </c>
      <c r="E14" s="8">
        <v>46.365923795830341</v>
      </c>
      <c r="F14" s="9">
        <v>12899</v>
      </c>
      <c r="G14" s="9">
        <v>27820</v>
      </c>
      <c r="H14" s="9">
        <v>42196</v>
      </c>
      <c r="I14" t="s">
        <v>2209</v>
      </c>
      <c r="J14" t="s">
        <v>2159</v>
      </c>
      <c r="K14" t="s">
        <v>2163</v>
      </c>
      <c r="L14" t="s">
        <v>2143</v>
      </c>
      <c r="M14" t="s">
        <v>2151</v>
      </c>
      <c r="N14" s="4" t="s">
        <v>2171</v>
      </c>
    </row>
    <row r="15" spans="1:14" ht="58" customHeight="1" x14ac:dyDescent="0.35">
      <c r="A15" t="s">
        <v>2215</v>
      </c>
      <c r="B15" t="s">
        <v>2224</v>
      </c>
      <c r="C15" t="s">
        <v>2204</v>
      </c>
      <c r="D15" s="7">
        <v>54.8</v>
      </c>
      <c r="E15" s="8">
        <v>54.764948160772619</v>
      </c>
      <c r="F15" s="9">
        <v>11568</v>
      </c>
      <c r="G15" s="9">
        <v>21123</v>
      </c>
      <c r="H15" s="9">
        <v>29615</v>
      </c>
      <c r="I15" t="s">
        <v>2209</v>
      </c>
      <c r="J15" t="s">
        <v>2159</v>
      </c>
      <c r="K15" t="s">
        <v>2163</v>
      </c>
      <c r="L15" t="s">
        <v>2143</v>
      </c>
      <c r="M15" t="s">
        <v>2151</v>
      </c>
      <c r="N15" s="4" t="s">
        <v>2171</v>
      </c>
    </row>
    <row r="16" spans="1:14" ht="58" customHeight="1" x14ac:dyDescent="0.35">
      <c r="A16" t="s">
        <v>2206</v>
      </c>
      <c r="B16" t="s">
        <v>2225</v>
      </c>
      <c r="C16" t="s">
        <v>2208</v>
      </c>
      <c r="D16" s="7">
        <v>32</v>
      </c>
      <c r="E16" s="8">
        <v>31.968700385574959</v>
      </c>
      <c r="F16" s="9">
        <v>2819</v>
      </c>
      <c r="G16" s="9">
        <v>8818</v>
      </c>
      <c r="H16" s="9">
        <v>13800</v>
      </c>
      <c r="I16" t="s">
        <v>2209</v>
      </c>
      <c r="J16" t="s">
        <v>2159</v>
      </c>
      <c r="K16" t="s">
        <v>2163</v>
      </c>
      <c r="L16" t="s">
        <v>2143</v>
      </c>
      <c r="M16" t="s">
        <v>2151</v>
      </c>
      <c r="N16" s="4" t="s">
        <v>2171</v>
      </c>
    </row>
    <row r="17" spans="1:14" ht="58" customHeight="1" x14ac:dyDescent="0.35">
      <c r="A17" t="s">
        <v>2206</v>
      </c>
      <c r="B17" t="s">
        <v>2226</v>
      </c>
      <c r="C17" t="s">
        <v>2208</v>
      </c>
      <c r="D17" s="7">
        <v>26.7</v>
      </c>
      <c r="E17" s="8">
        <v>26.697547110222128</v>
      </c>
      <c r="F17" s="9">
        <v>2536</v>
      </c>
      <c r="G17" s="9">
        <v>9499</v>
      </c>
      <c r="H17" s="9">
        <v>15738</v>
      </c>
      <c r="I17" t="s">
        <v>2209</v>
      </c>
      <c r="J17" t="s">
        <v>2159</v>
      </c>
      <c r="K17" t="s">
        <v>2163</v>
      </c>
      <c r="L17" t="s">
        <v>2143</v>
      </c>
      <c r="M17" t="s">
        <v>2151</v>
      </c>
      <c r="N17" s="4" t="s">
        <v>2171</v>
      </c>
    </row>
    <row r="18" spans="1:14" ht="58" customHeight="1" x14ac:dyDescent="0.35">
      <c r="A18" t="s">
        <v>2206</v>
      </c>
      <c r="B18" t="s">
        <v>2227</v>
      </c>
      <c r="C18" t="s">
        <v>2208</v>
      </c>
      <c r="D18" s="7">
        <v>16.5</v>
      </c>
      <c r="E18" s="8">
        <v>16.518784217481588</v>
      </c>
      <c r="F18" s="9">
        <v>875</v>
      </c>
      <c r="G18" s="9">
        <v>5297</v>
      </c>
      <c r="H18" s="9">
        <v>7967</v>
      </c>
      <c r="I18" t="s">
        <v>2209</v>
      </c>
      <c r="J18" t="s">
        <v>2159</v>
      </c>
      <c r="K18" t="s">
        <v>2163</v>
      </c>
      <c r="L18" t="s">
        <v>2143</v>
      </c>
      <c r="M18" t="s">
        <v>2151</v>
      </c>
      <c r="N18" s="4" t="s">
        <v>2171</v>
      </c>
    </row>
    <row r="19" spans="1:14" ht="58" customHeight="1" x14ac:dyDescent="0.35">
      <c r="A19" t="s">
        <v>2206</v>
      </c>
      <c r="B19" t="s">
        <v>2228</v>
      </c>
      <c r="C19" t="s">
        <v>2208</v>
      </c>
      <c r="D19" s="7">
        <v>8.3000000000000007</v>
      </c>
      <c r="E19" s="8">
        <v>8.2862523540489637</v>
      </c>
      <c r="F19" s="9">
        <v>484</v>
      </c>
      <c r="G19" s="9">
        <v>5841</v>
      </c>
      <c r="H19" s="9">
        <v>8849</v>
      </c>
      <c r="I19" t="s">
        <v>2209</v>
      </c>
      <c r="J19" t="s">
        <v>2159</v>
      </c>
      <c r="K19" t="s">
        <v>2163</v>
      </c>
      <c r="L19" t="s">
        <v>2143</v>
      </c>
      <c r="M19" t="s">
        <v>2151</v>
      </c>
      <c r="N19" s="4" t="s">
        <v>2171</v>
      </c>
    </row>
    <row r="20" spans="1:14" ht="58" customHeight="1" x14ac:dyDescent="0.35">
      <c r="A20" t="s">
        <v>2206</v>
      </c>
      <c r="B20" t="s">
        <v>2229</v>
      </c>
      <c r="C20" t="s">
        <v>2208</v>
      </c>
      <c r="D20" s="7">
        <v>5.8</v>
      </c>
      <c r="E20" s="8">
        <v>5.8077709611451942</v>
      </c>
      <c r="F20" s="9">
        <v>426</v>
      </c>
      <c r="G20" s="9">
        <v>7335</v>
      </c>
      <c r="H20" s="9">
        <v>11186</v>
      </c>
      <c r="I20" t="s">
        <v>2209</v>
      </c>
      <c r="J20" t="s">
        <v>2159</v>
      </c>
      <c r="K20" t="s">
        <v>2163</v>
      </c>
      <c r="L20" t="s">
        <v>2143</v>
      </c>
      <c r="M20" t="s">
        <v>2151</v>
      </c>
      <c r="N20" s="4" t="s">
        <v>2171</v>
      </c>
    </row>
    <row r="21" spans="1:14" ht="58" customHeight="1" x14ac:dyDescent="0.35">
      <c r="A21" t="s">
        <v>2212</v>
      </c>
      <c r="B21" t="s">
        <v>2230</v>
      </c>
      <c r="C21" t="s">
        <v>2208</v>
      </c>
      <c r="D21" s="7">
        <v>25.9</v>
      </c>
      <c r="E21" s="8">
        <v>25.937931767456689</v>
      </c>
      <c r="F21" s="9">
        <v>4881</v>
      </c>
      <c r="G21" s="9">
        <v>18818</v>
      </c>
      <c r="H21" s="9">
        <v>28023</v>
      </c>
      <c r="I21" t="s">
        <v>2209</v>
      </c>
      <c r="J21" t="s">
        <v>2159</v>
      </c>
      <c r="K21" t="s">
        <v>2163</v>
      </c>
      <c r="L21" t="s">
        <v>2143</v>
      </c>
      <c r="M21" t="s">
        <v>2151</v>
      </c>
      <c r="N21" s="4" t="s">
        <v>2171</v>
      </c>
    </row>
    <row r="22" spans="1:14" ht="58" customHeight="1" x14ac:dyDescent="0.35">
      <c r="A22" t="s">
        <v>2212</v>
      </c>
      <c r="B22" t="s">
        <v>2231</v>
      </c>
      <c r="C22" t="s">
        <v>2208</v>
      </c>
      <c r="D22" s="7">
        <v>35.6</v>
      </c>
      <c r="E22" s="8">
        <v>35.55038244097107</v>
      </c>
      <c r="F22" s="9">
        <v>6414</v>
      </c>
      <c r="G22" s="9">
        <v>18042</v>
      </c>
      <c r="H22" s="9">
        <v>27215</v>
      </c>
      <c r="I22" t="s">
        <v>2209</v>
      </c>
      <c r="J22" t="s">
        <v>2159</v>
      </c>
      <c r="K22" t="s">
        <v>2163</v>
      </c>
      <c r="L22" t="s">
        <v>2143</v>
      </c>
      <c r="M22" t="s">
        <v>2151</v>
      </c>
      <c r="N22" s="4" t="s">
        <v>2171</v>
      </c>
    </row>
  </sheetData>
  <autoFilter ref="A1:N22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36" customWidth="1"/>
    <col min="3" max="3" width="10" customWidth="1"/>
    <col min="4" max="4" width="48" customWidth="1"/>
    <col min="5" max="5" width="16" customWidth="1"/>
    <col min="6" max="6" width="18" customWidth="1"/>
    <col min="7" max="9" width="14" customWidth="1"/>
    <col min="10" max="10" width="42" customWidth="1"/>
    <col min="11" max="11" width="50" customWidth="1"/>
    <col min="12" max="12" width="45" customWidth="1"/>
    <col min="13" max="13" width="22" customWidth="1"/>
    <col min="14" max="14" width="40" customWidth="1"/>
    <col min="15" max="15" width="8" customWidth="1"/>
    <col min="16" max="16" width="50" customWidth="1"/>
  </cols>
  <sheetData>
    <row r="1" spans="1:16" ht="43.5" customHeight="1" x14ac:dyDescent="0.35">
      <c r="A1" s="3" t="s">
        <v>2232</v>
      </c>
      <c r="B1" s="3" t="s">
        <v>2233</v>
      </c>
      <c r="C1" s="3" t="s">
        <v>2234</v>
      </c>
      <c r="D1" s="3" t="s">
        <v>2235</v>
      </c>
      <c r="E1" s="3" t="s">
        <v>2236</v>
      </c>
      <c r="F1" s="3" t="s">
        <v>2237</v>
      </c>
      <c r="G1" s="3" t="s">
        <v>2238</v>
      </c>
      <c r="H1" s="3" t="s">
        <v>2239</v>
      </c>
      <c r="I1" s="3" t="s">
        <v>2240</v>
      </c>
      <c r="J1" s="3" t="s">
        <v>2241</v>
      </c>
      <c r="K1" s="3" t="s">
        <v>227</v>
      </c>
      <c r="L1" s="3" t="s">
        <v>2161</v>
      </c>
      <c r="M1" s="3" t="s">
        <v>185</v>
      </c>
      <c r="N1" s="3" t="s">
        <v>2187</v>
      </c>
      <c r="O1" s="3" t="s">
        <v>174</v>
      </c>
      <c r="P1" s="3" t="s">
        <v>2188</v>
      </c>
    </row>
    <row r="2" spans="1:16" ht="87" customHeight="1" x14ac:dyDescent="0.35">
      <c r="A2" t="s">
        <v>2242</v>
      </c>
      <c r="B2" t="s">
        <v>2243</v>
      </c>
      <c r="C2" t="s">
        <v>2244</v>
      </c>
      <c r="D2" t="s">
        <v>2245</v>
      </c>
      <c r="E2" s="7">
        <v>35.799999999999997</v>
      </c>
      <c r="F2" s="8">
        <v>35.814838737458551</v>
      </c>
      <c r="G2" s="6">
        <v>1039660</v>
      </c>
      <c r="H2" s="6">
        <v>11106593</v>
      </c>
      <c r="I2" s="7">
        <v>37.299999999999997</v>
      </c>
      <c r="J2" s="4" t="s">
        <v>2246</v>
      </c>
      <c r="K2" s="4" t="s">
        <v>2160</v>
      </c>
      <c r="L2" s="4" t="s">
        <v>2164</v>
      </c>
      <c r="M2" s="4" t="s">
        <v>186</v>
      </c>
      <c r="N2" s="4" t="s">
        <v>2150</v>
      </c>
      <c r="O2" s="4" t="s">
        <v>2152</v>
      </c>
      <c r="P2" s="4" t="s">
        <v>2156</v>
      </c>
    </row>
    <row r="3" spans="1:16" ht="87" customHeight="1" x14ac:dyDescent="0.35">
      <c r="A3" t="s">
        <v>2242</v>
      </c>
      <c r="B3" t="s">
        <v>2243</v>
      </c>
      <c r="C3" t="s">
        <v>2247</v>
      </c>
      <c r="D3" t="s">
        <v>2248</v>
      </c>
      <c r="E3" s="7">
        <v>64.2</v>
      </c>
      <c r="F3" s="8">
        <v>64.2</v>
      </c>
      <c r="G3" s="6">
        <v>1863215</v>
      </c>
      <c r="H3" s="6">
        <v>18659361</v>
      </c>
      <c r="I3" s="7">
        <v>62.7</v>
      </c>
      <c r="J3" s="4" t="s">
        <v>2249</v>
      </c>
      <c r="K3" s="4" t="s">
        <v>2160</v>
      </c>
      <c r="L3" s="4" t="s">
        <v>2164</v>
      </c>
      <c r="M3" s="4" t="s">
        <v>186</v>
      </c>
      <c r="N3" s="4" t="s">
        <v>2150</v>
      </c>
      <c r="O3" s="4" t="s">
        <v>2152</v>
      </c>
      <c r="P3" s="4" t="s">
        <v>2156</v>
      </c>
    </row>
    <row r="4" spans="1:16" ht="87" customHeight="1" x14ac:dyDescent="0.35">
      <c r="A4" t="s">
        <v>2242</v>
      </c>
      <c r="B4" t="s">
        <v>2243</v>
      </c>
      <c r="C4" t="s">
        <v>2250</v>
      </c>
      <c r="D4" t="s">
        <v>2251</v>
      </c>
      <c r="E4" s="7">
        <v>100</v>
      </c>
      <c r="F4" s="8">
        <v>100</v>
      </c>
      <c r="G4" s="6">
        <v>2902875</v>
      </c>
      <c r="H4" s="6">
        <v>29765953</v>
      </c>
      <c r="I4" s="7">
        <v>100</v>
      </c>
      <c r="J4" s="4" t="s">
        <v>2252</v>
      </c>
      <c r="K4" s="4" t="s">
        <v>2160</v>
      </c>
      <c r="L4" s="4" t="s">
        <v>2164</v>
      </c>
      <c r="M4" s="4" t="s">
        <v>186</v>
      </c>
      <c r="N4" s="4" t="s">
        <v>2150</v>
      </c>
      <c r="O4" s="4" t="s">
        <v>2152</v>
      </c>
      <c r="P4" s="4" t="s">
        <v>2156</v>
      </c>
    </row>
    <row r="5" spans="1:16" ht="87" customHeight="1" x14ac:dyDescent="0.35">
      <c r="A5" t="s">
        <v>2253</v>
      </c>
      <c r="B5" t="s">
        <v>2254</v>
      </c>
      <c r="C5" t="s">
        <v>2244</v>
      </c>
      <c r="D5" t="s">
        <v>2245</v>
      </c>
      <c r="E5" s="7">
        <v>77.5</v>
      </c>
      <c r="F5" s="8">
        <v>77.459568733153645</v>
      </c>
      <c r="G5" s="6">
        <v>6897</v>
      </c>
      <c r="H5" s="6">
        <v>37351048</v>
      </c>
      <c r="I5" s="7">
        <v>90.8</v>
      </c>
      <c r="J5" s="4" t="s">
        <v>2246</v>
      </c>
      <c r="K5" s="4" t="s">
        <v>2160</v>
      </c>
      <c r="L5" s="4" t="s">
        <v>2164</v>
      </c>
      <c r="M5" s="4" t="s">
        <v>186</v>
      </c>
      <c r="N5" s="4" t="s">
        <v>2150</v>
      </c>
      <c r="O5" s="4" t="s">
        <v>2152</v>
      </c>
      <c r="P5" s="4" t="s">
        <v>2156</v>
      </c>
    </row>
    <row r="6" spans="1:16" ht="87" customHeight="1" x14ac:dyDescent="0.35">
      <c r="A6" t="s">
        <v>2253</v>
      </c>
      <c r="B6" t="s">
        <v>2254</v>
      </c>
      <c r="C6" t="s">
        <v>2247</v>
      </c>
      <c r="D6" t="s">
        <v>2248</v>
      </c>
      <c r="E6" s="7">
        <v>22.5</v>
      </c>
      <c r="F6" s="8">
        <v>22.5</v>
      </c>
      <c r="G6" s="6">
        <v>2007</v>
      </c>
      <c r="H6" s="6">
        <v>3767240</v>
      </c>
      <c r="I6" s="7">
        <v>9.1999999999999993</v>
      </c>
      <c r="J6" s="4" t="s">
        <v>2249</v>
      </c>
      <c r="K6" s="4" t="s">
        <v>2160</v>
      </c>
      <c r="L6" s="4" t="s">
        <v>2164</v>
      </c>
      <c r="M6" s="4" t="s">
        <v>186</v>
      </c>
      <c r="N6" s="4" t="s">
        <v>2150</v>
      </c>
      <c r="O6" s="4" t="s">
        <v>2152</v>
      </c>
      <c r="P6" s="4" t="s">
        <v>2156</v>
      </c>
    </row>
    <row r="7" spans="1:16" ht="87" customHeight="1" x14ac:dyDescent="0.35">
      <c r="A7" t="s">
        <v>2253</v>
      </c>
      <c r="B7" t="s">
        <v>2254</v>
      </c>
      <c r="C7" t="s">
        <v>2250</v>
      </c>
      <c r="D7" t="s">
        <v>2251</v>
      </c>
      <c r="E7" s="7">
        <v>100</v>
      </c>
      <c r="F7" s="8">
        <v>100</v>
      </c>
      <c r="G7" s="6">
        <v>8904</v>
      </c>
      <c r="H7" s="6">
        <v>41118288</v>
      </c>
      <c r="I7" s="7">
        <v>100</v>
      </c>
      <c r="J7" s="4" t="s">
        <v>2252</v>
      </c>
      <c r="K7" s="4" t="s">
        <v>2160</v>
      </c>
      <c r="L7" s="4" t="s">
        <v>2164</v>
      </c>
      <c r="M7" s="4" t="s">
        <v>186</v>
      </c>
      <c r="N7" s="4" t="s">
        <v>2150</v>
      </c>
      <c r="O7" s="4" t="s">
        <v>2152</v>
      </c>
      <c r="P7" s="4" t="s">
        <v>2156</v>
      </c>
    </row>
  </sheetData>
  <autoFilter ref="A1:P7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110" customWidth="1"/>
  </cols>
  <sheetData>
    <row r="1" spans="1:2" x14ac:dyDescent="0.35">
      <c r="A1" s="3" t="s">
        <v>168</v>
      </c>
      <c r="B1" s="3" t="s">
        <v>169</v>
      </c>
    </row>
    <row r="2" spans="1:2" ht="60" customHeight="1" x14ac:dyDescent="0.35">
      <c r="A2" t="s">
        <v>170</v>
      </c>
      <c r="B2" s="4" t="s">
        <v>2255</v>
      </c>
    </row>
    <row r="3" spans="1:2" ht="60" customHeight="1" x14ac:dyDescent="0.35">
      <c r="A3" t="s">
        <v>172</v>
      </c>
      <c r="B3" s="4" t="s">
        <v>2256</v>
      </c>
    </row>
    <row r="4" spans="1:2" ht="60" customHeight="1" x14ac:dyDescent="0.35">
      <c r="A4" t="s">
        <v>2257</v>
      </c>
      <c r="B4" s="4" t="s">
        <v>2258</v>
      </c>
    </row>
    <row r="5" spans="1:2" ht="60" customHeight="1" x14ac:dyDescent="0.35">
      <c r="A5" t="s">
        <v>2259</v>
      </c>
      <c r="B5" s="4" t="s">
        <v>2260</v>
      </c>
    </row>
    <row r="6" spans="1:2" ht="60" customHeight="1" x14ac:dyDescent="0.35">
      <c r="A6" t="s">
        <v>2261</v>
      </c>
      <c r="B6" s="4" t="s">
        <v>2262</v>
      </c>
    </row>
    <row r="7" spans="1:2" ht="60" customHeight="1" x14ac:dyDescent="0.35">
      <c r="A7" t="s">
        <v>2263</v>
      </c>
      <c r="B7" s="4" t="s">
        <v>2264</v>
      </c>
    </row>
    <row r="8" spans="1:2" ht="60" customHeight="1" x14ac:dyDescent="0.35">
      <c r="A8" t="s">
        <v>2265</v>
      </c>
      <c r="B8" s="4" t="s">
        <v>2266</v>
      </c>
    </row>
    <row r="9" spans="1:2" ht="60" customHeight="1" x14ac:dyDescent="0.35">
      <c r="A9" t="s">
        <v>2267</v>
      </c>
      <c r="B9" s="4" t="s">
        <v>2268</v>
      </c>
    </row>
    <row r="10" spans="1:2" ht="60" customHeight="1" x14ac:dyDescent="0.35">
      <c r="A10" t="s">
        <v>2269</v>
      </c>
      <c r="B10" s="4" t="s">
        <v>2270</v>
      </c>
    </row>
    <row r="11" spans="1:2" ht="60" customHeight="1" x14ac:dyDescent="0.35">
      <c r="A11" t="s">
        <v>2271</v>
      </c>
      <c r="B11" s="4" t="s">
        <v>2272</v>
      </c>
    </row>
    <row r="12" spans="1:2" ht="60" customHeight="1" x14ac:dyDescent="0.35">
      <c r="A12" t="s">
        <v>213</v>
      </c>
      <c r="B12" s="4" t="s">
        <v>2273</v>
      </c>
    </row>
    <row r="13" spans="1:2" ht="60" customHeight="1" x14ac:dyDescent="0.35">
      <c r="A13" t="s">
        <v>2274</v>
      </c>
      <c r="B13" s="4" t="s">
        <v>2275</v>
      </c>
    </row>
  </sheetData>
  <autoFilter ref="A1:B13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customWidth="1"/>
    <col min="2" max="3" width="42" customWidth="1"/>
    <col min="4" max="4" width="55" customWidth="1"/>
    <col min="5" max="5" width="10" customWidth="1"/>
    <col min="6" max="6" width="28" customWidth="1"/>
    <col min="7" max="8" width="14" customWidth="1"/>
    <col min="9" max="9" width="12" customWidth="1"/>
    <col min="10" max="10" width="18" customWidth="1"/>
    <col min="11" max="11" width="55" customWidth="1"/>
  </cols>
  <sheetData>
    <row r="1" spans="1:11" ht="29" customHeight="1" x14ac:dyDescent="0.35">
      <c r="A1" s="3" t="s">
        <v>68</v>
      </c>
      <c r="B1" s="3" t="s">
        <v>2276</v>
      </c>
      <c r="C1" s="3" t="s">
        <v>2277</v>
      </c>
      <c r="D1" s="3" t="s">
        <v>2278</v>
      </c>
      <c r="E1" s="3" t="s">
        <v>2279</v>
      </c>
      <c r="F1" s="3" t="s">
        <v>2280</v>
      </c>
      <c r="G1" s="3" t="s">
        <v>2281</v>
      </c>
      <c r="H1" s="3" t="s">
        <v>2282</v>
      </c>
      <c r="I1" s="3" t="s">
        <v>2283</v>
      </c>
      <c r="J1" s="3" t="s">
        <v>2193</v>
      </c>
      <c r="K1" s="3" t="s">
        <v>2284</v>
      </c>
    </row>
    <row r="2" spans="1:11" ht="72" customHeight="1" x14ac:dyDescent="0.35">
      <c r="A2" s="4" t="s">
        <v>2285</v>
      </c>
      <c r="B2" s="4" t="s">
        <v>2286</v>
      </c>
      <c r="C2" s="4" t="s">
        <v>2287</v>
      </c>
      <c r="D2" s="4" t="s">
        <v>2288</v>
      </c>
      <c r="E2" s="4" t="s">
        <v>2205</v>
      </c>
      <c r="F2" s="4"/>
      <c r="G2" s="4" t="s">
        <v>2289</v>
      </c>
      <c r="H2" s="4" t="s">
        <v>2290</v>
      </c>
      <c r="I2" s="4" t="s">
        <v>2291</v>
      </c>
      <c r="J2" s="4" t="s">
        <v>2292</v>
      </c>
      <c r="K2" s="4" t="s">
        <v>2293</v>
      </c>
    </row>
    <row r="3" spans="1:11" ht="72" customHeight="1" x14ac:dyDescent="0.35">
      <c r="A3" s="4" t="s">
        <v>2294</v>
      </c>
      <c r="B3" s="4" t="s">
        <v>2295</v>
      </c>
      <c r="C3" s="4" t="s">
        <v>2296</v>
      </c>
      <c r="D3" s="4" t="s">
        <v>2297</v>
      </c>
      <c r="E3" s="4" t="s">
        <v>2205</v>
      </c>
      <c r="F3" s="4"/>
      <c r="G3" s="4" t="s">
        <v>2289</v>
      </c>
      <c r="H3" s="4" t="s">
        <v>2298</v>
      </c>
      <c r="I3" s="4" t="s">
        <v>2291</v>
      </c>
      <c r="J3" s="4" t="s">
        <v>2292</v>
      </c>
      <c r="K3" s="4" t="s">
        <v>2299</v>
      </c>
    </row>
    <row r="4" spans="1:11" ht="72" customHeight="1" x14ac:dyDescent="0.35">
      <c r="A4" s="4" t="s">
        <v>2300</v>
      </c>
      <c r="B4" s="4" t="s">
        <v>2301</v>
      </c>
      <c r="C4" s="4" t="s">
        <v>2302</v>
      </c>
      <c r="D4" s="4" t="s">
        <v>2303</v>
      </c>
      <c r="E4" s="4" t="s">
        <v>2205</v>
      </c>
      <c r="F4" s="4"/>
      <c r="G4" s="4" t="s">
        <v>2289</v>
      </c>
      <c r="H4" s="4" t="s">
        <v>2298</v>
      </c>
      <c r="I4" s="4" t="s">
        <v>2291</v>
      </c>
      <c r="J4" s="4" t="s">
        <v>2304</v>
      </c>
      <c r="K4" s="4" t="s">
        <v>2305</v>
      </c>
    </row>
    <row r="5" spans="1:11" ht="72" customHeight="1" x14ac:dyDescent="0.35">
      <c r="A5" s="4" t="s">
        <v>2306</v>
      </c>
      <c r="B5" s="4" t="s">
        <v>2307</v>
      </c>
      <c r="C5" s="4" t="s">
        <v>2308</v>
      </c>
      <c r="D5" s="4" t="s">
        <v>2309</v>
      </c>
      <c r="E5" s="4" t="s">
        <v>2205</v>
      </c>
      <c r="F5" s="4"/>
      <c r="G5" s="4" t="s">
        <v>2289</v>
      </c>
      <c r="H5" s="4" t="s">
        <v>2298</v>
      </c>
      <c r="I5" s="4" t="s">
        <v>2291</v>
      </c>
      <c r="J5" s="4" t="s">
        <v>2304</v>
      </c>
      <c r="K5" s="4" t="s">
        <v>2310</v>
      </c>
    </row>
    <row r="6" spans="1:11" ht="72" customHeight="1" x14ac:dyDescent="0.35">
      <c r="A6" s="4" t="s">
        <v>2311</v>
      </c>
      <c r="B6" s="4" t="s">
        <v>2312</v>
      </c>
      <c r="C6" s="4" t="s">
        <v>2313</v>
      </c>
      <c r="D6" s="4" t="s">
        <v>2314</v>
      </c>
      <c r="E6" s="4" t="s">
        <v>2205</v>
      </c>
      <c r="F6" s="4"/>
      <c r="G6" s="4" t="s">
        <v>2315</v>
      </c>
      <c r="H6" s="4" t="s">
        <v>2298</v>
      </c>
      <c r="I6" s="4" t="s">
        <v>2291</v>
      </c>
      <c r="J6" s="4" t="s">
        <v>2316</v>
      </c>
      <c r="K6" s="4" t="s">
        <v>2317</v>
      </c>
    </row>
    <row r="7" spans="1:11" ht="72" customHeight="1" x14ac:dyDescent="0.35">
      <c r="A7" s="4" t="s">
        <v>2318</v>
      </c>
      <c r="B7" s="4" t="s">
        <v>2319</v>
      </c>
      <c r="C7" s="4" t="s">
        <v>2320</v>
      </c>
      <c r="D7" s="4" t="s">
        <v>2321</v>
      </c>
      <c r="E7" s="4" t="s">
        <v>2205</v>
      </c>
      <c r="F7" s="4"/>
      <c r="G7" s="4" t="s">
        <v>2322</v>
      </c>
      <c r="H7" s="4" t="s">
        <v>2298</v>
      </c>
      <c r="I7" s="4" t="s">
        <v>2291</v>
      </c>
      <c r="J7" s="4" t="s">
        <v>2323</v>
      </c>
      <c r="K7" s="4" t="s">
        <v>2324</v>
      </c>
    </row>
    <row r="8" spans="1:11" ht="72" customHeight="1" x14ac:dyDescent="0.35">
      <c r="A8" s="4" t="s">
        <v>2325</v>
      </c>
      <c r="B8" s="4" t="s">
        <v>2326</v>
      </c>
      <c r="C8" s="4" t="s">
        <v>2327</v>
      </c>
      <c r="D8" s="4" t="s">
        <v>2328</v>
      </c>
      <c r="E8" s="4" t="s">
        <v>2205</v>
      </c>
      <c r="F8" s="4"/>
      <c r="G8" s="4" t="s">
        <v>2315</v>
      </c>
      <c r="H8" s="4" t="s">
        <v>2298</v>
      </c>
      <c r="I8" s="4" t="s">
        <v>2291</v>
      </c>
      <c r="J8" s="4" t="s">
        <v>2329</v>
      </c>
      <c r="K8" s="4" t="s">
        <v>2330</v>
      </c>
    </row>
    <row r="9" spans="1:11" ht="72" customHeight="1" x14ac:dyDescent="0.35">
      <c r="A9" s="4" t="s">
        <v>2331</v>
      </c>
      <c r="B9" s="4" t="s">
        <v>2332</v>
      </c>
      <c r="C9" s="4" t="s">
        <v>2333</v>
      </c>
      <c r="D9" s="4" t="s">
        <v>2334</v>
      </c>
      <c r="E9" s="4" t="s">
        <v>2205</v>
      </c>
      <c r="F9" s="4"/>
      <c r="G9" s="4" t="s">
        <v>2315</v>
      </c>
      <c r="H9" s="4" t="s">
        <v>2298</v>
      </c>
      <c r="I9" s="4" t="s">
        <v>2291</v>
      </c>
      <c r="J9" s="4" t="s">
        <v>2335</v>
      </c>
      <c r="K9" s="4" t="s">
        <v>2336</v>
      </c>
    </row>
  </sheetData>
  <autoFilter ref="A1:K9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8" customWidth="1"/>
    <col min="2" max="3" width="42" customWidth="1"/>
    <col min="4" max="4" width="55" customWidth="1"/>
    <col min="5" max="5" width="10" customWidth="1"/>
    <col min="6" max="6" width="28" customWidth="1"/>
    <col min="7" max="8" width="14" customWidth="1"/>
    <col min="9" max="9" width="12" customWidth="1"/>
    <col min="10" max="10" width="18" customWidth="1"/>
    <col min="11" max="11" width="55" customWidth="1"/>
    <col min="12" max="12" width="45" customWidth="1"/>
  </cols>
  <sheetData>
    <row r="1" spans="1:12" ht="29" customHeight="1" x14ac:dyDescent="0.35">
      <c r="A1" s="3" t="s">
        <v>68</v>
      </c>
      <c r="B1" s="3" t="s">
        <v>2276</v>
      </c>
      <c r="C1" s="3" t="s">
        <v>2277</v>
      </c>
      <c r="D1" s="3" t="s">
        <v>2278</v>
      </c>
      <c r="E1" s="3" t="s">
        <v>2279</v>
      </c>
      <c r="F1" s="3" t="s">
        <v>2280</v>
      </c>
      <c r="G1" s="3" t="s">
        <v>2281</v>
      </c>
      <c r="H1" s="3" t="s">
        <v>2282</v>
      </c>
      <c r="I1" s="3" t="s">
        <v>2283</v>
      </c>
      <c r="J1" s="3" t="s">
        <v>2193</v>
      </c>
      <c r="K1" s="3" t="s">
        <v>2284</v>
      </c>
      <c r="L1" s="3" t="s">
        <v>2337</v>
      </c>
    </row>
    <row r="2" spans="1:12" ht="72" customHeight="1" x14ac:dyDescent="0.35">
      <c r="A2" s="4" t="s">
        <v>2338</v>
      </c>
      <c r="B2" s="4" t="s">
        <v>2339</v>
      </c>
      <c r="C2" s="4" t="s">
        <v>2340</v>
      </c>
      <c r="D2" s="4" t="s">
        <v>2341</v>
      </c>
      <c r="E2" s="4" t="s">
        <v>2205</v>
      </c>
      <c r="F2" s="4"/>
      <c r="G2" s="4" t="s">
        <v>2322</v>
      </c>
      <c r="H2" s="4" t="s">
        <v>2298</v>
      </c>
      <c r="I2" s="4" t="s">
        <v>2342</v>
      </c>
      <c r="J2" s="4" t="s">
        <v>2304</v>
      </c>
      <c r="K2" s="4" t="s">
        <v>2343</v>
      </c>
      <c r="L2" s="4" t="s">
        <v>2344</v>
      </c>
    </row>
    <row r="3" spans="1:12" ht="72" customHeight="1" x14ac:dyDescent="0.35">
      <c r="A3" s="4" t="s">
        <v>2345</v>
      </c>
      <c r="B3" s="4" t="s">
        <v>2346</v>
      </c>
      <c r="C3" s="4" t="s">
        <v>2347</v>
      </c>
      <c r="D3" s="4" t="s">
        <v>2348</v>
      </c>
      <c r="E3" s="4" t="s">
        <v>2205</v>
      </c>
      <c r="F3" s="4"/>
      <c r="G3" s="4" t="s">
        <v>2322</v>
      </c>
      <c r="H3" s="4" t="s">
        <v>2298</v>
      </c>
      <c r="I3" s="4" t="s">
        <v>2342</v>
      </c>
      <c r="J3" s="4" t="s">
        <v>2323</v>
      </c>
      <c r="K3" s="4" t="s">
        <v>2349</v>
      </c>
      <c r="L3" s="4" t="s">
        <v>2350</v>
      </c>
    </row>
    <row r="4" spans="1:12" ht="72" customHeight="1" x14ac:dyDescent="0.35">
      <c r="A4" s="4" t="s">
        <v>2351</v>
      </c>
      <c r="B4" s="4" t="s">
        <v>2352</v>
      </c>
      <c r="C4" s="4" t="s">
        <v>2353</v>
      </c>
      <c r="D4" s="4" t="s">
        <v>2354</v>
      </c>
      <c r="E4" s="4" t="s">
        <v>2205</v>
      </c>
      <c r="F4" s="4"/>
      <c r="G4" s="4" t="s">
        <v>2322</v>
      </c>
      <c r="H4" s="4" t="s">
        <v>2298</v>
      </c>
      <c r="I4" s="4" t="s">
        <v>2342</v>
      </c>
      <c r="J4" s="4" t="s">
        <v>2323</v>
      </c>
      <c r="K4" s="4" t="s">
        <v>2355</v>
      </c>
      <c r="L4" s="4" t="s">
        <v>2356</v>
      </c>
    </row>
    <row r="5" spans="1:12" ht="72" customHeight="1" x14ac:dyDescent="0.35">
      <c r="A5" s="4" t="s">
        <v>2357</v>
      </c>
      <c r="B5" s="4" t="s">
        <v>2358</v>
      </c>
      <c r="C5" s="4" t="s">
        <v>2359</v>
      </c>
      <c r="D5" s="4" t="s">
        <v>2360</v>
      </c>
      <c r="E5" s="4" t="s">
        <v>2205</v>
      </c>
      <c r="F5" s="4"/>
      <c r="G5" s="4" t="s">
        <v>2322</v>
      </c>
      <c r="H5" s="4" t="s">
        <v>2298</v>
      </c>
      <c r="I5" s="4" t="s">
        <v>2342</v>
      </c>
      <c r="J5" s="4" t="s">
        <v>2292</v>
      </c>
      <c r="K5" s="4" t="s">
        <v>2361</v>
      </c>
      <c r="L5" s="4" t="s">
        <v>2362</v>
      </c>
    </row>
    <row r="6" spans="1:12" ht="72" customHeight="1" x14ac:dyDescent="0.35">
      <c r="A6" s="4" t="s">
        <v>2363</v>
      </c>
      <c r="B6" s="4" t="s">
        <v>2364</v>
      </c>
      <c r="C6" s="4" t="s">
        <v>2365</v>
      </c>
      <c r="D6" s="4" t="s">
        <v>2366</v>
      </c>
      <c r="E6" s="4" t="s">
        <v>2205</v>
      </c>
      <c r="F6" s="4"/>
      <c r="G6" s="4" t="s">
        <v>2315</v>
      </c>
      <c r="H6" s="4" t="s">
        <v>2298</v>
      </c>
      <c r="I6" s="4" t="s">
        <v>2342</v>
      </c>
      <c r="J6" s="4" t="s">
        <v>2335</v>
      </c>
      <c r="K6" s="4" t="s">
        <v>2367</v>
      </c>
      <c r="L6" s="4" t="s">
        <v>2368</v>
      </c>
    </row>
    <row r="7" spans="1:12" ht="72" customHeight="1" x14ac:dyDescent="0.35">
      <c r="A7" s="4" t="s">
        <v>2369</v>
      </c>
      <c r="B7" s="4" t="s">
        <v>2370</v>
      </c>
      <c r="C7" s="4" t="s">
        <v>2371</v>
      </c>
      <c r="D7" s="4" t="s">
        <v>2372</v>
      </c>
      <c r="E7" s="4" t="s">
        <v>2205</v>
      </c>
      <c r="F7" s="4"/>
      <c r="G7" s="4" t="s">
        <v>2315</v>
      </c>
      <c r="H7" s="4" t="s">
        <v>2298</v>
      </c>
      <c r="I7" s="4" t="s">
        <v>2342</v>
      </c>
      <c r="J7" s="4" t="s">
        <v>2373</v>
      </c>
      <c r="K7" s="4" t="s">
        <v>2374</v>
      </c>
      <c r="L7" s="4" t="s">
        <v>2375</v>
      </c>
    </row>
    <row r="8" spans="1:12" ht="72" customHeight="1" x14ac:dyDescent="0.35">
      <c r="A8" s="4" t="s">
        <v>2376</v>
      </c>
      <c r="B8" s="4" t="s">
        <v>2377</v>
      </c>
      <c r="C8" s="4" t="s">
        <v>2378</v>
      </c>
      <c r="D8" s="4" t="s">
        <v>2379</v>
      </c>
      <c r="E8" s="4" t="s">
        <v>2205</v>
      </c>
      <c r="F8" s="4"/>
      <c r="G8" s="4" t="s">
        <v>2315</v>
      </c>
      <c r="H8" s="4" t="s">
        <v>2298</v>
      </c>
      <c r="I8" s="4" t="s">
        <v>2342</v>
      </c>
      <c r="J8" s="4" t="s">
        <v>2373</v>
      </c>
      <c r="K8" s="4" t="s">
        <v>2380</v>
      </c>
      <c r="L8" s="4" t="s">
        <v>2381</v>
      </c>
    </row>
  </sheetData>
  <autoFilter ref="A1:L8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55" customWidth="1"/>
    <col min="2" max="2" width="36" customWidth="1"/>
    <col min="3" max="3" width="70" customWidth="1"/>
    <col min="4" max="4" width="36" customWidth="1"/>
  </cols>
  <sheetData>
    <row r="1" spans="1:4" x14ac:dyDescent="0.35">
      <c r="A1" s="3" t="s">
        <v>2382</v>
      </c>
      <c r="B1" s="3" t="s">
        <v>2383</v>
      </c>
      <c r="C1" s="3" t="s">
        <v>2384</v>
      </c>
      <c r="D1" s="3" t="s">
        <v>2385</v>
      </c>
    </row>
    <row r="2" spans="1:4" ht="36" customHeight="1" x14ac:dyDescent="0.35">
      <c r="A2" s="4" t="s">
        <v>2386</v>
      </c>
      <c r="B2" s="4" t="s">
        <v>2387</v>
      </c>
      <c r="C2" s="4" t="s">
        <v>2388</v>
      </c>
      <c r="D2" s="4" t="s">
        <v>2389</v>
      </c>
    </row>
    <row r="3" spans="1:4" ht="36" customHeight="1" x14ac:dyDescent="0.35">
      <c r="A3" s="4" t="s">
        <v>2390</v>
      </c>
      <c r="B3" s="4" t="s">
        <v>2391</v>
      </c>
      <c r="C3" s="4" t="s">
        <v>2388</v>
      </c>
      <c r="D3" s="4" t="s">
        <v>2389</v>
      </c>
    </row>
    <row r="4" spans="1:4" ht="36" customHeight="1" x14ac:dyDescent="0.35">
      <c r="A4" s="4" t="s">
        <v>2392</v>
      </c>
      <c r="B4" s="4" t="s">
        <v>2393</v>
      </c>
      <c r="C4" s="4" t="s">
        <v>2388</v>
      </c>
      <c r="D4" s="4" t="s">
        <v>2389</v>
      </c>
    </row>
    <row r="5" spans="1:4" ht="36" customHeight="1" x14ac:dyDescent="0.35">
      <c r="A5" s="4" t="s">
        <v>2394</v>
      </c>
      <c r="B5" s="4" t="s">
        <v>2395</v>
      </c>
      <c r="C5" s="4" t="s">
        <v>2388</v>
      </c>
      <c r="D5" s="4" t="s">
        <v>2389</v>
      </c>
    </row>
    <row r="6" spans="1:4" ht="36" customHeight="1" x14ac:dyDescent="0.35">
      <c r="A6" s="4" t="s">
        <v>2396</v>
      </c>
      <c r="B6" s="4" t="s">
        <v>2397</v>
      </c>
      <c r="C6" s="4" t="s">
        <v>2398</v>
      </c>
      <c r="D6" s="4" t="s">
        <v>2399</v>
      </c>
    </row>
    <row r="7" spans="1:4" ht="36" customHeight="1" x14ac:dyDescent="0.35">
      <c r="A7" s="4" t="s">
        <v>2400</v>
      </c>
      <c r="B7" s="4" t="s">
        <v>2401</v>
      </c>
      <c r="C7" s="4" t="s">
        <v>2398</v>
      </c>
      <c r="D7" s="4" t="s">
        <v>2399</v>
      </c>
    </row>
    <row r="8" spans="1:4" ht="36" customHeight="1" x14ac:dyDescent="0.35">
      <c r="A8" s="4" t="s">
        <v>2402</v>
      </c>
      <c r="B8" s="4" t="s">
        <v>2403</v>
      </c>
      <c r="C8" s="4" t="s">
        <v>2398</v>
      </c>
      <c r="D8" s="4" t="s">
        <v>2399</v>
      </c>
    </row>
    <row r="9" spans="1:4" ht="36" customHeight="1" x14ac:dyDescent="0.35">
      <c r="A9" s="4" t="s">
        <v>2404</v>
      </c>
      <c r="B9" s="4" t="s">
        <v>2405</v>
      </c>
      <c r="C9" s="4" t="s">
        <v>2398</v>
      </c>
      <c r="D9" s="4" t="s">
        <v>2399</v>
      </c>
    </row>
    <row r="10" spans="1:4" ht="36" customHeight="1" x14ac:dyDescent="0.35">
      <c r="A10" s="4" t="s">
        <v>2406</v>
      </c>
      <c r="B10" s="4" t="s">
        <v>2407</v>
      </c>
      <c r="C10" s="4" t="s">
        <v>2398</v>
      </c>
      <c r="D10" s="4" t="s">
        <v>2399</v>
      </c>
    </row>
    <row r="11" spans="1:4" ht="36" customHeight="1" x14ac:dyDescent="0.35">
      <c r="A11" s="4" t="s">
        <v>2408</v>
      </c>
      <c r="B11" s="4" t="s">
        <v>2409</v>
      </c>
      <c r="C11" s="4" t="s">
        <v>2398</v>
      </c>
      <c r="D11" s="4" t="s">
        <v>2399</v>
      </c>
    </row>
    <row r="12" spans="1:4" ht="36" customHeight="1" x14ac:dyDescent="0.35">
      <c r="A12" s="4"/>
      <c r="B12" s="4"/>
      <c r="C12" s="4"/>
      <c r="D12" s="4"/>
    </row>
    <row r="13" spans="1:4" ht="36" customHeight="1" x14ac:dyDescent="0.35">
      <c r="A13" s="4" t="s">
        <v>2410</v>
      </c>
      <c r="B13" s="4" t="s">
        <v>2411</v>
      </c>
      <c r="C13" s="4" t="s">
        <v>2412</v>
      </c>
      <c r="D13" s="4" t="s">
        <v>2399</v>
      </c>
    </row>
  </sheetData>
  <autoFilter ref="A1:D13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110" customWidth="1"/>
  </cols>
  <sheetData>
    <row r="1" spans="1:2" x14ac:dyDescent="0.35">
      <c r="A1" s="3" t="s">
        <v>168</v>
      </c>
      <c r="B1" s="3" t="s">
        <v>169</v>
      </c>
    </row>
    <row r="2" spans="1:2" ht="48" customHeight="1" x14ac:dyDescent="0.35">
      <c r="A2" s="4" t="s">
        <v>170</v>
      </c>
      <c r="B2" s="4" t="s">
        <v>2413</v>
      </c>
    </row>
    <row r="3" spans="1:2" ht="48" customHeight="1" x14ac:dyDescent="0.35">
      <c r="A3" s="4" t="s">
        <v>2414</v>
      </c>
      <c r="B3" s="4" t="s">
        <v>2415</v>
      </c>
    </row>
    <row r="4" spans="1:2" ht="48" customHeight="1" x14ac:dyDescent="0.35">
      <c r="A4" s="4" t="s">
        <v>2416</v>
      </c>
      <c r="B4" s="4" t="s">
        <v>2417</v>
      </c>
    </row>
    <row r="5" spans="1:2" ht="48" customHeight="1" x14ac:dyDescent="0.35">
      <c r="A5" s="4" t="s">
        <v>2418</v>
      </c>
      <c r="B5" s="4" t="s">
        <v>2419</v>
      </c>
    </row>
    <row r="6" spans="1:2" ht="48" customHeight="1" x14ac:dyDescent="0.35">
      <c r="A6" s="4" t="s">
        <v>2420</v>
      </c>
      <c r="B6" s="4" t="s">
        <v>2421</v>
      </c>
    </row>
    <row r="7" spans="1:2" ht="48" customHeight="1" x14ac:dyDescent="0.35">
      <c r="A7" s="4" t="s">
        <v>2261</v>
      </c>
      <c r="B7" s="4" t="s">
        <v>2422</v>
      </c>
    </row>
    <row r="8" spans="1:2" ht="48" customHeight="1" x14ac:dyDescent="0.35">
      <c r="A8" s="4" t="s">
        <v>2259</v>
      </c>
      <c r="B8" s="4" t="s">
        <v>2260</v>
      </c>
    </row>
    <row r="9" spans="1:2" ht="48" customHeight="1" x14ac:dyDescent="0.35">
      <c r="A9" s="4" t="s">
        <v>2423</v>
      </c>
      <c r="B9" s="4" t="s">
        <v>2424</v>
      </c>
    </row>
    <row r="10" spans="1:2" ht="48" customHeight="1" x14ac:dyDescent="0.35">
      <c r="A10" s="4" t="s">
        <v>2425</v>
      </c>
      <c r="B10" s="4" t="s">
        <v>2426</v>
      </c>
    </row>
    <row r="11" spans="1:2" ht="48" customHeight="1" x14ac:dyDescent="0.35">
      <c r="A11" s="4" t="s">
        <v>213</v>
      </c>
      <c r="B11" s="4" t="s">
        <v>2427</v>
      </c>
    </row>
    <row r="12" spans="1:2" ht="48" customHeight="1" x14ac:dyDescent="0.35">
      <c r="A12" s="4" t="s">
        <v>2428</v>
      </c>
      <c r="B12" s="4" t="s">
        <v>2429</v>
      </c>
    </row>
    <row r="13" spans="1:2" ht="48" customHeight="1" x14ac:dyDescent="0.35">
      <c r="A13" s="4" t="s">
        <v>2430</v>
      </c>
      <c r="B13" s="4" t="s">
        <v>2431</v>
      </c>
    </row>
    <row r="14" spans="1:2" ht="48" customHeight="1" x14ac:dyDescent="0.35">
      <c r="A14" s="4" t="s">
        <v>2432</v>
      </c>
      <c r="B14" s="4" t="s">
        <v>2433</v>
      </c>
    </row>
    <row r="15" spans="1:2" ht="48" customHeight="1" x14ac:dyDescent="0.35">
      <c r="A15" s="4" t="s">
        <v>2434</v>
      </c>
      <c r="B15" s="4" t="s">
        <v>2435</v>
      </c>
    </row>
  </sheetData>
  <autoFilter ref="A1:B15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42" customWidth="1"/>
    <col min="3" max="3" width="26" customWidth="1"/>
    <col min="4" max="4" width="55" customWidth="1"/>
    <col min="5" max="5" width="32" customWidth="1"/>
    <col min="6" max="6" width="62" customWidth="1"/>
    <col min="7" max="7" width="55" customWidth="1"/>
  </cols>
  <sheetData>
    <row r="1" spans="1:7" x14ac:dyDescent="0.35">
      <c r="A1" s="3" t="s">
        <v>2436</v>
      </c>
      <c r="B1" s="3" t="s">
        <v>2276</v>
      </c>
      <c r="C1" s="3" t="s">
        <v>2437</v>
      </c>
      <c r="D1" s="3" t="s">
        <v>2438</v>
      </c>
      <c r="E1" s="3" t="s">
        <v>2439</v>
      </c>
      <c r="F1" s="3" t="s">
        <v>2440</v>
      </c>
      <c r="G1" s="3" t="s">
        <v>2441</v>
      </c>
    </row>
    <row r="2" spans="1:7" ht="72" customHeight="1" x14ac:dyDescent="0.35">
      <c r="A2" s="10" t="s">
        <v>2300</v>
      </c>
      <c r="B2" s="10" t="s">
        <v>2301</v>
      </c>
      <c r="C2" s="10" t="s">
        <v>2442</v>
      </c>
      <c r="D2" s="10" t="s">
        <v>2443</v>
      </c>
      <c r="E2" s="10" t="s">
        <v>2444</v>
      </c>
      <c r="F2" s="10" t="s">
        <v>2445</v>
      </c>
      <c r="G2" s="10" t="s">
        <v>2446</v>
      </c>
    </row>
    <row r="3" spans="1:7" ht="72" customHeight="1" x14ac:dyDescent="0.35">
      <c r="A3" s="10" t="s">
        <v>2306</v>
      </c>
      <c r="B3" s="10" t="s">
        <v>2307</v>
      </c>
      <c r="C3" s="10" t="s">
        <v>2447</v>
      </c>
      <c r="D3" s="10" t="s">
        <v>2448</v>
      </c>
      <c r="E3" s="10" t="s">
        <v>2449</v>
      </c>
      <c r="F3" s="10" t="s">
        <v>2450</v>
      </c>
      <c r="G3" s="10" t="s">
        <v>2451</v>
      </c>
    </row>
    <row r="4" spans="1:7" ht="72" customHeight="1" x14ac:dyDescent="0.35">
      <c r="A4" s="10" t="s">
        <v>2311</v>
      </c>
      <c r="B4" s="10" t="s">
        <v>2312</v>
      </c>
      <c r="C4" s="10" t="s">
        <v>2452</v>
      </c>
      <c r="D4" s="10" t="s">
        <v>2453</v>
      </c>
      <c r="E4" s="10" t="s">
        <v>2454</v>
      </c>
      <c r="F4" s="10" t="s">
        <v>2455</v>
      </c>
      <c r="G4" s="10" t="s">
        <v>2456</v>
      </c>
    </row>
    <row r="5" spans="1:7" ht="72" customHeight="1" x14ac:dyDescent="0.35">
      <c r="A5" s="10" t="s">
        <v>2325</v>
      </c>
      <c r="B5" s="10" t="s">
        <v>2326</v>
      </c>
      <c r="C5" s="10" t="s">
        <v>2457</v>
      </c>
      <c r="D5" s="10" t="s">
        <v>2458</v>
      </c>
      <c r="E5" s="10" t="s">
        <v>2459</v>
      </c>
      <c r="F5" s="10" t="s">
        <v>2460</v>
      </c>
      <c r="G5" s="10" t="s">
        <v>2461</v>
      </c>
    </row>
    <row r="6" spans="1:7" ht="72" customHeight="1" x14ac:dyDescent="0.35">
      <c r="A6" s="10" t="s">
        <v>2331</v>
      </c>
      <c r="B6" s="10" t="s">
        <v>2332</v>
      </c>
      <c r="C6" s="10" t="s">
        <v>2462</v>
      </c>
      <c r="D6" s="10" t="s">
        <v>2463</v>
      </c>
      <c r="E6" s="10" t="s">
        <v>2464</v>
      </c>
      <c r="F6" s="10" t="s">
        <v>2465</v>
      </c>
      <c r="G6" s="10" t="s">
        <v>2466</v>
      </c>
    </row>
  </sheetData>
  <autoFilter ref="A1:G6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3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0" customWidth="1"/>
    <col min="3" max="3" width="42" customWidth="1"/>
    <col min="4" max="4" width="22" customWidth="1"/>
    <col min="5" max="5" width="12" customWidth="1"/>
    <col min="6" max="6" width="28" customWidth="1"/>
    <col min="7" max="7" width="62" customWidth="1"/>
    <col min="8" max="8" width="55" customWidth="1"/>
  </cols>
  <sheetData>
    <row r="1" spans="1:8" x14ac:dyDescent="0.35">
      <c r="A1" s="3" t="s">
        <v>2467</v>
      </c>
      <c r="B1" s="3" t="s">
        <v>68</v>
      </c>
      <c r="C1" s="3" t="s">
        <v>2468</v>
      </c>
      <c r="D1" s="3" t="s">
        <v>2383</v>
      </c>
      <c r="E1" s="3" t="s">
        <v>174</v>
      </c>
      <c r="F1" s="3" t="s">
        <v>176</v>
      </c>
      <c r="G1" s="3" t="s">
        <v>227</v>
      </c>
      <c r="H1" s="3" t="s">
        <v>233</v>
      </c>
    </row>
    <row r="2" spans="1:8" ht="36" customHeight="1" x14ac:dyDescent="0.35">
      <c r="A2" s="4" t="s">
        <v>2469</v>
      </c>
      <c r="B2" s="4" t="s">
        <v>2300</v>
      </c>
      <c r="C2" s="4" t="s">
        <v>2301</v>
      </c>
      <c r="D2" s="4"/>
      <c r="E2" s="4"/>
      <c r="F2" s="4" t="s">
        <v>2470</v>
      </c>
      <c r="G2" s="4" t="s">
        <v>2471</v>
      </c>
      <c r="H2" s="4" t="s">
        <v>2472</v>
      </c>
    </row>
    <row r="3" spans="1:8" ht="36" customHeight="1" x14ac:dyDescent="0.35">
      <c r="A3" s="4" t="s">
        <v>2437</v>
      </c>
      <c r="B3" s="4" t="s">
        <v>2473</v>
      </c>
      <c r="C3" s="4" t="s">
        <v>2474</v>
      </c>
      <c r="D3" s="4" t="s">
        <v>2475</v>
      </c>
      <c r="E3" s="4" t="s">
        <v>2415</v>
      </c>
      <c r="F3" s="4" t="s">
        <v>2476</v>
      </c>
      <c r="G3" s="4" t="s">
        <v>2477</v>
      </c>
      <c r="H3" s="4" t="s">
        <v>2478</v>
      </c>
    </row>
    <row r="4" spans="1:8" ht="36" customHeight="1" x14ac:dyDescent="0.35">
      <c r="A4" s="4" t="s">
        <v>179</v>
      </c>
      <c r="B4" s="4" t="s">
        <v>2479</v>
      </c>
      <c r="C4" s="4" t="s">
        <v>2480</v>
      </c>
      <c r="D4" s="4" t="s">
        <v>2481</v>
      </c>
      <c r="E4" s="4"/>
      <c r="F4" s="4" t="s">
        <v>2470</v>
      </c>
      <c r="G4" s="4" t="s">
        <v>2456</v>
      </c>
      <c r="H4" s="4" t="s">
        <v>2482</v>
      </c>
    </row>
    <row r="5" spans="1:8" ht="36" customHeight="1" x14ac:dyDescent="0.35">
      <c r="A5" s="4" t="s">
        <v>179</v>
      </c>
      <c r="B5" s="4" t="s">
        <v>2483</v>
      </c>
      <c r="C5" s="4" t="s">
        <v>2484</v>
      </c>
      <c r="D5" s="4" t="s">
        <v>2485</v>
      </c>
      <c r="E5" s="4"/>
      <c r="F5" s="4" t="s">
        <v>2470</v>
      </c>
      <c r="G5" s="4" t="s">
        <v>2486</v>
      </c>
      <c r="H5" s="4" t="s">
        <v>2487</v>
      </c>
    </row>
    <row r="6" spans="1:8" ht="36" customHeight="1" x14ac:dyDescent="0.35">
      <c r="A6" s="4" t="s">
        <v>179</v>
      </c>
      <c r="B6" s="4" t="s">
        <v>2488</v>
      </c>
      <c r="C6" s="4" t="s">
        <v>2489</v>
      </c>
      <c r="D6" s="4" t="s">
        <v>2490</v>
      </c>
      <c r="E6" s="4"/>
      <c r="F6" s="4" t="s">
        <v>2470</v>
      </c>
      <c r="G6" s="4" t="s">
        <v>2477</v>
      </c>
      <c r="H6" s="4" t="s">
        <v>2491</v>
      </c>
    </row>
    <row r="7" spans="1:8" ht="36" customHeight="1" x14ac:dyDescent="0.35">
      <c r="A7" s="4" t="s">
        <v>179</v>
      </c>
      <c r="B7" s="4" t="s">
        <v>2492</v>
      </c>
      <c r="C7" s="4" t="s">
        <v>2493</v>
      </c>
      <c r="D7" s="4" t="s">
        <v>2494</v>
      </c>
      <c r="E7" s="4" t="s">
        <v>2495</v>
      </c>
      <c r="F7" s="4" t="s">
        <v>2496</v>
      </c>
      <c r="G7" s="4" t="s">
        <v>2456</v>
      </c>
      <c r="H7" s="4" t="s">
        <v>2497</v>
      </c>
    </row>
    <row r="8" spans="1:8" ht="36" customHeight="1" x14ac:dyDescent="0.35">
      <c r="A8" s="4" t="s">
        <v>179</v>
      </c>
      <c r="B8" s="4" t="s">
        <v>2498</v>
      </c>
      <c r="C8" s="4" t="s">
        <v>2499</v>
      </c>
      <c r="D8" s="4" t="s">
        <v>2500</v>
      </c>
      <c r="E8" s="4" t="s">
        <v>2495</v>
      </c>
      <c r="F8" s="4" t="s">
        <v>2496</v>
      </c>
      <c r="G8" s="4" t="s">
        <v>2456</v>
      </c>
      <c r="H8" s="4" t="s">
        <v>2501</v>
      </c>
    </row>
    <row r="9" spans="1:8" ht="36" customHeight="1" x14ac:dyDescent="0.35">
      <c r="A9" s="4" t="s">
        <v>2502</v>
      </c>
      <c r="B9" s="4" t="s">
        <v>2503</v>
      </c>
      <c r="C9" s="4" t="s">
        <v>2504</v>
      </c>
      <c r="D9" s="4" t="s">
        <v>2505</v>
      </c>
      <c r="E9" s="4" t="s">
        <v>2151</v>
      </c>
      <c r="F9" s="4" t="s">
        <v>23</v>
      </c>
      <c r="G9" s="4" t="s">
        <v>2506</v>
      </c>
      <c r="H9" s="4" t="s">
        <v>2507</v>
      </c>
    </row>
    <row r="10" spans="1:8" ht="36" customHeight="1" x14ac:dyDescent="0.35">
      <c r="A10" s="4" t="s">
        <v>2502</v>
      </c>
      <c r="B10" s="4" t="s">
        <v>2508</v>
      </c>
      <c r="C10" s="4" t="s">
        <v>2509</v>
      </c>
      <c r="D10" s="4" t="s">
        <v>2510</v>
      </c>
      <c r="E10" s="4" t="s">
        <v>2511</v>
      </c>
      <c r="F10" s="4" t="s">
        <v>23</v>
      </c>
      <c r="G10" s="4" t="s">
        <v>2446</v>
      </c>
      <c r="H10" s="4" t="s">
        <v>2512</v>
      </c>
    </row>
    <row r="11" spans="1:8" ht="36" customHeight="1" x14ac:dyDescent="0.35">
      <c r="A11" s="4" t="s">
        <v>2502</v>
      </c>
      <c r="B11" s="4" t="s">
        <v>2513</v>
      </c>
      <c r="C11" s="4" t="s">
        <v>2514</v>
      </c>
      <c r="D11" s="4" t="s">
        <v>2515</v>
      </c>
      <c r="E11" s="4" t="s">
        <v>2516</v>
      </c>
      <c r="F11" s="4" t="s">
        <v>23</v>
      </c>
      <c r="G11" s="4" t="s">
        <v>2517</v>
      </c>
      <c r="H11" s="4" t="s">
        <v>2518</v>
      </c>
    </row>
    <row r="12" spans="1:8" ht="36" customHeight="1" x14ac:dyDescent="0.35">
      <c r="A12" s="4" t="s">
        <v>2502</v>
      </c>
      <c r="B12" s="4" t="s">
        <v>2519</v>
      </c>
      <c r="C12" s="4" t="s">
        <v>2520</v>
      </c>
      <c r="D12" s="4" t="s">
        <v>2521</v>
      </c>
      <c r="E12" s="4" t="s">
        <v>2511</v>
      </c>
      <c r="F12" s="4" t="s">
        <v>23</v>
      </c>
      <c r="G12" s="4" t="s">
        <v>2446</v>
      </c>
      <c r="H12" s="4" t="s">
        <v>2522</v>
      </c>
    </row>
    <row r="13" spans="1:8" ht="36" customHeight="1" x14ac:dyDescent="0.35">
      <c r="A13" s="4" t="s">
        <v>2502</v>
      </c>
      <c r="B13" s="4" t="s">
        <v>2523</v>
      </c>
      <c r="C13" s="4" t="s">
        <v>2524</v>
      </c>
      <c r="D13" s="4" t="s">
        <v>2525</v>
      </c>
      <c r="E13" s="4" t="s">
        <v>2511</v>
      </c>
      <c r="F13" s="4" t="s">
        <v>2526</v>
      </c>
      <c r="G13" s="4" t="s">
        <v>2446</v>
      </c>
      <c r="H13" s="4" t="s">
        <v>2527</v>
      </c>
    </row>
    <row r="14" spans="1:8" ht="36" customHeight="1" x14ac:dyDescent="0.35">
      <c r="A14" s="4" t="s">
        <v>2502</v>
      </c>
      <c r="B14" s="4" t="s">
        <v>2528</v>
      </c>
      <c r="C14" s="4" t="s">
        <v>2529</v>
      </c>
      <c r="D14" s="4" t="s">
        <v>2530</v>
      </c>
      <c r="E14" s="4" t="s">
        <v>2531</v>
      </c>
      <c r="F14" s="4" t="s">
        <v>2532</v>
      </c>
      <c r="G14" s="4" t="s">
        <v>2446</v>
      </c>
      <c r="H14" s="4" t="s">
        <v>2533</v>
      </c>
    </row>
    <row r="15" spans="1:8" ht="36" customHeight="1" x14ac:dyDescent="0.35">
      <c r="A15" s="4" t="s">
        <v>2502</v>
      </c>
      <c r="B15" s="4" t="s">
        <v>2534</v>
      </c>
      <c r="C15" s="4" t="s">
        <v>2535</v>
      </c>
      <c r="D15" s="4" t="s">
        <v>2536</v>
      </c>
      <c r="E15" s="4" t="s">
        <v>2531</v>
      </c>
      <c r="F15" s="4" t="s">
        <v>2532</v>
      </c>
      <c r="G15" s="4" t="s">
        <v>2446</v>
      </c>
      <c r="H15" s="4" t="s">
        <v>2537</v>
      </c>
    </row>
    <row r="16" spans="1:8" ht="36" customHeight="1" x14ac:dyDescent="0.35">
      <c r="A16" s="4" t="s">
        <v>2502</v>
      </c>
      <c r="B16" s="4" t="s">
        <v>2538</v>
      </c>
      <c r="C16" s="4" t="s">
        <v>2539</v>
      </c>
      <c r="D16" s="4" t="s">
        <v>2540</v>
      </c>
      <c r="E16" s="4" t="s">
        <v>2531</v>
      </c>
      <c r="F16" s="4" t="s">
        <v>2532</v>
      </c>
      <c r="G16" s="4" t="s">
        <v>2446</v>
      </c>
      <c r="H16" s="4" t="s">
        <v>2541</v>
      </c>
    </row>
    <row r="17" spans="1:8" ht="36" customHeight="1" x14ac:dyDescent="0.35">
      <c r="A17" s="4" t="s">
        <v>2502</v>
      </c>
      <c r="B17" s="4" t="s">
        <v>2542</v>
      </c>
      <c r="C17" s="4" t="s">
        <v>2543</v>
      </c>
      <c r="D17" s="4" t="s">
        <v>2544</v>
      </c>
      <c r="E17" s="4" t="s">
        <v>2531</v>
      </c>
      <c r="F17" s="4" t="s">
        <v>2532</v>
      </c>
      <c r="G17" s="4" t="s">
        <v>2545</v>
      </c>
      <c r="H17" s="4" t="s">
        <v>2546</v>
      </c>
    </row>
    <row r="18" spans="1:8" ht="36" customHeight="1" x14ac:dyDescent="0.35">
      <c r="A18" s="4" t="s">
        <v>2502</v>
      </c>
      <c r="B18" s="4" t="s">
        <v>2547</v>
      </c>
      <c r="C18" s="4" t="s">
        <v>2548</v>
      </c>
      <c r="D18" s="4" t="s">
        <v>2549</v>
      </c>
      <c r="E18" s="4" t="s">
        <v>2550</v>
      </c>
      <c r="F18" s="4" t="s">
        <v>23</v>
      </c>
      <c r="G18" s="4" t="s">
        <v>2551</v>
      </c>
      <c r="H18" s="4" t="s">
        <v>2552</v>
      </c>
    </row>
    <row r="19" spans="1:8" ht="36" customHeight="1" x14ac:dyDescent="0.35">
      <c r="A19" s="4" t="s">
        <v>2502</v>
      </c>
      <c r="B19" s="4" t="s">
        <v>2553</v>
      </c>
      <c r="C19" s="4" t="s">
        <v>2554</v>
      </c>
      <c r="D19" s="4" t="s">
        <v>2555</v>
      </c>
      <c r="E19" s="4" t="s">
        <v>2556</v>
      </c>
      <c r="F19" s="4" t="s">
        <v>2557</v>
      </c>
      <c r="G19" s="4" t="s">
        <v>2558</v>
      </c>
      <c r="H19" s="4" t="s">
        <v>2559</v>
      </c>
    </row>
    <row r="20" spans="1:8" ht="36" customHeight="1" x14ac:dyDescent="0.35">
      <c r="A20" s="4" t="s">
        <v>2502</v>
      </c>
      <c r="B20" s="4" t="s">
        <v>2560</v>
      </c>
      <c r="C20" s="4" t="s">
        <v>2561</v>
      </c>
      <c r="D20" s="4" t="s">
        <v>2562</v>
      </c>
      <c r="E20" s="4" t="s">
        <v>2152</v>
      </c>
      <c r="F20" s="4" t="s">
        <v>23</v>
      </c>
      <c r="G20" s="4" t="s">
        <v>2563</v>
      </c>
      <c r="H20" s="4" t="s">
        <v>2564</v>
      </c>
    </row>
    <row r="21" spans="1:8" ht="36" customHeight="1" x14ac:dyDescent="0.35">
      <c r="A21" s="4" t="s">
        <v>2502</v>
      </c>
      <c r="B21" s="4" t="s">
        <v>2565</v>
      </c>
      <c r="C21" s="4" t="s">
        <v>2566</v>
      </c>
      <c r="D21" s="4" t="s">
        <v>2567</v>
      </c>
      <c r="E21" s="4" t="s">
        <v>2568</v>
      </c>
      <c r="F21" s="4" t="s">
        <v>23</v>
      </c>
      <c r="G21" s="4" t="s">
        <v>2569</v>
      </c>
      <c r="H21" s="4" t="s">
        <v>2570</v>
      </c>
    </row>
    <row r="22" spans="1:8" ht="36" customHeight="1" x14ac:dyDescent="0.35">
      <c r="A22" s="11" t="s">
        <v>2502</v>
      </c>
      <c r="B22" s="11" t="s">
        <v>2571</v>
      </c>
      <c r="C22" s="11" t="s">
        <v>2572</v>
      </c>
      <c r="D22" s="11" t="s">
        <v>2573</v>
      </c>
      <c r="E22" s="11" t="s">
        <v>2568</v>
      </c>
      <c r="F22" s="11" t="s">
        <v>2574</v>
      </c>
      <c r="G22" s="11" t="s">
        <v>2575</v>
      </c>
      <c r="H22" s="11" t="s">
        <v>2576</v>
      </c>
    </row>
    <row r="23" spans="1:8" ht="36" customHeight="1" x14ac:dyDescent="0.35">
      <c r="A23" s="11" t="s">
        <v>2577</v>
      </c>
      <c r="B23" s="11" t="s">
        <v>2578</v>
      </c>
      <c r="C23" s="11" t="s">
        <v>2579</v>
      </c>
      <c r="D23" s="11" t="s">
        <v>2573</v>
      </c>
      <c r="E23" s="11"/>
      <c r="F23" s="11" t="s">
        <v>2580</v>
      </c>
      <c r="G23" s="11"/>
      <c r="H23" s="11" t="s">
        <v>2581</v>
      </c>
    </row>
    <row r="24" spans="1:8" ht="36" customHeight="1" x14ac:dyDescent="0.35">
      <c r="A24" s="11" t="s">
        <v>2577</v>
      </c>
      <c r="B24" s="11" t="s">
        <v>2582</v>
      </c>
      <c r="C24" s="11" t="s">
        <v>2583</v>
      </c>
      <c r="D24" s="11" t="s">
        <v>2573</v>
      </c>
      <c r="E24" s="11"/>
      <c r="F24" s="11" t="s">
        <v>2580</v>
      </c>
      <c r="G24" s="11"/>
      <c r="H24" s="11" t="s">
        <v>2584</v>
      </c>
    </row>
    <row r="25" spans="1:8" ht="36" customHeight="1" x14ac:dyDescent="0.35">
      <c r="A25" s="4" t="s">
        <v>2585</v>
      </c>
      <c r="B25" s="4" t="s">
        <v>2586</v>
      </c>
      <c r="C25" s="4" t="s">
        <v>2587</v>
      </c>
      <c r="D25" s="4" t="s">
        <v>2588</v>
      </c>
      <c r="E25" s="4" t="s">
        <v>175</v>
      </c>
      <c r="F25" s="4" t="s">
        <v>2589</v>
      </c>
      <c r="G25" s="4" t="s">
        <v>2590</v>
      </c>
      <c r="H25" s="4" t="s">
        <v>2591</v>
      </c>
    </row>
    <row r="26" spans="1:8" ht="36" customHeight="1" x14ac:dyDescent="0.35">
      <c r="A26" s="4" t="s">
        <v>2592</v>
      </c>
      <c r="B26" s="4" t="s">
        <v>2593</v>
      </c>
      <c r="C26" s="4" t="s">
        <v>2594</v>
      </c>
      <c r="D26" s="4" t="s">
        <v>2595</v>
      </c>
      <c r="E26" s="4"/>
      <c r="F26" s="4" t="s">
        <v>2580</v>
      </c>
      <c r="G26" s="4"/>
      <c r="H26" s="4" t="s">
        <v>2596</v>
      </c>
    </row>
    <row r="27" spans="1:8" ht="36" customHeight="1" x14ac:dyDescent="0.35">
      <c r="A27" s="4" t="s">
        <v>2592</v>
      </c>
      <c r="B27" s="4" t="s">
        <v>2597</v>
      </c>
      <c r="C27" s="4" t="s">
        <v>2598</v>
      </c>
      <c r="D27" s="4" t="s">
        <v>2595</v>
      </c>
      <c r="E27" s="4"/>
      <c r="F27" s="4" t="s">
        <v>2580</v>
      </c>
      <c r="G27" s="4"/>
      <c r="H27" s="4" t="s">
        <v>2599</v>
      </c>
    </row>
    <row r="28" spans="1:8" ht="36" customHeight="1" x14ac:dyDescent="0.35">
      <c r="A28" s="4" t="s">
        <v>2592</v>
      </c>
      <c r="B28" s="4" t="s">
        <v>2600</v>
      </c>
      <c r="C28" s="4" t="s">
        <v>2601</v>
      </c>
      <c r="D28" s="4" t="s">
        <v>2595</v>
      </c>
      <c r="E28" s="4"/>
      <c r="F28" s="4" t="s">
        <v>2580</v>
      </c>
      <c r="G28" s="4"/>
      <c r="H28" s="4" t="s">
        <v>2602</v>
      </c>
    </row>
    <row r="29" spans="1:8" ht="36" customHeight="1" x14ac:dyDescent="0.35">
      <c r="A29" s="4" t="s">
        <v>2592</v>
      </c>
      <c r="B29" s="4" t="s">
        <v>2603</v>
      </c>
      <c r="C29" s="4" t="s">
        <v>2604</v>
      </c>
      <c r="D29" s="4" t="s">
        <v>2595</v>
      </c>
      <c r="E29" s="4"/>
      <c r="F29" s="4" t="s">
        <v>2580</v>
      </c>
      <c r="G29" s="4"/>
      <c r="H29" s="4" t="s">
        <v>2605</v>
      </c>
    </row>
    <row r="30" spans="1:8" ht="36" customHeight="1" x14ac:dyDescent="0.35">
      <c r="A30" s="4" t="s">
        <v>2606</v>
      </c>
      <c r="B30" s="4"/>
      <c r="C30" s="4" t="s">
        <v>2607</v>
      </c>
      <c r="D30" s="4"/>
      <c r="E30" s="4"/>
      <c r="F30" s="4"/>
      <c r="G30" s="4"/>
      <c r="H30" s="4" t="s">
        <v>2608</v>
      </c>
    </row>
  </sheetData>
  <autoFilter ref="A1:H30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2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0" customWidth="1"/>
    <col min="3" max="3" width="42" customWidth="1"/>
    <col min="4" max="4" width="22" customWidth="1"/>
    <col min="5" max="5" width="12" customWidth="1"/>
    <col min="6" max="6" width="28" customWidth="1"/>
    <col min="7" max="7" width="62" customWidth="1"/>
    <col min="8" max="8" width="55" customWidth="1"/>
  </cols>
  <sheetData>
    <row r="1" spans="1:8" x14ac:dyDescent="0.35">
      <c r="A1" s="3" t="s">
        <v>2467</v>
      </c>
      <c r="B1" s="3" t="s">
        <v>68</v>
      </c>
      <c r="C1" s="3" t="s">
        <v>2468</v>
      </c>
      <c r="D1" s="3" t="s">
        <v>2383</v>
      </c>
      <c r="E1" s="3" t="s">
        <v>174</v>
      </c>
      <c r="F1" s="3" t="s">
        <v>176</v>
      </c>
      <c r="G1" s="3" t="s">
        <v>227</v>
      </c>
      <c r="H1" s="3" t="s">
        <v>233</v>
      </c>
    </row>
    <row r="2" spans="1:8" ht="36" customHeight="1" x14ac:dyDescent="0.35">
      <c r="A2" s="4" t="s">
        <v>2469</v>
      </c>
      <c r="B2" s="4" t="s">
        <v>2306</v>
      </c>
      <c r="C2" s="4" t="s">
        <v>2307</v>
      </c>
      <c r="D2" s="4"/>
      <c r="E2" s="4"/>
      <c r="F2" s="4" t="s">
        <v>2470</v>
      </c>
      <c r="G2" s="4" t="s">
        <v>2471</v>
      </c>
      <c r="H2" s="4" t="s">
        <v>2609</v>
      </c>
    </row>
    <row r="3" spans="1:8" ht="36" customHeight="1" x14ac:dyDescent="0.35">
      <c r="A3" s="4" t="s">
        <v>2437</v>
      </c>
      <c r="B3" s="4" t="s">
        <v>2473</v>
      </c>
      <c r="C3" s="4" t="s">
        <v>2610</v>
      </c>
      <c r="D3" s="4" t="s">
        <v>2611</v>
      </c>
      <c r="E3" s="4" t="s">
        <v>2415</v>
      </c>
      <c r="F3" s="4" t="s">
        <v>2476</v>
      </c>
      <c r="G3" s="4" t="s">
        <v>2612</v>
      </c>
      <c r="H3" s="4" t="s">
        <v>2613</v>
      </c>
    </row>
    <row r="4" spans="1:8" ht="36" customHeight="1" x14ac:dyDescent="0.35">
      <c r="A4" s="4" t="s">
        <v>179</v>
      </c>
      <c r="B4" s="4" t="s">
        <v>2479</v>
      </c>
      <c r="C4" s="4" t="s">
        <v>2480</v>
      </c>
      <c r="D4" s="4" t="s">
        <v>2614</v>
      </c>
      <c r="E4" s="4"/>
      <c r="F4" s="4" t="s">
        <v>2470</v>
      </c>
      <c r="G4" s="4" t="s">
        <v>2486</v>
      </c>
      <c r="H4" s="4" t="s">
        <v>2615</v>
      </c>
    </row>
    <row r="5" spans="1:8" ht="36" customHeight="1" x14ac:dyDescent="0.35">
      <c r="A5" s="4" t="s">
        <v>179</v>
      </c>
      <c r="B5" s="4" t="s">
        <v>2483</v>
      </c>
      <c r="C5" s="4" t="s">
        <v>2484</v>
      </c>
      <c r="D5" s="4" t="s">
        <v>2616</v>
      </c>
      <c r="E5" s="4"/>
      <c r="F5" s="4" t="s">
        <v>2470</v>
      </c>
      <c r="G5" s="4" t="s">
        <v>2486</v>
      </c>
      <c r="H5" s="4" t="s">
        <v>2617</v>
      </c>
    </row>
    <row r="6" spans="1:8" ht="36" customHeight="1" x14ac:dyDescent="0.35">
      <c r="A6" s="4" t="s">
        <v>179</v>
      </c>
      <c r="B6" s="4" t="s">
        <v>2488</v>
      </c>
      <c r="C6" s="4" t="s">
        <v>2489</v>
      </c>
      <c r="D6" s="4" t="s">
        <v>2618</v>
      </c>
      <c r="E6" s="4"/>
      <c r="F6" s="4" t="s">
        <v>2470</v>
      </c>
      <c r="G6" s="4" t="s">
        <v>2486</v>
      </c>
      <c r="H6" s="4" t="s">
        <v>2619</v>
      </c>
    </row>
    <row r="7" spans="1:8" ht="36" customHeight="1" x14ac:dyDescent="0.35">
      <c r="A7" s="4" t="s">
        <v>179</v>
      </c>
      <c r="B7" s="4" t="s">
        <v>2620</v>
      </c>
      <c r="C7" s="4" t="s">
        <v>2621</v>
      </c>
      <c r="D7" s="4" t="s">
        <v>2308</v>
      </c>
      <c r="E7" s="4"/>
      <c r="F7" s="4" t="s">
        <v>2470</v>
      </c>
      <c r="G7" s="4" t="s">
        <v>2486</v>
      </c>
      <c r="H7" s="4" t="s">
        <v>2622</v>
      </c>
    </row>
    <row r="8" spans="1:8" ht="36" customHeight="1" x14ac:dyDescent="0.35">
      <c r="A8" s="4" t="s">
        <v>2623</v>
      </c>
      <c r="B8" s="4" t="s">
        <v>2523</v>
      </c>
      <c r="C8" s="4" t="s">
        <v>2624</v>
      </c>
      <c r="D8" s="4" t="s">
        <v>2625</v>
      </c>
      <c r="E8" s="4"/>
      <c r="F8" s="4" t="s">
        <v>2526</v>
      </c>
      <c r="G8" s="4" t="s">
        <v>2451</v>
      </c>
      <c r="H8" s="4" t="s">
        <v>2626</v>
      </c>
    </row>
    <row r="9" spans="1:8" ht="36" customHeight="1" x14ac:dyDescent="0.35">
      <c r="A9" s="4" t="s">
        <v>2623</v>
      </c>
      <c r="B9" s="4" t="s">
        <v>2519</v>
      </c>
      <c r="C9" s="4" t="s">
        <v>2627</v>
      </c>
      <c r="D9" s="4" t="s">
        <v>2628</v>
      </c>
      <c r="E9" s="4"/>
      <c r="F9" s="4" t="s">
        <v>2526</v>
      </c>
      <c r="G9" s="4" t="s">
        <v>2451</v>
      </c>
      <c r="H9" s="4" t="s">
        <v>2629</v>
      </c>
    </row>
    <row r="10" spans="1:8" ht="36" customHeight="1" x14ac:dyDescent="0.35">
      <c r="A10" s="4" t="s">
        <v>2623</v>
      </c>
      <c r="B10" s="4" t="s">
        <v>2528</v>
      </c>
      <c r="C10" s="4" t="s">
        <v>2630</v>
      </c>
      <c r="D10" s="4" t="s">
        <v>2631</v>
      </c>
      <c r="E10" s="4"/>
      <c r="F10" s="4" t="s">
        <v>2526</v>
      </c>
      <c r="G10" s="4" t="s">
        <v>2451</v>
      </c>
      <c r="H10" s="4" t="s">
        <v>2632</v>
      </c>
    </row>
    <row r="11" spans="1:8" ht="36" customHeight="1" x14ac:dyDescent="0.35">
      <c r="A11" s="4" t="s">
        <v>2623</v>
      </c>
      <c r="B11" s="4" t="s">
        <v>2534</v>
      </c>
      <c r="C11" s="4" t="s">
        <v>2633</v>
      </c>
      <c r="D11" s="4" t="s">
        <v>2634</v>
      </c>
      <c r="E11" s="4"/>
      <c r="F11" s="4" t="s">
        <v>2526</v>
      </c>
      <c r="G11" s="4" t="s">
        <v>2451</v>
      </c>
      <c r="H11" s="4" t="s">
        <v>2635</v>
      </c>
    </row>
    <row r="12" spans="1:8" ht="36" customHeight="1" x14ac:dyDescent="0.35">
      <c r="A12" s="4" t="s">
        <v>2623</v>
      </c>
      <c r="B12" s="4" t="s">
        <v>2538</v>
      </c>
      <c r="C12" s="4" t="s">
        <v>2636</v>
      </c>
      <c r="D12" s="4" t="s">
        <v>2637</v>
      </c>
      <c r="E12" s="4"/>
      <c r="F12" s="4" t="s">
        <v>2526</v>
      </c>
      <c r="G12" s="4" t="s">
        <v>2451</v>
      </c>
      <c r="H12" s="4" t="s">
        <v>2638</v>
      </c>
    </row>
    <row r="13" spans="1:8" ht="36" customHeight="1" x14ac:dyDescent="0.35">
      <c r="A13" s="4" t="s">
        <v>2623</v>
      </c>
      <c r="B13" s="4" t="s">
        <v>2639</v>
      </c>
      <c r="C13" s="4" t="s">
        <v>2640</v>
      </c>
      <c r="D13" s="4" t="s">
        <v>2641</v>
      </c>
      <c r="E13" s="4" t="s">
        <v>2151</v>
      </c>
      <c r="F13" s="4" t="s">
        <v>2526</v>
      </c>
      <c r="G13" s="4" t="s">
        <v>2642</v>
      </c>
      <c r="H13" s="4" t="s">
        <v>2643</v>
      </c>
    </row>
    <row r="14" spans="1:8" ht="36" customHeight="1" x14ac:dyDescent="0.35">
      <c r="A14" s="4" t="s">
        <v>2623</v>
      </c>
      <c r="B14" s="4" t="s">
        <v>2498</v>
      </c>
      <c r="C14" s="4" t="s">
        <v>2644</v>
      </c>
      <c r="D14" s="4" t="s">
        <v>2645</v>
      </c>
      <c r="E14" s="4" t="s">
        <v>2151</v>
      </c>
      <c r="F14" s="4" t="s">
        <v>2526</v>
      </c>
      <c r="G14" s="4" t="s">
        <v>2642</v>
      </c>
      <c r="H14" s="4" t="s">
        <v>2646</v>
      </c>
    </row>
    <row r="15" spans="1:8" ht="36" customHeight="1" x14ac:dyDescent="0.35">
      <c r="A15" s="4" t="s">
        <v>2623</v>
      </c>
      <c r="B15" s="4" t="s">
        <v>2492</v>
      </c>
      <c r="C15" s="4" t="s">
        <v>2647</v>
      </c>
      <c r="D15" s="4" t="s">
        <v>2648</v>
      </c>
      <c r="E15" s="4" t="s">
        <v>2151</v>
      </c>
      <c r="F15" s="4" t="s">
        <v>23</v>
      </c>
      <c r="G15" s="4" t="s">
        <v>2642</v>
      </c>
      <c r="H15" s="4" t="s">
        <v>2649</v>
      </c>
    </row>
    <row r="16" spans="1:8" ht="36" customHeight="1" x14ac:dyDescent="0.35">
      <c r="A16" s="4" t="s">
        <v>2623</v>
      </c>
      <c r="B16" s="4" t="s">
        <v>2650</v>
      </c>
      <c r="C16" s="4" t="s">
        <v>2651</v>
      </c>
      <c r="D16" s="4" t="s">
        <v>2652</v>
      </c>
      <c r="E16" s="4" t="s">
        <v>2151</v>
      </c>
      <c r="F16" s="4" t="s">
        <v>23</v>
      </c>
      <c r="G16" s="4" t="s">
        <v>2642</v>
      </c>
      <c r="H16" s="4" t="s">
        <v>2653</v>
      </c>
    </row>
    <row r="17" spans="1:8" ht="36" customHeight="1" x14ac:dyDescent="0.35">
      <c r="A17" s="4" t="s">
        <v>2623</v>
      </c>
      <c r="B17" s="4" t="s">
        <v>2654</v>
      </c>
      <c r="C17" s="4" t="s">
        <v>2655</v>
      </c>
      <c r="D17" s="4" t="s">
        <v>2656</v>
      </c>
      <c r="E17" s="4" t="s">
        <v>2151</v>
      </c>
      <c r="F17" s="4" t="s">
        <v>2526</v>
      </c>
      <c r="G17" s="4" t="s">
        <v>2642</v>
      </c>
      <c r="H17" s="4" t="s">
        <v>2657</v>
      </c>
    </row>
    <row r="18" spans="1:8" ht="36" customHeight="1" x14ac:dyDescent="0.35">
      <c r="A18" s="4" t="s">
        <v>2623</v>
      </c>
      <c r="B18" s="4" t="s">
        <v>2658</v>
      </c>
      <c r="C18" s="4" t="s">
        <v>2659</v>
      </c>
      <c r="D18" s="4" t="s">
        <v>2660</v>
      </c>
      <c r="E18" s="4" t="s">
        <v>2550</v>
      </c>
      <c r="F18" s="4" t="s">
        <v>23</v>
      </c>
      <c r="G18" s="4" t="s">
        <v>2661</v>
      </c>
      <c r="H18" s="4" t="s">
        <v>2662</v>
      </c>
    </row>
    <row r="19" spans="1:8" ht="36" customHeight="1" x14ac:dyDescent="0.35">
      <c r="A19" s="4" t="s">
        <v>2663</v>
      </c>
      <c r="B19" s="4" t="s">
        <v>2560</v>
      </c>
      <c r="C19" s="4" t="s">
        <v>2664</v>
      </c>
      <c r="D19" s="4" t="s">
        <v>2665</v>
      </c>
      <c r="E19" s="4" t="s">
        <v>2151</v>
      </c>
      <c r="F19" s="4" t="s">
        <v>23</v>
      </c>
      <c r="G19" s="4" t="s">
        <v>2666</v>
      </c>
      <c r="H19" s="4" t="s">
        <v>2667</v>
      </c>
    </row>
    <row r="20" spans="1:8" ht="36" customHeight="1" x14ac:dyDescent="0.35">
      <c r="A20" s="4" t="s">
        <v>2663</v>
      </c>
      <c r="B20" s="4" t="s">
        <v>2668</v>
      </c>
      <c r="C20" s="4" t="s">
        <v>2669</v>
      </c>
      <c r="D20" s="4" t="s">
        <v>2670</v>
      </c>
      <c r="E20" s="4" t="s">
        <v>2151</v>
      </c>
      <c r="F20" s="4" t="s">
        <v>23</v>
      </c>
      <c r="G20" s="4" t="s">
        <v>2666</v>
      </c>
      <c r="H20" s="4" t="s">
        <v>2671</v>
      </c>
    </row>
    <row r="21" spans="1:8" ht="36" customHeight="1" x14ac:dyDescent="0.35">
      <c r="A21" s="4" t="s">
        <v>2623</v>
      </c>
      <c r="B21" s="4" t="s">
        <v>2547</v>
      </c>
      <c r="C21" s="4" t="s">
        <v>2672</v>
      </c>
      <c r="D21" s="4" t="s">
        <v>2673</v>
      </c>
      <c r="E21" s="4" t="s">
        <v>2568</v>
      </c>
      <c r="F21" s="4" t="s">
        <v>23</v>
      </c>
      <c r="G21" s="4" t="s">
        <v>2674</v>
      </c>
      <c r="H21" s="4" t="s">
        <v>2675</v>
      </c>
    </row>
    <row r="22" spans="1:8" ht="36" customHeight="1" x14ac:dyDescent="0.35">
      <c r="A22" s="4" t="s">
        <v>2623</v>
      </c>
      <c r="B22" s="4" t="s">
        <v>2513</v>
      </c>
      <c r="C22" s="4" t="s">
        <v>2676</v>
      </c>
      <c r="D22" s="4" t="s">
        <v>2567</v>
      </c>
      <c r="E22" s="4" t="s">
        <v>2568</v>
      </c>
      <c r="F22" s="4" t="s">
        <v>23</v>
      </c>
      <c r="G22" s="4" t="s">
        <v>2677</v>
      </c>
      <c r="H22" s="4" t="s">
        <v>2678</v>
      </c>
    </row>
    <row r="23" spans="1:8" ht="36" customHeight="1" x14ac:dyDescent="0.35">
      <c r="A23" s="11" t="s">
        <v>2679</v>
      </c>
      <c r="B23" s="11" t="s">
        <v>2586</v>
      </c>
      <c r="C23" s="11" t="s">
        <v>2680</v>
      </c>
      <c r="D23" s="11" t="s">
        <v>2573</v>
      </c>
      <c r="E23" s="11"/>
      <c r="F23" s="11" t="s">
        <v>2580</v>
      </c>
      <c r="G23" s="11"/>
      <c r="H23" s="11" t="s">
        <v>2681</v>
      </c>
    </row>
    <row r="24" spans="1:8" ht="36" customHeight="1" x14ac:dyDescent="0.35">
      <c r="A24" s="4" t="s">
        <v>2592</v>
      </c>
      <c r="B24" s="4" t="s">
        <v>2682</v>
      </c>
      <c r="C24" s="4" t="s">
        <v>2683</v>
      </c>
      <c r="D24" s="4" t="s">
        <v>2595</v>
      </c>
      <c r="E24" s="4"/>
      <c r="F24" s="4" t="s">
        <v>2580</v>
      </c>
      <c r="G24" s="4" t="s">
        <v>2642</v>
      </c>
      <c r="H24" s="4" t="s">
        <v>2684</v>
      </c>
    </row>
    <row r="25" spans="1:8" ht="36" customHeight="1" x14ac:dyDescent="0.35">
      <c r="A25" s="4" t="s">
        <v>2592</v>
      </c>
      <c r="B25" s="4" t="s">
        <v>2685</v>
      </c>
      <c r="C25" s="4" t="s">
        <v>2686</v>
      </c>
      <c r="D25" s="4" t="s">
        <v>2595</v>
      </c>
      <c r="E25" s="4"/>
      <c r="F25" s="4" t="s">
        <v>2580</v>
      </c>
      <c r="G25" s="4"/>
      <c r="H25" s="4" t="s">
        <v>2687</v>
      </c>
    </row>
    <row r="26" spans="1:8" ht="36" customHeight="1" x14ac:dyDescent="0.35">
      <c r="A26" s="4" t="s">
        <v>2592</v>
      </c>
      <c r="B26" s="4" t="s">
        <v>2688</v>
      </c>
      <c r="C26" s="4" t="s">
        <v>2689</v>
      </c>
      <c r="D26" s="4" t="s">
        <v>2595</v>
      </c>
      <c r="E26" s="4"/>
      <c r="F26" s="4" t="s">
        <v>2580</v>
      </c>
      <c r="G26" s="4" t="s">
        <v>2690</v>
      </c>
      <c r="H26" s="4" t="s">
        <v>2691</v>
      </c>
    </row>
    <row r="27" spans="1:8" ht="36" customHeight="1" x14ac:dyDescent="0.35">
      <c r="A27" s="4" t="s">
        <v>2592</v>
      </c>
      <c r="B27" s="4" t="s">
        <v>2692</v>
      </c>
      <c r="C27" s="4" t="s">
        <v>2693</v>
      </c>
      <c r="D27" s="4" t="s">
        <v>2694</v>
      </c>
      <c r="E27" s="4"/>
      <c r="F27" s="4" t="s">
        <v>2695</v>
      </c>
      <c r="G27" s="4" t="s">
        <v>2451</v>
      </c>
      <c r="H27" s="4" t="s">
        <v>2696</v>
      </c>
    </row>
    <row r="28" spans="1:8" ht="36" customHeight="1" x14ac:dyDescent="0.35">
      <c r="A28" s="4" t="s">
        <v>2606</v>
      </c>
      <c r="B28" s="4"/>
      <c r="C28" s="4" t="s">
        <v>2697</v>
      </c>
      <c r="D28" s="4"/>
      <c r="E28" s="4"/>
      <c r="F28" s="4"/>
      <c r="G28" s="4"/>
      <c r="H28" s="4" t="s">
        <v>2608</v>
      </c>
    </row>
  </sheetData>
  <autoFilter ref="A1:H28" xr:uid="{00000000-0009-0000-0000-000014000000}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0" customWidth="1"/>
    <col min="3" max="3" width="42" customWidth="1"/>
    <col min="4" max="4" width="22" customWidth="1"/>
    <col min="5" max="5" width="12" customWidth="1"/>
    <col min="6" max="6" width="28" customWidth="1"/>
    <col min="7" max="7" width="62" customWidth="1"/>
    <col min="8" max="8" width="55" customWidth="1"/>
  </cols>
  <sheetData>
    <row r="1" spans="1:8" x14ac:dyDescent="0.35">
      <c r="A1" s="3" t="s">
        <v>2467</v>
      </c>
      <c r="B1" s="3" t="s">
        <v>68</v>
      </c>
      <c r="C1" s="3" t="s">
        <v>2468</v>
      </c>
      <c r="D1" s="3" t="s">
        <v>2383</v>
      </c>
      <c r="E1" s="3" t="s">
        <v>174</v>
      </c>
      <c r="F1" s="3" t="s">
        <v>176</v>
      </c>
      <c r="G1" s="3" t="s">
        <v>227</v>
      </c>
      <c r="H1" s="3" t="s">
        <v>233</v>
      </c>
    </row>
    <row r="2" spans="1:8" ht="36" customHeight="1" x14ac:dyDescent="0.35">
      <c r="A2" s="4" t="s">
        <v>2469</v>
      </c>
      <c r="B2" s="4" t="s">
        <v>2311</v>
      </c>
      <c r="C2" s="4" t="s">
        <v>2312</v>
      </c>
      <c r="D2" s="4"/>
      <c r="E2" s="4"/>
      <c r="F2" s="4" t="s">
        <v>2470</v>
      </c>
      <c r="G2" s="4" t="s">
        <v>2471</v>
      </c>
      <c r="H2" s="4" t="s">
        <v>2698</v>
      </c>
    </row>
    <row r="3" spans="1:8" ht="36" customHeight="1" x14ac:dyDescent="0.35">
      <c r="A3" s="4" t="s">
        <v>2437</v>
      </c>
      <c r="B3" s="4" t="s">
        <v>2473</v>
      </c>
      <c r="C3" s="4" t="s">
        <v>2699</v>
      </c>
      <c r="D3" s="4" t="s">
        <v>2700</v>
      </c>
      <c r="E3" s="4" t="s">
        <v>2415</v>
      </c>
      <c r="F3" s="4" t="s">
        <v>2476</v>
      </c>
      <c r="G3" s="4" t="s">
        <v>2701</v>
      </c>
      <c r="H3" s="4" t="s">
        <v>2702</v>
      </c>
    </row>
    <row r="4" spans="1:8" ht="36" customHeight="1" x14ac:dyDescent="0.35">
      <c r="A4" s="4" t="s">
        <v>2437</v>
      </c>
      <c r="B4" s="4" t="s">
        <v>2703</v>
      </c>
      <c r="C4" s="4" t="s">
        <v>2704</v>
      </c>
      <c r="D4" s="4" t="s">
        <v>2705</v>
      </c>
      <c r="E4" s="4" t="s">
        <v>2415</v>
      </c>
      <c r="F4" s="4" t="s">
        <v>2476</v>
      </c>
      <c r="G4" s="4" t="s">
        <v>2701</v>
      </c>
      <c r="H4" s="4" t="s">
        <v>2706</v>
      </c>
    </row>
    <row r="5" spans="1:8" ht="36" customHeight="1" x14ac:dyDescent="0.35">
      <c r="A5" s="4" t="s">
        <v>179</v>
      </c>
      <c r="B5" s="4" t="s">
        <v>2707</v>
      </c>
      <c r="C5" s="4" t="s">
        <v>2708</v>
      </c>
      <c r="D5" s="4" t="s">
        <v>2709</v>
      </c>
      <c r="E5" s="4"/>
      <c r="F5" s="4" t="s">
        <v>23</v>
      </c>
      <c r="G5" s="4" t="s">
        <v>2486</v>
      </c>
      <c r="H5" s="4" t="s">
        <v>2710</v>
      </c>
    </row>
    <row r="6" spans="1:8" ht="36" customHeight="1" x14ac:dyDescent="0.35">
      <c r="A6" s="4" t="s">
        <v>179</v>
      </c>
      <c r="B6" s="4" t="s">
        <v>2620</v>
      </c>
      <c r="C6" s="4" t="s">
        <v>2711</v>
      </c>
      <c r="D6" s="4" t="s">
        <v>2313</v>
      </c>
      <c r="E6" s="4"/>
      <c r="F6" s="4" t="s">
        <v>2470</v>
      </c>
      <c r="G6" s="4" t="s">
        <v>2486</v>
      </c>
      <c r="H6" s="4" t="s">
        <v>2712</v>
      </c>
    </row>
    <row r="7" spans="1:8" ht="36" customHeight="1" x14ac:dyDescent="0.35">
      <c r="A7" s="11" t="s">
        <v>2713</v>
      </c>
      <c r="B7" s="11" t="s">
        <v>2650</v>
      </c>
      <c r="C7" s="11" t="s">
        <v>2714</v>
      </c>
      <c r="D7" s="11" t="s">
        <v>2715</v>
      </c>
      <c r="E7" s="11"/>
      <c r="F7" s="11" t="s">
        <v>2716</v>
      </c>
      <c r="G7" s="11"/>
      <c r="H7" s="11" t="s">
        <v>2717</v>
      </c>
    </row>
    <row r="8" spans="1:8" ht="36" customHeight="1" x14ac:dyDescent="0.35">
      <c r="A8" s="4" t="s">
        <v>2718</v>
      </c>
      <c r="B8" s="4" t="s">
        <v>2519</v>
      </c>
      <c r="C8" s="4" t="s">
        <v>2719</v>
      </c>
      <c r="D8" s="4" t="s">
        <v>2494</v>
      </c>
      <c r="E8" s="4" t="s">
        <v>2495</v>
      </c>
      <c r="F8" s="4" t="s">
        <v>23</v>
      </c>
      <c r="G8" s="4" t="s">
        <v>2456</v>
      </c>
      <c r="H8" s="4" t="s">
        <v>2720</v>
      </c>
    </row>
    <row r="9" spans="1:8" ht="36" customHeight="1" x14ac:dyDescent="0.35">
      <c r="A9" s="4" t="s">
        <v>2718</v>
      </c>
      <c r="B9" s="4" t="s">
        <v>2523</v>
      </c>
      <c r="C9" s="4" t="s">
        <v>2721</v>
      </c>
      <c r="D9" s="4" t="s">
        <v>2722</v>
      </c>
      <c r="E9" s="4" t="s">
        <v>2495</v>
      </c>
      <c r="F9" s="4" t="s">
        <v>23</v>
      </c>
      <c r="G9" s="4" t="s">
        <v>2456</v>
      </c>
      <c r="H9" s="4" t="s">
        <v>2723</v>
      </c>
    </row>
    <row r="10" spans="1:8" ht="36" customHeight="1" x14ac:dyDescent="0.35">
      <c r="A10" s="4" t="s">
        <v>2718</v>
      </c>
      <c r="B10" s="4" t="s">
        <v>2547</v>
      </c>
      <c r="C10" s="4" t="s">
        <v>2724</v>
      </c>
      <c r="D10" s="4" t="s">
        <v>2725</v>
      </c>
      <c r="E10" s="4" t="s">
        <v>175</v>
      </c>
      <c r="F10" s="4" t="s">
        <v>23</v>
      </c>
      <c r="G10" s="4" t="s">
        <v>194</v>
      </c>
      <c r="H10" s="4" t="s">
        <v>2726</v>
      </c>
    </row>
    <row r="11" spans="1:8" ht="36" customHeight="1" x14ac:dyDescent="0.35">
      <c r="A11" s="4" t="s">
        <v>2718</v>
      </c>
      <c r="B11" s="4" t="s">
        <v>2727</v>
      </c>
      <c r="C11" s="4" t="s">
        <v>2728</v>
      </c>
      <c r="D11" s="4" t="s">
        <v>2729</v>
      </c>
      <c r="E11" s="4" t="s">
        <v>2730</v>
      </c>
      <c r="F11" s="4" t="s">
        <v>2526</v>
      </c>
      <c r="G11" s="4" t="s">
        <v>2731</v>
      </c>
      <c r="H11" s="4" t="s">
        <v>2732</v>
      </c>
    </row>
    <row r="12" spans="1:8" ht="36" customHeight="1" x14ac:dyDescent="0.35">
      <c r="A12" s="4" t="s">
        <v>2718</v>
      </c>
      <c r="B12" s="4" t="s">
        <v>2513</v>
      </c>
      <c r="C12" s="4" t="s">
        <v>2733</v>
      </c>
      <c r="D12" s="4" t="s">
        <v>2734</v>
      </c>
      <c r="E12" s="4" t="s">
        <v>2730</v>
      </c>
      <c r="F12" s="4" t="s">
        <v>2526</v>
      </c>
      <c r="G12" s="4" t="s">
        <v>2731</v>
      </c>
      <c r="H12" s="4" t="s">
        <v>2735</v>
      </c>
    </row>
    <row r="13" spans="1:8" ht="36" customHeight="1" x14ac:dyDescent="0.35">
      <c r="A13" s="4" t="s">
        <v>2718</v>
      </c>
      <c r="B13" s="4" t="s">
        <v>2508</v>
      </c>
      <c r="C13" s="4" t="s">
        <v>2736</v>
      </c>
      <c r="D13" s="4" t="s">
        <v>2737</v>
      </c>
      <c r="E13" s="4" t="s">
        <v>2730</v>
      </c>
      <c r="F13" s="4" t="s">
        <v>2738</v>
      </c>
      <c r="G13" s="4" t="s">
        <v>2731</v>
      </c>
      <c r="H13" s="4" t="s">
        <v>2739</v>
      </c>
    </row>
    <row r="14" spans="1:8" ht="36" customHeight="1" x14ac:dyDescent="0.35">
      <c r="A14" s="4" t="s">
        <v>2718</v>
      </c>
      <c r="B14" s="4" t="s">
        <v>2740</v>
      </c>
      <c r="C14" s="4" t="s">
        <v>2741</v>
      </c>
      <c r="D14" s="4" t="s">
        <v>2742</v>
      </c>
      <c r="E14" s="4" t="s">
        <v>2495</v>
      </c>
      <c r="F14" s="4" t="s">
        <v>2743</v>
      </c>
      <c r="G14" s="4" t="s">
        <v>2456</v>
      </c>
      <c r="H14" s="4" t="s">
        <v>2744</v>
      </c>
    </row>
    <row r="15" spans="1:8" ht="36" customHeight="1" x14ac:dyDescent="0.35">
      <c r="A15" s="4" t="s">
        <v>2718</v>
      </c>
      <c r="B15" s="4" t="s">
        <v>2745</v>
      </c>
      <c r="C15" s="4" t="s">
        <v>2746</v>
      </c>
      <c r="D15" s="4" t="s">
        <v>2747</v>
      </c>
      <c r="E15" s="4" t="s">
        <v>2495</v>
      </c>
      <c r="F15" s="4" t="s">
        <v>23</v>
      </c>
      <c r="G15" s="4" t="s">
        <v>2456</v>
      </c>
      <c r="H15" s="4" t="s">
        <v>2748</v>
      </c>
    </row>
    <row r="16" spans="1:8" ht="36" customHeight="1" x14ac:dyDescent="0.35">
      <c r="A16" s="4" t="s">
        <v>2718</v>
      </c>
      <c r="B16" s="4" t="s">
        <v>2749</v>
      </c>
      <c r="C16" s="4" t="s">
        <v>2750</v>
      </c>
      <c r="D16" s="4" t="s">
        <v>2751</v>
      </c>
      <c r="E16" s="4" t="s">
        <v>2495</v>
      </c>
      <c r="F16" s="4" t="s">
        <v>23</v>
      </c>
      <c r="G16" s="4" t="s">
        <v>2456</v>
      </c>
      <c r="H16" s="4" t="s">
        <v>2752</v>
      </c>
    </row>
    <row r="17" spans="1:8" ht="36" customHeight="1" x14ac:dyDescent="0.35">
      <c r="A17" s="4" t="s">
        <v>2718</v>
      </c>
      <c r="B17" s="4" t="s">
        <v>2753</v>
      </c>
      <c r="C17" s="4" t="s">
        <v>2754</v>
      </c>
      <c r="D17" s="4" t="s">
        <v>2755</v>
      </c>
      <c r="E17" s="4" t="s">
        <v>2495</v>
      </c>
      <c r="F17" s="4" t="s">
        <v>2526</v>
      </c>
      <c r="G17" s="4" t="s">
        <v>2731</v>
      </c>
      <c r="H17" s="4" t="s">
        <v>2756</v>
      </c>
    </row>
    <row r="18" spans="1:8" ht="36" customHeight="1" x14ac:dyDescent="0.35">
      <c r="A18" s="11" t="s">
        <v>2757</v>
      </c>
      <c r="B18" s="11" t="s">
        <v>2586</v>
      </c>
      <c r="C18" s="11" t="s">
        <v>2758</v>
      </c>
      <c r="D18" s="11" t="s">
        <v>2759</v>
      </c>
      <c r="E18" s="11"/>
      <c r="F18" s="11" t="s">
        <v>2760</v>
      </c>
      <c r="G18" s="11" t="s">
        <v>2761</v>
      </c>
      <c r="H18" s="11" t="s">
        <v>2762</v>
      </c>
    </row>
    <row r="19" spans="1:8" ht="36" customHeight="1" x14ac:dyDescent="0.35">
      <c r="A19" s="4" t="s">
        <v>2592</v>
      </c>
      <c r="B19" s="4" t="s">
        <v>2593</v>
      </c>
      <c r="C19" s="4" t="s">
        <v>2763</v>
      </c>
      <c r="D19" s="4" t="s">
        <v>2595</v>
      </c>
      <c r="E19" s="4"/>
      <c r="F19" s="4" t="s">
        <v>2580</v>
      </c>
      <c r="G19" s="4"/>
      <c r="H19" s="4" t="s">
        <v>2764</v>
      </c>
    </row>
    <row r="20" spans="1:8" ht="36" customHeight="1" x14ac:dyDescent="0.35">
      <c r="A20" s="4" t="s">
        <v>2592</v>
      </c>
      <c r="B20" s="4" t="s">
        <v>2597</v>
      </c>
      <c r="C20" s="4" t="s">
        <v>2765</v>
      </c>
      <c r="D20" s="4" t="s">
        <v>2595</v>
      </c>
      <c r="E20" s="4"/>
      <c r="F20" s="4" t="s">
        <v>2766</v>
      </c>
      <c r="G20" s="4"/>
      <c r="H20" s="4" t="s">
        <v>2767</v>
      </c>
    </row>
    <row r="21" spans="1:8" ht="36" customHeight="1" x14ac:dyDescent="0.35">
      <c r="A21" s="4" t="s">
        <v>2606</v>
      </c>
      <c r="B21" s="4"/>
      <c r="C21" s="4" t="s">
        <v>2768</v>
      </c>
      <c r="D21" s="4"/>
      <c r="E21" s="4"/>
      <c r="F21" s="4"/>
      <c r="G21" s="4"/>
      <c r="H21" s="4" t="s">
        <v>2608</v>
      </c>
    </row>
  </sheetData>
  <autoFilter ref="A1:H21" xr:uid="{00000000-0009-0000-0000-000015000000}"/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0" customWidth="1"/>
    <col min="3" max="3" width="42" customWidth="1"/>
    <col min="4" max="4" width="22" customWidth="1"/>
    <col min="5" max="5" width="12" customWidth="1"/>
    <col min="6" max="6" width="28" customWidth="1"/>
    <col min="7" max="7" width="62" customWidth="1"/>
    <col min="8" max="8" width="55" customWidth="1"/>
  </cols>
  <sheetData>
    <row r="1" spans="1:8" x14ac:dyDescent="0.35">
      <c r="A1" s="3" t="s">
        <v>2467</v>
      </c>
      <c r="B1" s="3" t="s">
        <v>68</v>
      </c>
      <c r="C1" s="3" t="s">
        <v>2468</v>
      </c>
      <c r="D1" s="3" t="s">
        <v>2383</v>
      </c>
      <c r="E1" s="3" t="s">
        <v>174</v>
      </c>
      <c r="F1" s="3" t="s">
        <v>176</v>
      </c>
      <c r="G1" s="3" t="s">
        <v>227</v>
      </c>
      <c r="H1" s="3" t="s">
        <v>233</v>
      </c>
    </row>
    <row r="2" spans="1:8" ht="36" customHeight="1" x14ac:dyDescent="0.35">
      <c r="A2" s="4" t="s">
        <v>2469</v>
      </c>
      <c r="B2" s="4" t="s">
        <v>2325</v>
      </c>
      <c r="C2" s="4" t="s">
        <v>2326</v>
      </c>
      <c r="D2" s="4"/>
      <c r="E2" s="4"/>
      <c r="F2" s="4" t="s">
        <v>2470</v>
      </c>
      <c r="G2" s="4" t="s">
        <v>2471</v>
      </c>
      <c r="H2" s="4" t="s">
        <v>2769</v>
      </c>
    </row>
    <row r="3" spans="1:8" ht="36" customHeight="1" x14ac:dyDescent="0.35">
      <c r="A3" s="4" t="s">
        <v>2437</v>
      </c>
      <c r="B3" s="4" t="s">
        <v>2473</v>
      </c>
      <c r="C3" s="4" t="s">
        <v>2437</v>
      </c>
      <c r="D3" s="4" t="s">
        <v>2770</v>
      </c>
      <c r="E3" s="4" t="s">
        <v>2415</v>
      </c>
      <c r="F3" s="4" t="s">
        <v>2476</v>
      </c>
      <c r="G3" s="4" t="s">
        <v>2771</v>
      </c>
      <c r="H3" s="4" t="s">
        <v>2772</v>
      </c>
    </row>
    <row r="4" spans="1:8" ht="36" customHeight="1" x14ac:dyDescent="0.35">
      <c r="A4" s="4" t="s">
        <v>2773</v>
      </c>
      <c r="B4" s="4" t="s">
        <v>2774</v>
      </c>
      <c r="C4" s="4" t="s">
        <v>2775</v>
      </c>
      <c r="D4" s="4" t="s">
        <v>2776</v>
      </c>
      <c r="E4" s="4"/>
      <c r="F4" s="4" t="s">
        <v>2470</v>
      </c>
      <c r="G4" s="4" t="s">
        <v>2777</v>
      </c>
      <c r="H4" s="4" t="s">
        <v>2778</v>
      </c>
    </row>
    <row r="5" spans="1:8" ht="36" customHeight="1" x14ac:dyDescent="0.35">
      <c r="A5" s="4" t="s">
        <v>2773</v>
      </c>
      <c r="B5" s="4" t="s">
        <v>2779</v>
      </c>
      <c r="C5" s="4" t="s">
        <v>2780</v>
      </c>
      <c r="D5" s="4" t="s">
        <v>2781</v>
      </c>
      <c r="E5" s="4"/>
      <c r="F5" s="4" t="s">
        <v>2470</v>
      </c>
      <c r="G5" s="4" t="s">
        <v>2777</v>
      </c>
      <c r="H5" s="4" t="s">
        <v>2782</v>
      </c>
    </row>
    <row r="6" spans="1:8" ht="36" customHeight="1" x14ac:dyDescent="0.35">
      <c r="A6" s="4" t="s">
        <v>2773</v>
      </c>
      <c r="B6" s="4" t="s">
        <v>2783</v>
      </c>
      <c r="C6" s="4" t="s">
        <v>2784</v>
      </c>
      <c r="D6" s="4" t="s">
        <v>2785</v>
      </c>
      <c r="E6" s="4"/>
      <c r="F6" s="4" t="s">
        <v>2470</v>
      </c>
      <c r="G6" s="4" t="s">
        <v>2777</v>
      </c>
      <c r="H6" s="4" t="s">
        <v>2786</v>
      </c>
    </row>
    <row r="7" spans="1:8" ht="36" customHeight="1" x14ac:dyDescent="0.35">
      <c r="A7" s="11" t="s">
        <v>2787</v>
      </c>
      <c r="B7" s="11" t="s">
        <v>2682</v>
      </c>
      <c r="C7" s="11" t="s">
        <v>2788</v>
      </c>
      <c r="D7" s="11" t="s">
        <v>2573</v>
      </c>
      <c r="E7" s="11"/>
      <c r="F7" s="11" t="s">
        <v>2580</v>
      </c>
      <c r="G7" s="11"/>
      <c r="H7" s="11" t="s">
        <v>2789</v>
      </c>
    </row>
    <row r="8" spans="1:8" ht="36" customHeight="1" x14ac:dyDescent="0.35">
      <c r="A8" s="4" t="s">
        <v>2790</v>
      </c>
      <c r="B8" s="4" t="s">
        <v>2560</v>
      </c>
      <c r="C8" s="4" t="s">
        <v>2791</v>
      </c>
      <c r="D8" s="4" t="s">
        <v>2792</v>
      </c>
      <c r="E8" s="4" t="s">
        <v>2793</v>
      </c>
      <c r="F8" s="4" t="s">
        <v>23</v>
      </c>
      <c r="G8" s="4" t="s">
        <v>2461</v>
      </c>
      <c r="H8" s="4" t="s">
        <v>2794</v>
      </c>
    </row>
    <row r="9" spans="1:8" ht="36" customHeight="1" x14ac:dyDescent="0.35">
      <c r="A9" s="4" t="s">
        <v>2795</v>
      </c>
      <c r="B9" s="4" t="s">
        <v>2707</v>
      </c>
      <c r="C9" s="4" t="s">
        <v>2796</v>
      </c>
      <c r="D9" s="4" t="s">
        <v>2797</v>
      </c>
      <c r="E9" s="4" t="s">
        <v>2550</v>
      </c>
      <c r="F9" s="4" t="s">
        <v>23</v>
      </c>
      <c r="G9" s="4" t="s">
        <v>2551</v>
      </c>
      <c r="H9" s="4" t="s">
        <v>2798</v>
      </c>
    </row>
    <row r="10" spans="1:8" ht="36" customHeight="1" x14ac:dyDescent="0.35">
      <c r="A10" s="4" t="s">
        <v>2790</v>
      </c>
      <c r="B10" s="4" t="s">
        <v>2650</v>
      </c>
      <c r="C10" s="4" t="s">
        <v>2799</v>
      </c>
      <c r="D10" s="4" t="s">
        <v>2800</v>
      </c>
      <c r="E10" s="4" t="s">
        <v>2550</v>
      </c>
      <c r="F10" s="4" t="s">
        <v>23</v>
      </c>
      <c r="G10" s="4" t="s">
        <v>2551</v>
      </c>
      <c r="H10" s="4" t="s">
        <v>2801</v>
      </c>
    </row>
    <row r="11" spans="1:8" ht="36" customHeight="1" x14ac:dyDescent="0.35">
      <c r="A11" s="4" t="s">
        <v>2790</v>
      </c>
      <c r="B11" s="4" t="s">
        <v>2492</v>
      </c>
      <c r="C11" s="4" t="s">
        <v>2802</v>
      </c>
      <c r="D11" s="4" t="s">
        <v>2803</v>
      </c>
      <c r="E11" s="4" t="s">
        <v>2550</v>
      </c>
      <c r="F11" s="4" t="s">
        <v>23</v>
      </c>
      <c r="G11" s="4" t="s">
        <v>2551</v>
      </c>
      <c r="H11" s="4" t="s">
        <v>2804</v>
      </c>
    </row>
    <row r="12" spans="1:8" ht="36" customHeight="1" x14ac:dyDescent="0.35">
      <c r="A12" s="4" t="s">
        <v>2790</v>
      </c>
      <c r="B12" s="4" t="s">
        <v>2519</v>
      </c>
      <c r="C12" s="4" t="s">
        <v>2805</v>
      </c>
      <c r="D12" s="4" t="s">
        <v>2806</v>
      </c>
      <c r="E12" s="4" t="s">
        <v>2550</v>
      </c>
      <c r="F12" s="4" t="s">
        <v>23</v>
      </c>
      <c r="G12" s="4" t="s">
        <v>2807</v>
      </c>
      <c r="H12" s="4" t="s">
        <v>2808</v>
      </c>
    </row>
    <row r="13" spans="1:8" ht="36" customHeight="1" x14ac:dyDescent="0.35">
      <c r="A13" s="4" t="s">
        <v>2790</v>
      </c>
      <c r="B13" s="4" t="s">
        <v>2565</v>
      </c>
      <c r="C13" s="4" t="s">
        <v>2809</v>
      </c>
      <c r="D13" s="4" t="s">
        <v>2810</v>
      </c>
      <c r="E13" s="4" t="s">
        <v>2550</v>
      </c>
      <c r="F13" s="4" t="s">
        <v>23</v>
      </c>
      <c r="G13" s="4" t="s">
        <v>2811</v>
      </c>
      <c r="H13" s="4" t="s">
        <v>2812</v>
      </c>
    </row>
    <row r="14" spans="1:8" ht="36" customHeight="1" x14ac:dyDescent="0.35">
      <c r="A14" s="4" t="s">
        <v>2790</v>
      </c>
      <c r="B14" s="4" t="s">
        <v>2813</v>
      </c>
      <c r="C14" s="4" t="s">
        <v>2814</v>
      </c>
      <c r="D14" s="4" t="s">
        <v>2815</v>
      </c>
      <c r="E14" s="4" t="s">
        <v>2550</v>
      </c>
      <c r="F14" s="4" t="s">
        <v>23</v>
      </c>
      <c r="G14" s="4" t="s">
        <v>2811</v>
      </c>
      <c r="H14" s="4" t="s">
        <v>2812</v>
      </c>
    </row>
    <row r="15" spans="1:8" ht="36" customHeight="1" x14ac:dyDescent="0.35">
      <c r="A15" s="4" t="s">
        <v>2790</v>
      </c>
      <c r="B15" s="4" t="s">
        <v>2547</v>
      </c>
      <c r="C15" s="4" t="s">
        <v>2816</v>
      </c>
      <c r="D15" s="4" t="s">
        <v>2817</v>
      </c>
      <c r="E15" s="4" t="s">
        <v>2550</v>
      </c>
      <c r="F15" s="4" t="s">
        <v>23</v>
      </c>
      <c r="G15" s="4" t="s">
        <v>2807</v>
      </c>
      <c r="H15" s="4" t="s">
        <v>2818</v>
      </c>
    </row>
    <row r="16" spans="1:8" ht="36" customHeight="1" x14ac:dyDescent="0.35">
      <c r="A16" s="4" t="s">
        <v>2819</v>
      </c>
      <c r="B16" s="4" t="s">
        <v>2668</v>
      </c>
      <c r="C16" s="4" t="s">
        <v>2820</v>
      </c>
      <c r="D16" s="4" t="s">
        <v>2821</v>
      </c>
      <c r="E16" s="4" t="s">
        <v>2550</v>
      </c>
      <c r="F16" s="4" t="s">
        <v>23</v>
      </c>
      <c r="G16" s="4" t="s">
        <v>2807</v>
      </c>
      <c r="H16" s="4" t="s">
        <v>2822</v>
      </c>
    </row>
    <row r="17" spans="1:8" ht="36" customHeight="1" x14ac:dyDescent="0.35">
      <c r="A17" s="4" t="s">
        <v>2819</v>
      </c>
      <c r="B17" s="4" t="s">
        <v>2740</v>
      </c>
      <c r="C17" s="4" t="s">
        <v>2820</v>
      </c>
      <c r="D17" s="4" t="s">
        <v>2823</v>
      </c>
      <c r="E17" s="4" t="s">
        <v>2824</v>
      </c>
      <c r="F17" s="4" t="s">
        <v>23</v>
      </c>
      <c r="G17" s="4" t="s">
        <v>2825</v>
      </c>
      <c r="H17" s="4" t="s">
        <v>2826</v>
      </c>
    </row>
    <row r="18" spans="1:8" ht="36" customHeight="1" x14ac:dyDescent="0.35">
      <c r="A18" s="4" t="s">
        <v>2585</v>
      </c>
      <c r="B18" s="4" t="s">
        <v>2586</v>
      </c>
      <c r="C18" s="4" t="s">
        <v>2827</v>
      </c>
      <c r="D18" s="4" t="s">
        <v>2828</v>
      </c>
      <c r="E18" s="4" t="s">
        <v>2550</v>
      </c>
      <c r="F18" s="4" t="s">
        <v>2829</v>
      </c>
      <c r="G18" s="4" t="s">
        <v>2830</v>
      </c>
      <c r="H18" s="4" t="s">
        <v>2831</v>
      </c>
    </row>
    <row r="19" spans="1:8" ht="36" customHeight="1" x14ac:dyDescent="0.35">
      <c r="A19" s="4" t="s">
        <v>2592</v>
      </c>
      <c r="B19" s="4" t="s">
        <v>2593</v>
      </c>
      <c r="C19" s="4" t="s">
        <v>2832</v>
      </c>
      <c r="D19" s="4" t="s">
        <v>2595</v>
      </c>
      <c r="E19" s="4"/>
      <c r="F19" s="4" t="s">
        <v>2580</v>
      </c>
      <c r="G19" s="4"/>
      <c r="H19" s="4" t="s">
        <v>2833</v>
      </c>
    </row>
    <row r="20" spans="1:8" ht="36" customHeight="1" x14ac:dyDescent="0.35">
      <c r="A20" s="4" t="s">
        <v>2592</v>
      </c>
      <c r="B20" s="4" t="s">
        <v>2597</v>
      </c>
      <c r="C20" s="4" t="s">
        <v>2834</v>
      </c>
      <c r="D20" s="4" t="s">
        <v>2595</v>
      </c>
      <c r="E20" s="4"/>
      <c r="F20" s="4" t="s">
        <v>2580</v>
      </c>
      <c r="G20" s="4"/>
      <c r="H20" s="4" t="s">
        <v>2835</v>
      </c>
    </row>
    <row r="21" spans="1:8" ht="36" customHeight="1" x14ac:dyDescent="0.35">
      <c r="A21" s="4" t="s">
        <v>2592</v>
      </c>
      <c r="B21" s="4" t="s">
        <v>2600</v>
      </c>
      <c r="C21" s="4" t="s">
        <v>2836</v>
      </c>
      <c r="D21" s="4" t="s">
        <v>2595</v>
      </c>
      <c r="E21" s="4"/>
      <c r="F21" s="4" t="s">
        <v>2837</v>
      </c>
      <c r="G21" s="4" t="s">
        <v>2838</v>
      </c>
      <c r="H21" s="4" t="s">
        <v>2839</v>
      </c>
    </row>
    <row r="22" spans="1:8" ht="36" customHeight="1" x14ac:dyDescent="0.35">
      <c r="A22" s="4" t="s">
        <v>2606</v>
      </c>
      <c r="B22" s="4"/>
      <c r="C22" s="4" t="s">
        <v>2840</v>
      </c>
      <c r="D22" s="4"/>
      <c r="E22" s="4"/>
      <c r="F22" s="4"/>
      <c r="G22" s="4"/>
      <c r="H22" s="4" t="s">
        <v>2608</v>
      </c>
    </row>
  </sheetData>
  <autoFilter ref="A1:H22" xr:uid="{00000000-0009-0000-0000-000016000000}"/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2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0" customWidth="1"/>
    <col min="3" max="3" width="42" customWidth="1"/>
    <col min="4" max="4" width="22" customWidth="1"/>
    <col min="5" max="5" width="12" customWidth="1"/>
    <col min="6" max="6" width="28" customWidth="1"/>
    <col min="7" max="7" width="62" customWidth="1"/>
    <col min="8" max="8" width="55" customWidth="1"/>
  </cols>
  <sheetData>
    <row r="1" spans="1:8" x14ac:dyDescent="0.35">
      <c r="A1" s="3" t="s">
        <v>2467</v>
      </c>
      <c r="B1" s="3" t="s">
        <v>68</v>
      </c>
      <c r="C1" s="3" t="s">
        <v>2468</v>
      </c>
      <c r="D1" s="3" t="s">
        <v>2383</v>
      </c>
      <c r="E1" s="3" t="s">
        <v>174</v>
      </c>
      <c r="F1" s="3" t="s">
        <v>176</v>
      </c>
      <c r="G1" s="3" t="s">
        <v>227</v>
      </c>
      <c r="H1" s="3" t="s">
        <v>233</v>
      </c>
    </row>
    <row r="2" spans="1:8" ht="36" customHeight="1" x14ac:dyDescent="0.35">
      <c r="A2" s="4" t="s">
        <v>2469</v>
      </c>
      <c r="B2" s="4" t="s">
        <v>2331</v>
      </c>
      <c r="C2" s="4" t="s">
        <v>2332</v>
      </c>
      <c r="D2" s="4"/>
      <c r="E2" s="4"/>
      <c r="F2" s="4" t="s">
        <v>2470</v>
      </c>
      <c r="G2" s="4" t="s">
        <v>2471</v>
      </c>
      <c r="H2" s="4" t="s">
        <v>2841</v>
      </c>
    </row>
    <row r="3" spans="1:8" ht="36" customHeight="1" x14ac:dyDescent="0.35">
      <c r="A3" s="4" t="s">
        <v>2437</v>
      </c>
      <c r="B3" s="4" t="s">
        <v>2473</v>
      </c>
      <c r="C3" s="4" t="s">
        <v>2842</v>
      </c>
      <c r="D3" s="4" t="s">
        <v>2843</v>
      </c>
      <c r="E3" s="4" t="s">
        <v>2415</v>
      </c>
      <c r="F3" s="4" t="s">
        <v>2476</v>
      </c>
      <c r="G3" s="4" t="s">
        <v>2844</v>
      </c>
      <c r="H3" s="4" t="s">
        <v>2845</v>
      </c>
    </row>
    <row r="4" spans="1:8" ht="36" customHeight="1" x14ac:dyDescent="0.35">
      <c r="A4" s="4" t="s">
        <v>179</v>
      </c>
      <c r="B4" s="4" t="s">
        <v>2846</v>
      </c>
      <c r="C4" s="4" t="s">
        <v>2847</v>
      </c>
      <c r="D4" s="4" t="s">
        <v>2848</v>
      </c>
      <c r="E4" s="4"/>
      <c r="F4" s="4" t="s">
        <v>2476</v>
      </c>
      <c r="G4" s="4" t="s">
        <v>2849</v>
      </c>
      <c r="H4" s="4" t="s">
        <v>2850</v>
      </c>
    </row>
    <row r="5" spans="1:8" ht="36" customHeight="1" x14ac:dyDescent="0.35">
      <c r="A5" s="4" t="s">
        <v>179</v>
      </c>
      <c r="B5" s="4" t="s">
        <v>2851</v>
      </c>
      <c r="C5" s="4" t="s">
        <v>2852</v>
      </c>
      <c r="D5" s="4" t="s">
        <v>2573</v>
      </c>
      <c r="E5" s="4"/>
      <c r="F5" s="4" t="s">
        <v>2837</v>
      </c>
      <c r="G5" s="4"/>
      <c r="H5" s="4" t="s">
        <v>2853</v>
      </c>
    </row>
    <row r="6" spans="1:8" ht="36" customHeight="1" x14ac:dyDescent="0.35">
      <c r="A6" s="4" t="s">
        <v>179</v>
      </c>
      <c r="B6" s="4" t="s">
        <v>2854</v>
      </c>
      <c r="C6" s="4" t="s">
        <v>2855</v>
      </c>
      <c r="D6" s="4" t="s">
        <v>2573</v>
      </c>
      <c r="E6" s="4"/>
      <c r="F6" s="4" t="s">
        <v>2837</v>
      </c>
      <c r="G6" s="4"/>
      <c r="H6" s="4" t="s">
        <v>2856</v>
      </c>
    </row>
    <row r="7" spans="1:8" ht="36" customHeight="1" x14ac:dyDescent="0.35">
      <c r="A7" s="4" t="s">
        <v>179</v>
      </c>
      <c r="B7" s="4" t="s">
        <v>2857</v>
      </c>
      <c r="C7" s="4" t="s">
        <v>2858</v>
      </c>
      <c r="D7" s="4" t="s">
        <v>2573</v>
      </c>
      <c r="E7" s="4"/>
      <c r="F7" s="4" t="s">
        <v>2837</v>
      </c>
      <c r="G7" s="4"/>
      <c r="H7" s="4" t="s">
        <v>2859</v>
      </c>
    </row>
    <row r="8" spans="1:8" ht="36" customHeight="1" x14ac:dyDescent="0.35">
      <c r="A8" s="11" t="s">
        <v>2860</v>
      </c>
      <c r="B8" s="11" t="s">
        <v>2331</v>
      </c>
      <c r="C8" s="11" t="s">
        <v>2861</v>
      </c>
      <c r="D8" s="11" t="s">
        <v>2573</v>
      </c>
      <c r="E8" s="11"/>
      <c r="F8" s="11" t="s">
        <v>2862</v>
      </c>
      <c r="G8" s="11"/>
      <c r="H8" s="11" t="s">
        <v>2863</v>
      </c>
    </row>
    <row r="9" spans="1:8" ht="36" customHeight="1" x14ac:dyDescent="0.35">
      <c r="A9" s="4" t="s">
        <v>2864</v>
      </c>
      <c r="B9" s="4" t="s">
        <v>2586</v>
      </c>
      <c r="C9" s="4" t="s">
        <v>2865</v>
      </c>
      <c r="D9" s="4" t="s">
        <v>2866</v>
      </c>
      <c r="E9" s="4" t="s">
        <v>2867</v>
      </c>
      <c r="F9" s="4" t="s">
        <v>23</v>
      </c>
      <c r="G9" s="4" t="s">
        <v>2466</v>
      </c>
      <c r="H9" s="4" t="s">
        <v>2868</v>
      </c>
    </row>
    <row r="10" spans="1:8" ht="36" customHeight="1" x14ac:dyDescent="0.35">
      <c r="A10" s="4" t="s">
        <v>2864</v>
      </c>
      <c r="B10" s="4" t="s">
        <v>2682</v>
      </c>
      <c r="C10" s="4" t="s">
        <v>2869</v>
      </c>
      <c r="D10" s="4" t="s">
        <v>2870</v>
      </c>
      <c r="E10" s="4" t="s">
        <v>2871</v>
      </c>
      <c r="F10" s="4" t="s">
        <v>23</v>
      </c>
      <c r="G10" s="4" t="s">
        <v>2872</v>
      </c>
      <c r="H10" s="4" t="s">
        <v>2873</v>
      </c>
    </row>
    <row r="11" spans="1:8" ht="36" customHeight="1" x14ac:dyDescent="0.35">
      <c r="A11" s="4" t="s">
        <v>2864</v>
      </c>
      <c r="B11" s="4" t="s">
        <v>2685</v>
      </c>
      <c r="C11" s="4" t="s">
        <v>2874</v>
      </c>
      <c r="D11" s="4" t="s">
        <v>2875</v>
      </c>
      <c r="E11" s="4" t="s">
        <v>2876</v>
      </c>
      <c r="F11" s="4" t="s">
        <v>23</v>
      </c>
      <c r="G11" s="4" t="s">
        <v>2877</v>
      </c>
      <c r="H11" s="4" t="s">
        <v>2878</v>
      </c>
    </row>
    <row r="12" spans="1:8" ht="36" customHeight="1" x14ac:dyDescent="0.35">
      <c r="A12" s="4" t="s">
        <v>2864</v>
      </c>
      <c r="B12" s="4" t="s">
        <v>2688</v>
      </c>
      <c r="C12" s="4" t="s">
        <v>2879</v>
      </c>
      <c r="D12" s="4" t="s">
        <v>2880</v>
      </c>
      <c r="E12" s="4" t="s">
        <v>2867</v>
      </c>
      <c r="F12" s="4" t="s">
        <v>23</v>
      </c>
      <c r="G12" s="4" t="s">
        <v>2466</v>
      </c>
      <c r="H12" s="4" t="s">
        <v>2881</v>
      </c>
    </row>
    <row r="13" spans="1:8" ht="36" customHeight="1" x14ac:dyDescent="0.35">
      <c r="A13" s="11" t="s">
        <v>2882</v>
      </c>
      <c r="B13" s="11" t="s">
        <v>2560</v>
      </c>
      <c r="C13" s="11" t="s">
        <v>2883</v>
      </c>
      <c r="D13" s="11" t="s">
        <v>2884</v>
      </c>
      <c r="E13" s="11"/>
      <c r="F13" s="11" t="s">
        <v>2837</v>
      </c>
      <c r="G13" s="11"/>
      <c r="H13" s="11" t="s">
        <v>2885</v>
      </c>
    </row>
    <row r="14" spans="1:8" ht="36" customHeight="1" x14ac:dyDescent="0.35">
      <c r="A14" s="11" t="s">
        <v>2882</v>
      </c>
      <c r="B14" s="11" t="s">
        <v>2668</v>
      </c>
      <c r="C14" s="11" t="s">
        <v>2886</v>
      </c>
      <c r="D14" s="11" t="s">
        <v>2884</v>
      </c>
      <c r="E14" s="11"/>
      <c r="F14" s="11" t="s">
        <v>2837</v>
      </c>
      <c r="G14" s="11"/>
      <c r="H14" s="11" t="s">
        <v>2887</v>
      </c>
    </row>
    <row r="15" spans="1:8" ht="36" customHeight="1" x14ac:dyDescent="0.35">
      <c r="A15" s="11" t="s">
        <v>2882</v>
      </c>
      <c r="B15" s="11" t="s">
        <v>2740</v>
      </c>
      <c r="C15" s="11" t="s">
        <v>2888</v>
      </c>
      <c r="D15" s="11" t="s">
        <v>2884</v>
      </c>
      <c r="E15" s="11"/>
      <c r="F15" s="11" t="s">
        <v>2837</v>
      </c>
      <c r="G15" s="11"/>
      <c r="H15" s="11" t="s">
        <v>2889</v>
      </c>
    </row>
    <row r="16" spans="1:8" ht="36" customHeight="1" x14ac:dyDescent="0.35">
      <c r="A16" s="11" t="s">
        <v>2882</v>
      </c>
      <c r="B16" s="11" t="s">
        <v>2890</v>
      </c>
      <c r="C16" s="11" t="s">
        <v>2891</v>
      </c>
      <c r="D16" s="11" t="s">
        <v>2884</v>
      </c>
      <c r="E16" s="11"/>
      <c r="F16" s="11" t="s">
        <v>2837</v>
      </c>
      <c r="G16" s="11"/>
      <c r="H16" s="11" t="s">
        <v>2892</v>
      </c>
    </row>
    <row r="17" spans="1:8" ht="36" customHeight="1" x14ac:dyDescent="0.35">
      <c r="A17" s="11" t="s">
        <v>2882</v>
      </c>
      <c r="B17" s="11" t="s">
        <v>2893</v>
      </c>
      <c r="C17" s="11" t="s">
        <v>2894</v>
      </c>
      <c r="D17" s="11" t="s">
        <v>2884</v>
      </c>
      <c r="E17" s="11"/>
      <c r="F17" s="11" t="s">
        <v>2837</v>
      </c>
      <c r="G17" s="11"/>
      <c r="H17" s="11" t="s">
        <v>2895</v>
      </c>
    </row>
    <row r="18" spans="1:8" ht="36" customHeight="1" x14ac:dyDescent="0.35">
      <c r="A18" s="11" t="s">
        <v>2882</v>
      </c>
      <c r="B18" s="11" t="s">
        <v>2896</v>
      </c>
      <c r="C18" s="11" t="s">
        <v>2897</v>
      </c>
      <c r="D18" s="11" t="s">
        <v>2884</v>
      </c>
      <c r="E18" s="11"/>
      <c r="F18" s="11" t="s">
        <v>2837</v>
      </c>
      <c r="G18" s="11"/>
      <c r="H18" s="11" t="s">
        <v>2898</v>
      </c>
    </row>
    <row r="19" spans="1:8" ht="36" customHeight="1" x14ac:dyDescent="0.35">
      <c r="A19" s="4" t="s">
        <v>2592</v>
      </c>
      <c r="B19" s="4" t="s">
        <v>2593</v>
      </c>
      <c r="C19" s="4" t="s">
        <v>2899</v>
      </c>
      <c r="D19" s="4" t="s">
        <v>2595</v>
      </c>
      <c r="E19" s="4"/>
      <c r="F19" s="4" t="s">
        <v>2580</v>
      </c>
      <c r="G19" s="4"/>
      <c r="H19" s="4" t="s">
        <v>2900</v>
      </c>
    </row>
    <row r="20" spans="1:8" ht="36" customHeight="1" x14ac:dyDescent="0.35">
      <c r="A20" s="4" t="s">
        <v>2592</v>
      </c>
      <c r="B20" s="4" t="s">
        <v>2597</v>
      </c>
      <c r="C20" s="4" t="s">
        <v>2901</v>
      </c>
      <c r="D20" s="4" t="s">
        <v>2595</v>
      </c>
      <c r="E20" s="4"/>
      <c r="F20" s="4" t="s">
        <v>2580</v>
      </c>
      <c r="G20" s="4"/>
      <c r="H20" s="4" t="s">
        <v>2902</v>
      </c>
    </row>
    <row r="21" spans="1:8" ht="36" customHeight="1" x14ac:dyDescent="0.35">
      <c r="A21" s="4" t="s">
        <v>2592</v>
      </c>
      <c r="B21" s="4" t="s">
        <v>2600</v>
      </c>
      <c r="C21" s="4" t="s">
        <v>2903</v>
      </c>
      <c r="D21" s="4" t="s">
        <v>2595</v>
      </c>
      <c r="E21" s="4"/>
      <c r="F21" s="4" t="s">
        <v>2580</v>
      </c>
      <c r="G21" s="4"/>
      <c r="H21" s="4" t="s">
        <v>2904</v>
      </c>
    </row>
    <row r="22" spans="1:8" ht="36" customHeight="1" x14ac:dyDescent="0.35">
      <c r="A22" s="4" t="s">
        <v>2592</v>
      </c>
      <c r="B22" s="4" t="s">
        <v>2603</v>
      </c>
      <c r="C22" s="4" t="s">
        <v>2905</v>
      </c>
      <c r="D22" s="4" t="s">
        <v>2906</v>
      </c>
      <c r="E22" s="4"/>
      <c r="F22" s="4" t="s">
        <v>2907</v>
      </c>
      <c r="G22" s="4"/>
      <c r="H22" s="4" t="s">
        <v>2908</v>
      </c>
    </row>
    <row r="23" spans="1:8" ht="36" customHeight="1" x14ac:dyDescent="0.35">
      <c r="A23" s="4" t="s">
        <v>2606</v>
      </c>
      <c r="B23" s="4"/>
      <c r="C23" s="4" t="s">
        <v>2909</v>
      </c>
      <c r="D23" s="4"/>
      <c r="E23" s="4"/>
      <c r="F23" s="4"/>
      <c r="G23" s="4"/>
      <c r="H23" s="4" t="s">
        <v>2608</v>
      </c>
    </row>
  </sheetData>
  <autoFilter ref="A1:H23" xr:uid="{00000000-0009-0000-0000-000017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6" customWidth="1"/>
    <col min="2" max="2" width="10" customWidth="1"/>
    <col min="3" max="3" width="22" customWidth="1"/>
    <col min="4" max="4" width="26" customWidth="1"/>
    <col min="5" max="5" width="48" customWidth="1"/>
    <col min="6" max="6" width="14" customWidth="1"/>
    <col min="7" max="7" width="28" customWidth="1"/>
    <col min="8" max="8" width="10" customWidth="1"/>
    <col min="9" max="9" width="16" customWidth="1"/>
    <col min="10" max="10" width="36" customWidth="1"/>
    <col min="11" max="11" width="62" customWidth="1"/>
    <col min="12" max="12" width="55" customWidth="1"/>
  </cols>
  <sheetData>
    <row r="1" spans="1:12" x14ac:dyDescent="0.35">
      <c r="A1" s="3" t="s">
        <v>2910</v>
      </c>
      <c r="B1" s="3" t="s">
        <v>2911</v>
      </c>
      <c r="C1" s="3" t="s">
        <v>2912</v>
      </c>
      <c r="D1" s="3" t="s">
        <v>2913</v>
      </c>
      <c r="E1" s="3" t="s">
        <v>2914</v>
      </c>
      <c r="F1" s="3" t="s">
        <v>2383</v>
      </c>
      <c r="G1" s="3" t="s">
        <v>2489</v>
      </c>
      <c r="H1" s="3" t="s">
        <v>174</v>
      </c>
      <c r="I1" s="3" t="s">
        <v>176</v>
      </c>
      <c r="J1" s="3" t="s">
        <v>2915</v>
      </c>
      <c r="K1" s="3" t="s">
        <v>227</v>
      </c>
      <c r="L1" s="3" t="s">
        <v>2916</v>
      </c>
    </row>
    <row r="2" spans="1:12" ht="32" customHeight="1" x14ac:dyDescent="0.35">
      <c r="A2" s="4" t="s">
        <v>2917</v>
      </c>
      <c r="B2" s="4" t="s">
        <v>2707</v>
      </c>
      <c r="C2" s="4" t="s">
        <v>2918</v>
      </c>
      <c r="D2" s="4" t="s">
        <v>2919</v>
      </c>
      <c r="E2" s="4" t="s">
        <v>2920</v>
      </c>
      <c r="F2" s="4" t="s">
        <v>2921</v>
      </c>
      <c r="G2" s="4" t="s">
        <v>2922</v>
      </c>
      <c r="H2" s="4" t="s">
        <v>2550</v>
      </c>
      <c r="I2" s="4" t="s">
        <v>23</v>
      </c>
      <c r="J2" s="4" t="s">
        <v>2923</v>
      </c>
      <c r="K2" s="4" t="s">
        <v>2551</v>
      </c>
      <c r="L2" s="4" t="s">
        <v>2924</v>
      </c>
    </row>
    <row r="3" spans="1:12" ht="32" customHeight="1" x14ac:dyDescent="0.35">
      <c r="A3" s="4" t="s">
        <v>2917</v>
      </c>
      <c r="B3" s="4" t="s">
        <v>2650</v>
      </c>
      <c r="C3" s="4" t="s">
        <v>2918</v>
      </c>
      <c r="D3" s="4" t="s">
        <v>2925</v>
      </c>
      <c r="E3" s="4" t="s">
        <v>2926</v>
      </c>
      <c r="F3" s="4" t="s">
        <v>2927</v>
      </c>
      <c r="G3" s="4" t="s">
        <v>2928</v>
      </c>
      <c r="H3" s="4" t="s">
        <v>2550</v>
      </c>
      <c r="I3" s="4" t="s">
        <v>23</v>
      </c>
      <c r="J3" s="4" t="s">
        <v>2923</v>
      </c>
      <c r="K3" s="4" t="s">
        <v>2551</v>
      </c>
      <c r="L3" s="4" t="s">
        <v>2929</v>
      </c>
    </row>
    <row r="4" spans="1:12" ht="32" customHeight="1" x14ac:dyDescent="0.35">
      <c r="A4" s="4" t="s">
        <v>2917</v>
      </c>
      <c r="B4" s="4" t="s">
        <v>2492</v>
      </c>
      <c r="C4" s="4" t="s">
        <v>2918</v>
      </c>
      <c r="D4" s="4" t="s">
        <v>2930</v>
      </c>
      <c r="E4" s="4" t="s">
        <v>2802</v>
      </c>
      <c r="F4" s="4" t="s">
        <v>2931</v>
      </c>
      <c r="G4" s="4" t="s">
        <v>2928</v>
      </c>
      <c r="H4" s="4" t="s">
        <v>2550</v>
      </c>
      <c r="I4" s="4" t="s">
        <v>23</v>
      </c>
      <c r="J4" s="4" t="s">
        <v>2923</v>
      </c>
      <c r="K4" s="4" t="s">
        <v>2551</v>
      </c>
      <c r="L4" s="4" t="s">
        <v>2932</v>
      </c>
    </row>
    <row r="5" spans="1:12" ht="32" customHeight="1" x14ac:dyDescent="0.35">
      <c r="A5" s="4" t="s">
        <v>2917</v>
      </c>
      <c r="B5" s="4" t="s">
        <v>2498</v>
      </c>
      <c r="C5" s="4" t="s">
        <v>2918</v>
      </c>
      <c r="D5" s="4" t="s">
        <v>2933</v>
      </c>
      <c r="E5" s="4" t="s">
        <v>2934</v>
      </c>
      <c r="F5" s="4" t="s">
        <v>2935</v>
      </c>
      <c r="G5" s="4" t="s">
        <v>2936</v>
      </c>
      <c r="H5" s="4" t="s">
        <v>2550</v>
      </c>
      <c r="I5" s="4" t="s">
        <v>23</v>
      </c>
      <c r="J5" s="4" t="s">
        <v>2923</v>
      </c>
      <c r="K5" s="4" t="s">
        <v>2551</v>
      </c>
      <c r="L5" s="4" t="s">
        <v>2937</v>
      </c>
    </row>
    <row r="6" spans="1:12" ht="32" customHeight="1" x14ac:dyDescent="0.35">
      <c r="A6" s="4" t="s">
        <v>2917</v>
      </c>
      <c r="B6" s="4" t="s">
        <v>2639</v>
      </c>
      <c r="C6" s="4" t="s">
        <v>2918</v>
      </c>
      <c r="D6" s="4" t="s">
        <v>2933</v>
      </c>
      <c r="E6" s="4" t="s">
        <v>2938</v>
      </c>
      <c r="F6" s="4" t="s">
        <v>2939</v>
      </c>
      <c r="G6" s="4" t="s">
        <v>2936</v>
      </c>
      <c r="H6" s="4" t="s">
        <v>2550</v>
      </c>
      <c r="I6" s="4" t="s">
        <v>23</v>
      </c>
      <c r="J6" s="4" t="s">
        <v>2923</v>
      </c>
      <c r="K6" s="4" t="s">
        <v>2551</v>
      </c>
      <c r="L6" s="4" t="s">
        <v>2940</v>
      </c>
    </row>
    <row r="7" spans="1:12" ht="32" customHeight="1" x14ac:dyDescent="0.35">
      <c r="A7" s="4" t="s">
        <v>2917</v>
      </c>
      <c r="B7" s="4" t="s">
        <v>2519</v>
      </c>
      <c r="C7" s="4" t="s">
        <v>2941</v>
      </c>
      <c r="D7" s="4" t="s">
        <v>2942</v>
      </c>
      <c r="E7" s="4" t="s">
        <v>2805</v>
      </c>
      <c r="F7" s="4" t="s">
        <v>2943</v>
      </c>
      <c r="G7" s="4" t="s">
        <v>2944</v>
      </c>
      <c r="H7" s="4" t="s">
        <v>2550</v>
      </c>
      <c r="I7" s="4" t="s">
        <v>23</v>
      </c>
      <c r="J7" s="4" t="s">
        <v>2945</v>
      </c>
      <c r="K7" s="4" t="s">
        <v>2807</v>
      </c>
      <c r="L7" s="4" t="s">
        <v>2946</v>
      </c>
    </row>
    <row r="8" spans="1:12" ht="32" customHeight="1" x14ac:dyDescent="0.35">
      <c r="A8" s="4" t="s">
        <v>2917</v>
      </c>
      <c r="B8" s="4" t="s">
        <v>2523</v>
      </c>
      <c r="C8" s="4" t="s">
        <v>2941</v>
      </c>
      <c r="D8" s="4" t="s">
        <v>2942</v>
      </c>
      <c r="E8" s="4" t="s">
        <v>2947</v>
      </c>
      <c r="F8" s="4" t="s">
        <v>2939</v>
      </c>
      <c r="G8" s="4" t="s">
        <v>2944</v>
      </c>
      <c r="H8" s="4" t="s">
        <v>2793</v>
      </c>
      <c r="I8" s="4" t="s">
        <v>23</v>
      </c>
      <c r="J8" s="4" t="s">
        <v>2948</v>
      </c>
      <c r="K8" s="4" t="s">
        <v>2461</v>
      </c>
      <c r="L8" s="4" t="s">
        <v>2949</v>
      </c>
    </row>
    <row r="9" spans="1:12" ht="32" customHeight="1" x14ac:dyDescent="0.35">
      <c r="A9" s="4" t="s">
        <v>2917</v>
      </c>
      <c r="B9" s="4" t="s">
        <v>2528</v>
      </c>
      <c r="C9" s="4" t="s">
        <v>2941</v>
      </c>
      <c r="D9" s="4" t="s">
        <v>2942</v>
      </c>
      <c r="E9" s="4" t="s">
        <v>2950</v>
      </c>
      <c r="F9" s="4" t="s">
        <v>2722</v>
      </c>
      <c r="G9" s="4" t="s">
        <v>2944</v>
      </c>
      <c r="H9" s="4" t="s">
        <v>2793</v>
      </c>
      <c r="I9" s="4" t="s">
        <v>23</v>
      </c>
      <c r="J9" s="4" t="s">
        <v>2948</v>
      </c>
      <c r="K9" s="4" t="s">
        <v>2461</v>
      </c>
      <c r="L9" s="4" t="s">
        <v>2951</v>
      </c>
    </row>
    <row r="10" spans="1:12" ht="32" customHeight="1" x14ac:dyDescent="0.35">
      <c r="A10" s="4" t="s">
        <v>2917</v>
      </c>
      <c r="B10" s="4" t="s">
        <v>2534</v>
      </c>
      <c r="C10" s="4" t="s">
        <v>2941</v>
      </c>
      <c r="D10" s="4" t="s">
        <v>2952</v>
      </c>
      <c r="E10" s="4" t="s">
        <v>2953</v>
      </c>
      <c r="F10" s="4" t="s">
        <v>2954</v>
      </c>
      <c r="G10" s="4" t="s">
        <v>2955</v>
      </c>
      <c r="H10" s="4" t="s">
        <v>2550</v>
      </c>
      <c r="I10" s="4" t="s">
        <v>23</v>
      </c>
      <c r="J10" s="4" t="s">
        <v>2956</v>
      </c>
      <c r="K10" s="4" t="s">
        <v>2957</v>
      </c>
      <c r="L10" s="4" t="s">
        <v>2958</v>
      </c>
    </row>
    <row r="11" spans="1:12" ht="32" customHeight="1" x14ac:dyDescent="0.35">
      <c r="A11" s="4" t="s">
        <v>2917</v>
      </c>
      <c r="B11" s="4" t="s">
        <v>2538</v>
      </c>
      <c r="C11" s="4" t="s">
        <v>2941</v>
      </c>
      <c r="D11" s="4" t="s">
        <v>2952</v>
      </c>
      <c r="E11" s="4" t="s">
        <v>2959</v>
      </c>
      <c r="F11" s="4" t="s">
        <v>2960</v>
      </c>
      <c r="G11" s="4" t="s">
        <v>2955</v>
      </c>
      <c r="H11" s="4" t="s">
        <v>2550</v>
      </c>
      <c r="I11" s="4" t="s">
        <v>23</v>
      </c>
      <c r="J11" s="4" t="s">
        <v>2961</v>
      </c>
      <c r="K11" s="4" t="s">
        <v>2957</v>
      </c>
      <c r="L11" s="4" t="s">
        <v>2962</v>
      </c>
    </row>
    <row r="12" spans="1:12" ht="32" customHeight="1" x14ac:dyDescent="0.35">
      <c r="A12" s="4" t="s">
        <v>2917</v>
      </c>
      <c r="B12" s="4" t="s">
        <v>2542</v>
      </c>
      <c r="C12" s="4" t="s">
        <v>2941</v>
      </c>
      <c r="D12" s="4" t="s">
        <v>2952</v>
      </c>
      <c r="E12" s="4" t="s">
        <v>2963</v>
      </c>
      <c r="F12" s="4" t="s">
        <v>2964</v>
      </c>
      <c r="G12" s="4" t="s">
        <v>2955</v>
      </c>
      <c r="H12" s="4" t="s">
        <v>2550</v>
      </c>
      <c r="I12" s="4" t="s">
        <v>23</v>
      </c>
      <c r="J12" s="4" t="s">
        <v>2961</v>
      </c>
      <c r="K12" s="4" t="s">
        <v>2957</v>
      </c>
      <c r="L12" s="4" t="s">
        <v>2962</v>
      </c>
    </row>
    <row r="13" spans="1:12" ht="32" customHeight="1" x14ac:dyDescent="0.35">
      <c r="A13" s="4" t="s">
        <v>2917</v>
      </c>
      <c r="B13" s="4" t="s">
        <v>2965</v>
      </c>
      <c r="C13" s="4" t="s">
        <v>2966</v>
      </c>
      <c r="D13" s="4" t="s">
        <v>2942</v>
      </c>
      <c r="E13" s="4" t="s">
        <v>2967</v>
      </c>
      <c r="F13" s="4" t="s">
        <v>2968</v>
      </c>
      <c r="G13" s="4" t="s">
        <v>2969</v>
      </c>
      <c r="H13" s="4" t="s">
        <v>2550</v>
      </c>
      <c r="I13" s="4" t="s">
        <v>23</v>
      </c>
      <c r="J13" s="4" t="s">
        <v>2970</v>
      </c>
      <c r="K13" s="4" t="s">
        <v>2971</v>
      </c>
      <c r="L13" s="4" t="s">
        <v>2972</v>
      </c>
    </row>
    <row r="14" spans="1:12" ht="32" customHeight="1" x14ac:dyDescent="0.35">
      <c r="A14" s="4" t="s">
        <v>2917</v>
      </c>
      <c r="B14" s="4" t="s">
        <v>2973</v>
      </c>
      <c r="C14" s="4" t="s">
        <v>2966</v>
      </c>
      <c r="D14" s="4" t="s">
        <v>2974</v>
      </c>
      <c r="E14" s="4" t="s">
        <v>2975</v>
      </c>
      <c r="F14" s="4" t="s">
        <v>2976</v>
      </c>
      <c r="G14" s="4" t="s">
        <v>2977</v>
      </c>
      <c r="H14" s="4" t="s">
        <v>2550</v>
      </c>
      <c r="I14" s="4" t="s">
        <v>23</v>
      </c>
      <c r="J14" s="4" t="s">
        <v>2978</v>
      </c>
      <c r="K14" s="4" t="s">
        <v>2971</v>
      </c>
      <c r="L14" s="4" t="s">
        <v>2979</v>
      </c>
    </row>
    <row r="15" spans="1:12" ht="32" customHeight="1" x14ac:dyDescent="0.35">
      <c r="A15" s="4" t="s">
        <v>2917</v>
      </c>
      <c r="B15" s="4" t="s">
        <v>2980</v>
      </c>
      <c r="C15" s="4" t="s">
        <v>2981</v>
      </c>
      <c r="D15" s="4" t="s">
        <v>2942</v>
      </c>
      <c r="E15" s="4" t="s">
        <v>2982</v>
      </c>
      <c r="F15" s="4" t="s">
        <v>2983</v>
      </c>
      <c r="G15" s="4" t="s">
        <v>2944</v>
      </c>
      <c r="H15" s="4" t="s">
        <v>2152</v>
      </c>
      <c r="I15" s="4" t="s">
        <v>23</v>
      </c>
      <c r="J15" s="4" t="s">
        <v>2984</v>
      </c>
      <c r="K15" s="4" t="s">
        <v>2985</v>
      </c>
      <c r="L15" s="4" t="s">
        <v>2986</v>
      </c>
    </row>
    <row r="16" spans="1:12" ht="32" customHeight="1" x14ac:dyDescent="0.35">
      <c r="A16" s="4" t="s">
        <v>2917</v>
      </c>
      <c r="B16" s="4" t="s">
        <v>2987</v>
      </c>
      <c r="C16" s="4" t="s">
        <v>2981</v>
      </c>
      <c r="D16" s="4" t="s">
        <v>2988</v>
      </c>
      <c r="E16" s="4" t="s">
        <v>2989</v>
      </c>
      <c r="F16" s="4" t="s">
        <v>2990</v>
      </c>
      <c r="G16" s="4" t="s">
        <v>2991</v>
      </c>
      <c r="H16" s="4" t="s">
        <v>2152</v>
      </c>
      <c r="I16" s="4" t="s">
        <v>23</v>
      </c>
      <c r="J16" s="4" t="s">
        <v>2992</v>
      </c>
      <c r="K16" s="4" t="s">
        <v>2985</v>
      </c>
      <c r="L16" s="4" t="s">
        <v>2993</v>
      </c>
    </row>
    <row r="17" spans="1:12" ht="32" customHeight="1" x14ac:dyDescent="0.35">
      <c r="A17" s="4" t="s">
        <v>2917</v>
      </c>
      <c r="B17" s="4" t="s">
        <v>2994</v>
      </c>
      <c r="C17" s="4" t="s">
        <v>2981</v>
      </c>
      <c r="D17" s="4" t="s">
        <v>2942</v>
      </c>
      <c r="E17" s="4" t="s">
        <v>2995</v>
      </c>
      <c r="F17" s="4" t="s">
        <v>2996</v>
      </c>
      <c r="G17" s="4" t="s">
        <v>2944</v>
      </c>
      <c r="H17" s="4" t="s">
        <v>2152</v>
      </c>
      <c r="I17" s="4" t="s">
        <v>23</v>
      </c>
      <c r="J17" s="4" t="s">
        <v>2992</v>
      </c>
      <c r="K17" s="4" t="s">
        <v>2985</v>
      </c>
      <c r="L17" s="4" t="s">
        <v>2997</v>
      </c>
    </row>
    <row r="18" spans="1:12" ht="32" customHeight="1" x14ac:dyDescent="0.35">
      <c r="A18" s="4" t="s">
        <v>2917</v>
      </c>
      <c r="B18" s="4" t="s">
        <v>2998</v>
      </c>
      <c r="C18" s="4" t="s">
        <v>2981</v>
      </c>
      <c r="D18" s="4" t="s">
        <v>2952</v>
      </c>
      <c r="E18" s="4" t="s">
        <v>2999</v>
      </c>
      <c r="F18" s="4" t="s">
        <v>3000</v>
      </c>
      <c r="G18" s="4" t="s">
        <v>2991</v>
      </c>
      <c r="H18" s="4" t="s">
        <v>2152</v>
      </c>
      <c r="I18" s="4" t="s">
        <v>23</v>
      </c>
      <c r="J18" s="4" t="s">
        <v>2992</v>
      </c>
      <c r="K18" s="4" t="s">
        <v>2985</v>
      </c>
      <c r="L18" s="4" t="s">
        <v>2962</v>
      </c>
    </row>
    <row r="19" spans="1:12" ht="32" customHeight="1" x14ac:dyDescent="0.35">
      <c r="A19" s="4" t="s">
        <v>2917</v>
      </c>
      <c r="B19" s="4" t="s">
        <v>2547</v>
      </c>
      <c r="C19" s="4" t="s">
        <v>3001</v>
      </c>
      <c r="D19" s="4" t="s">
        <v>2942</v>
      </c>
      <c r="E19" s="4" t="s">
        <v>3002</v>
      </c>
      <c r="F19" s="4" t="s">
        <v>3003</v>
      </c>
      <c r="G19" s="4" t="s">
        <v>2944</v>
      </c>
      <c r="H19" s="4" t="s">
        <v>2550</v>
      </c>
      <c r="I19" s="4" t="s">
        <v>23</v>
      </c>
      <c r="J19" s="4" t="s">
        <v>2948</v>
      </c>
      <c r="K19" s="4" t="s">
        <v>2807</v>
      </c>
      <c r="L19" s="4" t="s">
        <v>3004</v>
      </c>
    </row>
    <row r="20" spans="1:12" ht="32" customHeight="1" x14ac:dyDescent="0.35">
      <c r="A20" s="4" t="s">
        <v>2917</v>
      </c>
      <c r="B20" s="4" t="s">
        <v>2727</v>
      </c>
      <c r="C20" s="4" t="s">
        <v>3001</v>
      </c>
      <c r="D20" s="4" t="s">
        <v>2942</v>
      </c>
      <c r="E20" s="4" t="s">
        <v>3005</v>
      </c>
      <c r="F20" s="4" t="s">
        <v>3006</v>
      </c>
      <c r="G20" s="4" t="s">
        <v>3007</v>
      </c>
      <c r="H20" s="4" t="s">
        <v>2151</v>
      </c>
      <c r="I20" s="4" t="s">
        <v>23</v>
      </c>
      <c r="J20" s="4" t="s">
        <v>3008</v>
      </c>
      <c r="K20" s="4" t="s">
        <v>3009</v>
      </c>
      <c r="L20" s="4" t="s">
        <v>3010</v>
      </c>
    </row>
    <row r="21" spans="1:12" ht="32" customHeight="1" x14ac:dyDescent="0.35">
      <c r="A21" s="4" t="s">
        <v>2917</v>
      </c>
      <c r="B21" s="4" t="s">
        <v>2513</v>
      </c>
      <c r="C21" s="4" t="s">
        <v>3001</v>
      </c>
      <c r="D21" s="4" t="s">
        <v>2942</v>
      </c>
      <c r="E21" s="4" t="s">
        <v>3011</v>
      </c>
      <c r="F21" s="4" t="s">
        <v>2722</v>
      </c>
      <c r="G21" s="4" t="s">
        <v>3007</v>
      </c>
      <c r="H21" s="4" t="s">
        <v>2151</v>
      </c>
      <c r="I21" s="4" t="s">
        <v>23</v>
      </c>
      <c r="J21" s="4" t="s">
        <v>2948</v>
      </c>
      <c r="K21" s="4" t="s">
        <v>3012</v>
      </c>
      <c r="L21" s="4" t="s">
        <v>3013</v>
      </c>
    </row>
    <row r="22" spans="1:12" ht="32" customHeight="1" x14ac:dyDescent="0.35">
      <c r="A22" s="4" t="s">
        <v>2917</v>
      </c>
      <c r="B22" s="4" t="s">
        <v>2508</v>
      </c>
      <c r="C22" s="4" t="s">
        <v>3001</v>
      </c>
      <c r="D22" s="4" t="s">
        <v>2942</v>
      </c>
      <c r="E22" s="4" t="s">
        <v>3014</v>
      </c>
      <c r="F22" s="4" t="s">
        <v>3003</v>
      </c>
      <c r="G22" s="4" t="s">
        <v>2944</v>
      </c>
      <c r="H22" s="4" t="s">
        <v>2793</v>
      </c>
      <c r="I22" s="4" t="s">
        <v>23</v>
      </c>
      <c r="J22" s="4" t="s">
        <v>2948</v>
      </c>
      <c r="K22" s="4" t="s">
        <v>2461</v>
      </c>
      <c r="L22" s="4" t="s">
        <v>3015</v>
      </c>
    </row>
    <row r="23" spans="1:12" ht="32" customHeight="1" x14ac:dyDescent="0.35">
      <c r="A23" s="4" t="s">
        <v>2917</v>
      </c>
      <c r="B23" s="4" t="s">
        <v>2560</v>
      </c>
      <c r="C23" s="4" t="s">
        <v>3016</v>
      </c>
      <c r="D23" s="4" t="s">
        <v>2942</v>
      </c>
      <c r="E23" s="4" t="s">
        <v>3017</v>
      </c>
      <c r="F23" s="4" t="s">
        <v>3018</v>
      </c>
      <c r="G23" s="4" t="s">
        <v>2944</v>
      </c>
      <c r="H23" s="4" t="s">
        <v>2793</v>
      </c>
      <c r="I23" s="4" t="s">
        <v>23</v>
      </c>
      <c r="J23" s="4" t="s">
        <v>2948</v>
      </c>
      <c r="K23" s="4" t="s">
        <v>2461</v>
      </c>
      <c r="L23" s="4" t="s">
        <v>3019</v>
      </c>
    </row>
    <row r="24" spans="1:12" ht="32" customHeight="1" x14ac:dyDescent="0.35">
      <c r="A24" s="4" t="s">
        <v>2917</v>
      </c>
      <c r="B24" s="4" t="s">
        <v>2668</v>
      </c>
      <c r="C24" s="4" t="s">
        <v>3016</v>
      </c>
      <c r="D24" s="4" t="s">
        <v>3020</v>
      </c>
      <c r="E24" s="4" t="s">
        <v>3021</v>
      </c>
      <c r="F24" s="4" t="s">
        <v>3022</v>
      </c>
      <c r="G24" s="4" t="s">
        <v>2944</v>
      </c>
      <c r="H24" s="4" t="s">
        <v>2550</v>
      </c>
      <c r="I24" s="4" t="s">
        <v>23</v>
      </c>
      <c r="J24" s="4" t="s">
        <v>2948</v>
      </c>
      <c r="K24" s="4" t="s">
        <v>2807</v>
      </c>
      <c r="L24" s="4" t="s">
        <v>3023</v>
      </c>
    </row>
    <row r="25" spans="1:12" ht="32" customHeight="1" x14ac:dyDescent="0.35">
      <c r="A25" s="4" t="s">
        <v>2917</v>
      </c>
      <c r="B25" s="4" t="s">
        <v>2740</v>
      </c>
      <c r="C25" s="4" t="s">
        <v>3016</v>
      </c>
      <c r="D25" s="4" t="s">
        <v>3020</v>
      </c>
      <c r="E25" s="4" t="s">
        <v>3021</v>
      </c>
      <c r="F25" s="4" t="s">
        <v>3024</v>
      </c>
      <c r="G25" s="4" t="s">
        <v>2944</v>
      </c>
      <c r="H25" s="4" t="s">
        <v>2824</v>
      </c>
      <c r="I25" s="4" t="s">
        <v>23</v>
      </c>
      <c r="J25" s="4" t="s">
        <v>2948</v>
      </c>
      <c r="K25" s="4" t="s">
        <v>2825</v>
      </c>
      <c r="L25" s="4" t="s">
        <v>3025</v>
      </c>
    </row>
    <row r="26" spans="1:12" ht="32" customHeight="1" x14ac:dyDescent="0.35">
      <c r="A26" s="4" t="s">
        <v>2917</v>
      </c>
      <c r="B26" s="4" t="s">
        <v>2565</v>
      </c>
      <c r="C26" s="4" t="s">
        <v>3026</v>
      </c>
      <c r="D26" s="4" t="s">
        <v>2942</v>
      </c>
      <c r="E26" s="4" t="s">
        <v>2809</v>
      </c>
      <c r="F26" s="4" t="s">
        <v>3027</v>
      </c>
      <c r="G26" s="4" t="s">
        <v>2944</v>
      </c>
      <c r="H26" s="4" t="s">
        <v>2550</v>
      </c>
      <c r="I26" s="4" t="s">
        <v>23</v>
      </c>
      <c r="J26" s="4" t="s">
        <v>2948</v>
      </c>
      <c r="K26" s="4" t="s">
        <v>2811</v>
      </c>
      <c r="L26" s="4" t="s">
        <v>3028</v>
      </c>
    </row>
    <row r="27" spans="1:12" ht="32" customHeight="1" x14ac:dyDescent="0.35">
      <c r="A27" s="4" t="s">
        <v>2917</v>
      </c>
      <c r="B27" s="4" t="s">
        <v>2813</v>
      </c>
      <c r="C27" s="4" t="s">
        <v>3026</v>
      </c>
      <c r="D27" s="4" t="s">
        <v>2942</v>
      </c>
      <c r="E27" s="4" t="s">
        <v>3029</v>
      </c>
      <c r="F27" s="4" t="s">
        <v>3030</v>
      </c>
      <c r="G27" s="4" t="s">
        <v>2944</v>
      </c>
      <c r="H27" s="4" t="s">
        <v>2550</v>
      </c>
      <c r="I27" s="4" t="s">
        <v>23</v>
      </c>
      <c r="J27" s="4" t="s">
        <v>2948</v>
      </c>
      <c r="K27" s="4" t="s">
        <v>2811</v>
      </c>
      <c r="L27" s="4" t="s">
        <v>3031</v>
      </c>
    </row>
    <row r="28" spans="1:12" ht="32" customHeight="1" x14ac:dyDescent="0.35">
      <c r="A28" s="4" t="s">
        <v>2917</v>
      </c>
      <c r="B28" s="4" t="s">
        <v>3032</v>
      </c>
      <c r="C28" s="4" t="s">
        <v>3026</v>
      </c>
      <c r="D28" s="4" t="s">
        <v>3033</v>
      </c>
      <c r="E28" s="4" t="s">
        <v>3034</v>
      </c>
      <c r="F28" s="4" t="s">
        <v>3035</v>
      </c>
      <c r="G28" s="4" t="s">
        <v>3036</v>
      </c>
      <c r="H28" s="4" t="s">
        <v>3037</v>
      </c>
      <c r="I28" s="4" t="s">
        <v>23</v>
      </c>
      <c r="J28" s="4" t="s">
        <v>3038</v>
      </c>
      <c r="K28" s="4" t="s">
        <v>3039</v>
      </c>
      <c r="L28" s="4" t="s">
        <v>3040</v>
      </c>
    </row>
    <row r="29" spans="1:12" ht="32" customHeight="1" x14ac:dyDescent="0.35">
      <c r="A29" s="4" t="s">
        <v>2917</v>
      </c>
      <c r="B29" s="4" t="s">
        <v>3041</v>
      </c>
      <c r="C29" s="4" t="s">
        <v>3026</v>
      </c>
      <c r="D29" s="4" t="s">
        <v>3042</v>
      </c>
      <c r="E29" s="4" t="s">
        <v>3043</v>
      </c>
      <c r="F29" s="4" t="s">
        <v>3044</v>
      </c>
      <c r="G29" s="4" t="s">
        <v>3045</v>
      </c>
      <c r="H29" s="4" t="s">
        <v>3046</v>
      </c>
      <c r="I29" s="4" t="s">
        <v>23</v>
      </c>
      <c r="J29" s="4" t="s">
        <v>3047</v>
      </c>
      <c r="K29" s="4" t="s">
        <v>3048</v>
      </c>
      <c r="L29" s="4" t="s">
        <v>3049</v>
      </c>
    </row>
    <row r="30" spans="1:12" ht="32" customHeight="1" x14ac:dyDescent="0.35">
      <c r="A30" s="11" t="s">
        <v>3050</v>
      </c>
      <c r="B30" s="11" t="s">
        <v>2586</v>
      </c>
      <c r="C30" s="11" t="s">
        <v>3051</v>
      </c>
      <c r="D30" s="11" t="s">
        <v>3052</v>
      </c>
      <c r="E30" s="11" t="s">
        <v>3053</v>
      </c>
      <c r="F30" s="11" t="s">
        <v>3000</v>
      </c>
      <c r="G30" s="11" t="s">
        <v>3054</v>
      </c>
      <c r="H30" s="11" t="s">
        <v>2550</v>
      </c>
      <c r="I30" s="11" t="s">
        <v>2829</v>
      </c>
      <c r="J30" s="11" t="s">
        <v>3055</v>
      </c>
      <c r="K30" s="11" t="s">
        <v>2830</v>
      </c>
      <c r="L30" s="11" t="s">
        <v>3056</v>
      </c>
    </row>
    <row r="31" spans="1:12" ht="32" customHeight="1" x14ac:dyDescent="0.35">
      <c r="A31" s="11" t="s">
        <v>3057</v>
      </c>
      <c r="B31" s="11" t="s">
        <v>2682</v>
      </c>
      <c r="C31" s="11" t="s">
        <v>3058</v>
      </c>
      <c r="D31" s="11" t="s">
        <v>3059</v>
      </c>
      <c r="E31" s="11" t="s">
        <v>3060</v>
      </c>
      <c r="F31" s="11" t="s">
        <v>3061</v>
      </c>
      <c r="G31" s="11" t="s">
        <v>3062</v>
      </c>
      <c r="H31" s="11" t="s">
        <v>2824</v>
      </c>
      <c r="I31" s="11" t="s">
        <v>3063</v>
      </c>
      <c r="J31" s="11" t="s">
        <v>3062</v>
      </c>
      <c r="K31" s="11" t="s">
        <v>3062</v>
      </c>
      <c r="L31" s="11" t="s">
        <v>3064</v>
      </c>
    </row>
  </sheetData>
  <autoFilter ref="A1:L31" xr:uid="{00000000-0009-0000-0000-000018000000}"/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" customWidth="1"/>
    <col min="2" max="2" width="110" customWidth="1"/>
  </cols>
  <sheetData>
    <row r="1" spans="1:2" x14ac:dyDescent="0.35">
      <c r="A1" s="3" t="s">
        <v>168</v>
      </c>
      <c r="B1" s="3" t="s">
        <v>169</v>
      </c>
    </row>
    <row r="2" spans="1:2" ht="20" customHeight="1" x14ac:dyDescent="0.35">
      <c r="A2" t="s">
        <v>170</v>
      </c>
      <c r="B2" s="4" t="s">
        <v>3065</v>
      </c>
    </row>
    <row r="3" spans="1:2" ht="20" customHeight="1" x14ac:dyDescent="0.35">
      <c r="A3" t="s">
        <v>172</v>
      </c>
      <c r="B3" s="4" t="s">
        <v>3066</v>
      </c>
    </row>
    <row r="4" spans="1:2" ht="48" customHeight="1" x14ac:dyDescent="0.35">
      <c r="A4" t="s">
        <v>3067</v>
      </c>
      <c r="B4" s="4" t="s">
        <v>3068</v>
      </c>
    </row>
    <row r="5" spans="1:2" ht="20" customHeight="1" x14ac:dyDescent="0.35">
      <c r="A5" t="s">
        <v>3069</v>
      </c>
      <c r="B5" s="4" t="s">
        <v>3070</v>
      </c>
    </row>
    <row r="6" spans="1:2" ht="20" customHeight="1" x14ac:dyDescent="0.35">
      <c r="A6" t="s">
        <v>3071</v>
      </c>
      <c r="B6" s="4" t="s">
        <v>3072</v>
      </c>
    </row>
    <row r="7" spans="1:2" ht="20" customHeight="1" x14ac:dyDescent="0.35">
      <c r="A7" t="s">
        <v>185</v>
      </c>
      <c r="B7" s="4" t="s">
        <v>3073</v>
      </c>
    </row>
    <row r="8" spans="1:2" ht="20" customHeight="1" x14ac:dyDescent="0.35">
      <c r="A8" t="s">
        <v>187</v>
      </c>
      <c r="B8" s="4" t="s">
        <v>3074</v>
      </c>
    </row>
    <row r="9" spans="1:2" ht="20" customHeight="1" x14ac:dyDescent="0.35">
      <c r="A9" t="s">
        <v>227</v>
      </c>
      <c r="B9" s="4" t="s">
        <v>2456</v>
      </c>
    </row>
    <row r="10" spans="1:2" ht="20" customHeight="1" x14ac:dyDescent="0.35">
      <c r="A10" t="s">
        <v>3075</v>
      </c>
      <c r="B10" s="4" t="s">
        <v>3076</v>
      </c>
    </row>
    <row r="11" spans="1:2" ht="48" customHeight="1" x14ac:dyDescent="0.35">
      <c r="A11" t="s">
        <v>3077</v>
      </c>
      <c r="B11" s="4" t="s">
        <v>3078</v>
      </c>
    </row>
    <row r="12" spans="1:2" ht="48" customHeight="1" x14ac:dyDescent="0.35">
      <c r="A12" t="s">
        <v>3079</v>
      </c>
      <c r="B12" s="4" t="s">
        <v>3080</v>
      </c>
    </row>
    <row r="13" spans="1:2" ht="20" customHeight="1" x14ac:dyDescent="0.35">
      <c r="A13" t="s">
        <v>3081</v>
      </c>
      <c r="B13" s="4" t="s">
        <v>3082</v>
      </c>
    </row>
    <row r="14" spans="1:2" ht="20" customHeight="1" x14ac:dyDescent="0.35">
      <c r="A14" t="s">
        <v>3083</v>
      </c>
      <c r="B14" s="4" t="s">
        <v>3084</v>
      </c>
    </row>
    <row r="15" spans="1:2" ht="20" customHeight="1" x14ac:dyDescent="0.35">
      <c r="A15" t="s">
        <v>3085</v>
      </c>
      <c r="B15" s="4" t="s">
        <v>3086</v>
      </c>
    </row>
    <row r="16" spans="1:2" ht="20" customHeight="1" x14ac:dyDescent="0.35">
      <c r="A16" t="s">
        <v>3087</v>
      </c>
      <c r="B16" s="4" t="s">
        <v>3088</v>
      </c>
    </row>
    <row r="17" spans="1:2" ht="20" customHeight="1" x14ac:dyDescent="0.35">
      <c r="A17" t="s">
        <v>3089</v>
      </c>
      <c r="B17" s="4">
        <v>19</v>
      </c>
    </row>
    <row r="18" spans="1:2" ht="20" customHeight="1" x14ac:dyDescent="0.35">
      <c r="A18" t="s">
        <v>3090</v>
      </c>
      <c r="B18" s="4">
        <v>27</v>
      </c>
    </row>
    <row r="19" spans="1:2" ht="20" customHeight="1" x14ac:dyDescent="0.35">
      <c r="A19" t="s">
        <v>3091</v>
      </c>
      <c r="B19" s="4">
        <v>5</v>
      </c>
    </row>
    <row r="20" spans="1:2" ht="20" customHeight="1" x14ac:dyDescent="0.35">
      <c r="A20" t="s">
        <v>3092</v>
      </c>
      <c r="B20" s="4">
        <v>0</v>
      </c>
    </row>
    <row r="21" spans="1:2" ht="20" customHeight="1" x14ac:dyDescent="0.35">
      <c r="A21" t="s">
        <v>3093</v>
      </c>
      <c r="B21" s="4" t="s">
        <v>3094</v>
      </c>
    </row>
    <row r="22" spans="1:2" ht="20" customHeight="1" x14ac:dyDescent="0.35">
      <c r="A22" t="s">
        <v>3095</v>
      </c>
      <c r="B22" s="4" t="s">
        <v>3096</v>
      </c>
    </row>
    <row r="23" spans="1:2" ht="20" customHeight="1" x14ac:dyDescent="0.35">
      <c r="A23" t="s">
        <v>3097</v>
      </c>
      <c r="B23" s="4" t="s">
        <v>3098</v>
      </c>
    </row>
    <row r="24" spans="1:2" ht="20" customHeight="1" x14ac:dyDescent="0.35">
      <c r="A24" t="s">
        <v>3099</v>
      </c>
      <c r="B24" s="4" t="s">
        <v>3100</v>
      </c>
    </row>
    <row r="25" spans="1:2" ht="20" customHeight="1" x14ac:dyDescent="0.35">
      <c r="A25" t="s">
        <v>3101</v>
      </c>
      <c r="B25" s="4" t="s">
        <v>3102</v>
      </c>
    </row>
    <row r="26" spans="1:2" ht="48" customHeight="1" x14ac:dyDescent="0.35">
      <c r="A26" t="s">
        <v>3103</v>
      </c>
      <c r="B26" s="4" t="s">
        <v>3104</v>
      </c>
    </row>
    <row r="27" spans="1:2" ht="48" customHeight="1" x14ac:dyDescent="0.35">
      <c r="A27" t="s">
        <v>3105</v>
      </c>
      <c r="B27" s="4" t="s">
        <v>3106</v>
      </c>
    </row>
    <row r="28" spans="1:2" ht="20" customHeight="1" x14ac:dyDescent="0.35">
      <c r="A28" t="s">
        <v>213</v>
      </c>
      <c r="B28" s="4" t="s">
        <v>3107</v>
      </c>
    </row>
    <row r="29" spans="1:2" ht="20" customHeight="1" x14ac:dyDescent="0.35">
      <c r="A29" t="s">
        <v>2176</v>
      </c>
      <c r="B29" s="4" t="s">
        <v>3108</v>
      </c>
    </row>
  </sheetData>
  <autoFilter ref="A1:B2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5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3" width="8" customWidth="1"/>
    <col min="4" max="4" width="22" customWidth="1"/>
    <col min="5" max="5" width="24" customWidth="1"/>
    <col min="6" max="6" width="22" customWidth="1"/>
    <col min="7" max="7" width="24" customWidth="1"/>
    <col min="8" max="8" width="30" customWidth="1"/>
    <col min="9" max="9" width="12" customWidth="1"/>
    <col min="10" max="10" width="26" customWidth="1"/>
    <col min="11" max="11" width="14" customWidth="1"/>
    <col min="12" max="12" width="16" customWidth="1"/>
    <col min="13" max="13" width="48" customWidth="1"/>
  </cols>
  <sheetData>
    <row r="1" spans="1:13" ht="29" customHeight="1" x14ac:dyDescent="0.35">
      <c r="A1" s="3" t="s">
        <v>3109</v>
      </c>
      <c r="B1" s="3" t="s">
        <v>3110</v>
      </c>
      <c r="C1" s="3" t="s">
        <v>3111</v>
      </c>
      <c r="D1" s="3" t="s">
        <v>3112</v>
      </c>
      <c r="E1" s="3" t="s">
        <v>3113</v>
      </c>
      <c r="F1" s="3" t="s">
        <v>3114</v>
      </c>
      <c r="G1" s="3" t="s">
        <v>3115</v>
      </c>
      <c r="H1" s="3" t="s">
        <v>3116</v>
      </c>
      <c r="I1" s="3" t="s">
        <v>3117</v>
      </c>
      <c r="J1" s="3" t="s">
        <v>3118</v>
      </c>
      <c r="K1" s="3" t="s">
        <v>3119</v>
      </c>
      <c r="L1" s="3" t="s">
        <v>3120</v>
      </c>
      <c r="M1" s="3" t="s">
        <v>227</v>
      </c>
    </row>
    <row r="2" spans="1:13" x14ac:dyDescent="0.35">
      <c r="A2" t="s">
        <v>18</v>
      </c>
      <c r="B2" t="s">
        <v>19</v>
      </c>
      <c r="C2" t="s">
        <v>3121</v>
      </c>
      <c r="D2" s="6">
        <v>5580990</v>
      </c>
      <c r="E2" s="7">
        <v>60.2</v>
      </c>
      <c r="F2" s="6">
        <v>44485</v>
      </c>
      <c r="G2" s="7">
        <v>0.5</v>
      </c>
      <c r="H2" s="6">
        <v>5536505</v>
      </c>
      <c r="I2" t="s">
        <v>22</v>
      </c>
      <c r="J2" s="6">
        <v>9267668</v>
      </c>
      <c r="K2" t="s">
        <v>2209</v>
      </c>
      <c r="L2" t="s">
        <v>2209</v>
      </c>
      <c r="M2" t="s">
        <v>2456</v>
      </c>
    </row>
    <row r="3" spans="1:13" x14ac:dyDescent="0.35">
      <c r="A3" t="s">
        <v>24</v>
      </c>
      <c r="B3" t="s">
        <v>25</v>
      </c>
      <c r="C3" t="s">
        <v>2983</v>
      </c>
      <c r="D3" s="6">
        <v>4512248</v>
      </c>
      <c r="E3" s="7">
        <v>77.3</v>
      </c>
      <c r="F3" s="6">
        <v>97420</v>
      </c>
      <c r="G3" s="7">
        <v>1.7</v>
      </c>
      <c r="H3" s="6">
        <v>4414828</v>
      </c>
      <c r="I3" t="s">
        <v>22</v>
      </c>
      <c r="J3" s="6">
        <v>5833546</v>
      </c>
      <c r="K3" t="s">
        <v>2209</v>
      </c>
      <c r="L3" t="s">
        <v>2209</v>
      </c>
      <c r="M3" t="s">
        <v>2456</v>
      </c>
    </row>
    <row r="4" spans="1:13" x14ac:dyDescent="0.35">
      <c r="A4" t="s">
        <v>28</v>
      </c>
      <c r="B4" t="s">
        <v>29</v>
      </c>
      <c r="C4" t="s">
        <v>2954</v>
      </c>
      <c r="D4" s="6">
        <v>4365296</v>
      </c>
      <c r="E4" s="7">
        <v>79</v>
      </c>
      <c r="F4" s="6">
        <v>2211</v>
      </c>
      <c r="G4" s="7">
        <v>0</v>
      </c>
      <c r="H4" s="6">
        <v>4363085</v>
      </c>
      <c r="I4" t="s">
        <v>22</v>
      </c>
      <c r="J4" s="6">
        <v>5526391</v>
      </c>
      <c r="K4" t="s">
        <v>2209</v>
      </c>
      <c r="L4" t="s">
        <v>2209</v>
      </c>
      <c r="M4" t="s">
        <v>2456</v>
      </c>
    </row>
    <row r="5" spans="1:13" x14ac:dyDescent="0.35">
      <c r="A5" t="s">
        <v>32</v>
      </c>
      <c r="B5" t="s">
        <v>33</v>
      </c>
      <c r="C5" t="s">
        <v>3122</v>
      </c>
      <c r="D5" s="6">
        <v>6809213</v>
      </c>
      <c r="E5" s="7">
        <v>48.8</v>
      </c>
      <c r="F5" s="6">
        <v>3046153</v>
      </c>
      <c r="G5" s="7">
        <v>21.8</v>
      </c>
      <c r="H5" s="6">
        <v>3763060</v>
      </c>
      <c r="I5" t="s">
        <v>22</v>
      </c>
      <c r="J5" s="6">
        <v>13947589</v>
      </c>
      <c r="K5" t="s">
        <v>2209</v>
      </c>
      <c r="L5" t="s">
        <v>2209</v>
      </c>
      <c r="M5" t="s">
        <v>2456</v>
      </c>
    </row>
    <row r="6" spans="1:13" x14ac:dyDescent="0.35">
      <c r="A6" t="s">
        <v>35</v>
      </c>
      <c r="B6" t="s">
        <v>36</v>
      </c>
      <c r="C6" t="s">
        <v>3022</v>
      </c>
      <c r="D6" s="6">
        <v>2348841</v>
      </c>
      <c r="E6" s="7">
        <v>74.5</v>
      </c>
      <c r="F6" s="6">
        <v>39079</v>
      </c>
      <c r="G6" s="7">
        <v>1.2</v>
      </c>
      <c r="H6" s="6">
        <v>2309762</v>
      </c>
      <c r="I6" t="s">
        <v>22</v>
      </c>
      <c r="J6" s="6">
        <v>3151537</v>
      </c>
      <c r="K6" t="s">
        <v>2209</v>
      </c>
      <c r="L6" t="s">
        <v>2209</v>
      </c>
      <c r="M6" t="s">
        <v>2456</v>
      </c>
    </row>
    <row r="7" spans="1:13" x14ac:dyDescent="0.35">
      <c r="A7" t="s">
        <v>37</v>
      </c>
      <c r="B7" t="s">
        <v>38</v>
      </c>
      <c r="C7" t="s">
        <v>3123</v>
      </c>
      <c r="D7" s="6">
        <v>7651506</v>
      </c>
      <c r="E7" s="7">
        <v>47</v>
      </c>
      <c r="F7" s="6">
        <v>5492345</v>
      </c>
      <c r="G7" s="7">
        <v>33.700000000000003</v>
      </c>
      <c r="H7" s="6">
        <v>2159161</v>
      </c>
      <c r="I7" t="s">
        <v>22</v>
      </c>
      <c r="J7" s="6">
        <v>16283265</v>
      </c>
      <c r="K7" t="s">
        <v>2209</v>
      </c>
      <c r="L7" t="s">
        <v>2209</v>
      </c>
      <c r="M7" t="s">
        <v>2456</v>
      </c>
    </row>
    <row r="8" spans="1:13" x14ac:dyDescent="0.35">
      <c r="A8" t="s">
        <v>41</v>
      </c>
      <c r="B8" t="s">
        <v>42</v>
      </c>
      <c r="C8" t="s">
        <v>3124</v>
      </c>
      <c r="D8" s="6">
        <v>1566412</v>
      </c>
      <c r="E8" s="7">
        <v>49.9</v>
      </c>
      <c r="F8" s="6">
        <v>167101</v>
      </c>
      <c r="G8" s="7">
        <v>5.3</v>
      </c>
      <c r="H8" s="6">
        <v>1399311</v>
      </c>
      <c r="I8" t="s">
        <v>22</v>
      </c>
      <c r="J8" s="6">
        <v>3140991</v>
      </c>
      <c r="K8" t="s">
        <v>2209</v>
      </c>
      <c r="L8" t="s">
        <v>2209</v>
      </c>
      <c r="M8" t="s">
        <v>2456</v>
      </c>
    </row>
    <row r="9" spans="1:13" x14ac:dyDescent="0.35">
      <c r="A9" t="s">
        <v>44</v>
      </c>
      <c r="B9" t="s">
        <v>45</v>
      </c>
      <c r="C9" t="s">
        <v>3125</v>
      </c>
      <c r="D9" s="6">
        <v>1363705</v>
      </c>
      <c r="E9" s="7">
        <v>59.9</v>
      </c>
      <c r="F9" s="6">
        <v>109124</v>
      </c>
      <c r="G9" s="7">
        <v>4.8</v>
      </c>
      <c r="H9" s="6">
        <v>1254581</v>
      </c>
      <c r="I9" t="s">
        <v>22</v>
      </c>
      <c r="J9" s="6">
        <v>2278158</v>
      </c>
      <c r="K9" t="s">
        <v>2209</v>
      </c>
      <c r="L9" t="s">
        <v>2209</v>
      </c>
      <c r="M9" t="s">
        <v>2456</v>
      </c>
    </row>
    <row r="10" spans="1:13" x14ac:dyDescent="0.35">
      <c r="A10" t="s">
        <v>47</v>
      </c>
      <c r="B10" t="s">
        <v>48</v>
      </c>
      <c r="C10" t="s">
        <v>3126</v>
      </c>
      <c r="D10" s="6">
        <v>1660655</v>
      </c>
      <c r="E10" s="7">
        <v>59.9</v>
      </c>
      <c r="F10" s="6">
        <v>410031</v>
      </c>
      <c r="G10" s="7">
        <v>14.8</v>
      </c>
      <c r="H10" s="6">
        <v>1250624</v>
      </c>
      <c r="I10" t="s">
        <v>22</v>
      </c>
      <c r="J10" s="6">
        <v>2774232</v>
      </c>
      <c r="K10" t="s">
        <v>2209</v>
      </c>
      <c r="L10" t="s">
        <v>2209</v>
      </c>
      <c r="M10" t="s">
        <v>2456</v>
      </c>
    </row>
    <row r="11" spans="1:13" x14ac:dyDescent="0.35">
      <c r="A11" t="s">
        <v>49</v>
      </c>
      <c r="B11" t="s">
        <v>50</v>
      </c>
      <c r="C11" t="s">
        <v>3127</v>
      </c>
      <c r="D11" s="6">
        <v>1127304</v>
      </c>
      <c r="E11" s="7">
        <v>42</v>
      </c>
      <c r="F11" s="6">
        <v>528365</v>
      </c>
      <c r="G11" s="7">
        <v>19.7</v>
      </c>
      <c r="H11" s="6">
        <v>598939</v>
      </c>
      <c r="I11" t="s">
        <v>22</v>
      </c>
      <c r="J11" s="6">
        <v>2683418</v>
      </c>
      <c r="K11" t="s">
        <v>2209</v>
      </c>
      <c r="L11" t="s">
        <v>2209</v>
      </c>
      <c r="M11" t="s">
        <v>2456</v>
      </c>
    </row>
    <row r="12" spans="1:13" x14ac:dyDescent="0.35">
      <c r="A12" t="s">
        <v>51</v>
      </c>
      <c r="B12" t="s">
        <v>52</v>
      </c>
      <c r="C12" t="s">
        <v>3128</v>
      </c>
      <c r="D12" s="6">
        <v>556913</v>
      </c>
      <c r="E12" s="7">
        <v>92.3</v>
      </c>
      <c r="H12" s="6">
        <v>556913</v>
      </c>
      <c r="I12" t="s">
        <v>22</v>
      </c>
      <c r="J12" s="6">
        <v>603504</v>
      </c>
      <c r="K12" t="s">
        <v>2209</v>
      </c>
      <c r="L12" t="s">
        <v>2205</v>
      </c>
      <c r="M12" t="s">
        <v>2456</v>
      </c>
    </row>
    <row r="13" spans="1:13" x14ac:dyDescent="0.35">
      <c r="A13" t="s">
        <v>53</v>
      </c>
      <c r="B13" t="s">
        <v>54</v>
      </c>
      <c r="C13" t="s">
        <v>2964</v>
      </c>
      <c r="D13" s="6">
        <v>600801</v>
      </c>
      <c r="E13" s="7">
        <v>73.599999999999994</v>
      </c>
      <c r="F13" s="6">
        <v>72426</v>
      </c>
      <c r="G13" s="7">
        <v>8.9</v>
      </c>
      <c r="H13" s="6">
        <v>528375</v>
      </c>
      <c r="I13" t="s">
        <v>22</v>
      </c>
      <c r="J13" s="6">
        <v>816527</v>
      </c>
      <c r="K13" t="s">
        <v>2209</v>
      </c>
      <c r="L13" t="s">
        <v>2209</v>
      </c>
      <c r="M13" t="s">
        <v>2456</v>
      </c>
    </row>
    <row r="14" spans="1:13" x14ac:dyDescent="0.35">
      <c r="A14" t="s">
        <v>56</v>
      </c>
      <c r="B14" t="s">
        <v>57</v>
      </c>
      <c r="C14" t="s">
        <v>3129</v>
      </c>
      <c r="D14" s="6">
        <v>335785</v>
      </c>
      <c r="E14" s="7">
        <v>54.4</v>
      </c>
      <c r="H14" s="6">
        <v>335785</v>
      </c>
      <c r="I14" t="s">
        <v>22</v>
      </c>
      <c r="J14" s="6">
        <v>616912</v>
      </c>
      <c r="K14" t="s">
        <v>2209</v>
      </c>
      <c r="L14" t="s">
        <v>2205</v>
      </c>
      <c r="M14" t="s">
        <v>2456</v>
      </c>
    </row>
    <row r="15" spans="1:13" x14ac:dyDescent="0.35">
      <c r="A15" t="s">
        <v>59</v>
      </c>
      <c r="B15" t="s">
        <v>60</v>
      </c>
      <c r="C15" t="s">
        <v>3130</v>
      </c>
      <c r="D15" s="6">
        <v>312736</v>
      </c>
      <c r="E15" s="7">
        <v>31.3</v>
      </c>
      <c r="H15" s="6">
        <v>312736</v>
      </c>
      <c r="I15" t="s">
        <v>22</v>
      </c>
      <c r="J15" s="6">
        <v>998839</v>
      </c>
      <c r="K15" t="s">
        <v>2209</v>
      </c>
      <c r="L15" t="s">
        <v>2205</v>
      </c>
      <c r="M15" t="s">
        <v>2456</v>
      </c>
    </row>
    <row r="16" spans="1:13" x14ac:dyDescent="0.35">
      <c r="A16" t="s">
        <v>61</v>
      </c>
      <c r="B16" t="s">
        <v>62</v>
      </c>
      <c r="C16" t="s">
        <v>3131</v>
      </c>
      <c r="D16" s="6">
        <v>307579</v>
      </c>
      <c r="E16" s="7">
        <v>21.1</v>
      </c>
      <c r="H16" s="6">
        <v>307579</v>
      </c>
      <c r="I16" t="s">
        <v>22</v>
      </c>
      <c r="J16" s="6">
        <v>1454275</v>
      </c>
      <c r="K16" t="s">
        <v>2209</v>
      </c>
      <c r="L16" t="s">
        <v>2205</v>
      </c>
      <c r="M16" t="s">
        <v>2456</v>
      </c>
    </row>
    <row r="17" spans="1:13" x14ac:dyDescent="0.35">
      <c r="A17" t="s">
        <v>63</v>
      </c>
      <c r="B17" t="s">
        <v>64</v>
      </c>
      <c r="C17" t="s">
        <v>3132</v>
      </c>
      <c r="D17" s="6">
        <v>296567</v>
      </c>
      <c r="E17" s="7">
        <v>19.899999999999999</v>
      </c>
      <c r="F17" s="6">
        <v>67226</v>
      </c>
      <c r="G17" s="7">
        <v>4.5</v>
      </c>
      <c r="H17" s="6">
        <v>229341</v>
      </c>
      <c r="I17" t="s">
        <v>22</v>
      </c>
      <c r="J17" s="6">
        <v>1487297</v>
      </c>
      <c r="K17" t="s">
        <v>2209</v>
      </c>
      <c r="L17" t="s">
        <v>2209</v>
      </c>
      <c r="M17" t="s">
        <v>2456</v>
      </c>
    </row>
    <row r="18" spans="1:13" x14ac:dyDescent="0.35">
      <c r="A18" t="s">
        <v>65</v>
      </c>
      <c r="B18" t="s">
        <v>66</v>
      </c>
      <c r="C18" t="s">
        <v>3133</v>
      </c>
      <c r="D18" s="6">
        <v>161029</v>
      </c>
      <c r="E18" s="7">
        <v>51.7</v>
      </c>
      <c r="H18" s="6">
        <v>161029</v>
      </c>
      <c r="I18" t="s">
        <v>22</v>
      </c>
      <c r="J18" s="6">
        <v>311347</v>
      </c>
      <c r="K18" t="s">
        <v>2209</v>
      </c>
      <c r="L18" t="s">
        <v>2205</v>
      </c>
      <c r="M18" t="s">
        <v>2456</v>
      </c>
    </row>
    <row r="19" spans="1:13" x14ac:dyDescent="0.35">
      <c r="A19" t="s">
        <v>67</v>
      </c>
      <c r="B19" t="s">
        <v>68</v>
      </c>
      <c r="C19" t="s">
        <v>2935</v>
      </c>
      <c r="D19" s="6">
        <v>82999</v>
      </c>
      <c r="E19" s="7">
        <v>9</v>
      </c>
      <c r="F19" s="6">
        <v>2387</v>
      </c>
      <c r="G19" s="7">
        <v>0.3</v>
      </c>
      <c r="H19" s="6">
        <v>80612</v>
      </c>
      <c r="I19" t="s">
        <v>22</v>
      </c>
      <c r="J19" s="6">
        <v>918136</v>
      </c>
      <c r="K19" t="s">
        <v>2209</v>
      </c>
      <c r="L19" t="s">
        <v>2209</v>
      </c>
      <c r="M19" t="s">
        <v>2456</v>
      </c>
    </row>
    <row r="20" spans="1:13" x14ac:dyDescent="0.35">
      <c r="A20" t="s">
        <v>69</v>
      </c>
      <c r="B20" t="s">
        <v>70</v>
      </c>
      <c r="C20" t="s">
        <v>2943</v>
      </c>
      <c r="D20" s="6">
        <v>318024</v>
      </c>
      <c r="E20" s="7">
        <v>13.5</v>
      </c>
      <c r="F20" s="6">
        <v>266159</v>
      </c>
      <c r="G20" s="7">
        <v>11.3</v>
      </c>
      <c r="H20" s="6">
        <v>51865</v>
      </c>
      <c r="I20" t="s">
        <v>22</v>
      </c>
      <c r="J20" s="6">
        <v>2357476</v>
      </c>
      <c r="K20" t="s">
        <v>2209</v>
      </c>
      <c r="L20" t="s">
        <v>2209</v>
      </c>
      <c r="M20" t="s">
        <v>2456</v>
      </c>
    </row>
    <row r="21" spans="1:13" x14ac:dyDescent="0.35">
      <c r="A21" t="s">
        <v>71</v>
      </c>
      <c r="B21" t="s">
        <v>72</v>
      </c>
      <c r="C21" t="s">
        <v>3134</v>
      </c>
      <c r="H21" s="6">
        <v>0</v>
      </c>
      <c r="I21" t="s">
        <v>73</v>
      </c>
      <c r="J21" s="6">
        <v>383830</v>
      </c>
      <c r="K21" t="s">
        <v>2205</v>
      </c>
      <c r="L21" t="s">
        <v>2205</v>
      </c>
      <c r="M21" t="s">
        <v>2456</v>
      </c>
    </row>
    <row r="22" spans="1:13" x14ac:dyDescent="0.35">
      <c r="A22" t="s">
        <v>74</v>
      </c>
      <c r="B22" t="s">
        <v>75</v>
      </c>
      <c r="C22" t="s">
        <v>2500</v>
      </c>
      <c r="H22" s="6">
        <v>0</v>
      </c>
      <c r="I22" t="s">
        <v>73</v>
      </c>
      <c r="J22" s="6">
        <v>1661913</v>
      </c>
      <c r="K22" t="s">
        <v>2205</v>
      </c>
      <c r="L22" t="s">
        <v>2205</v>
      </c>
      <c r="M22" t="s">
        <v>2456</v>
      </c>
    </row>
    <row r="23" spans="1:13" x14ac:dyDescent="0.35">
      <c r="A23" t="s">
        <v>76</v>
      </c>
      <c r="B23" t="s">
        <v>77</v>
      </c>
      <c r="C23" t="s">
        <v>3000</v>
      </c>
      <c r="H23" s="6">
        <v>0</v>
      </c>
      <c r="I23" t="s">
        <v>73</v>
      </c>
      <c r="J23" s="6">
        <v>452871</v>
      </c>
      <c r="K23" t="s">
        <v>2205</v>
      </c>
      <c r="L23" t="s">
        <v>2205</v>
      </c>
      <c r="M23" t="s">
        <v>2456</v>
      </c>
    </row>
    <row r="24" spans="1:13" x14ac:dyDescent="0.35">
      <c r="A24" t="s">
        <v>78</v>
      </c>
      <c r="B24" t="s">
        <v>79</v>
      </c>
      <c r="C24" t="s">
        <v>3135</v>
      </c>
      <c r="H24" s="6">
        <v>0</v>
      </c>
      <c r="I24" t="s">
        <v>73</v>
      </c>
      <c r="J24" s="6">
        <v>2056192</v>
      </c>
      <c r="K24" t="s">
        <v>2205</v>
      </c>
      <c r="L24" t="s">
        <v>2205</v>
      </c>
      <c r="M24" t="s">
        <v>2456</v>
      </c>
    </row>
    <row r="25" spans="1:13" x14ac:dyDescent="0.35">
      <c r="A25" t="s">
        <v>80</v>
      </c>
      <c r="B25" t="s">
        <v>81</v>
      </c>
      <c r="C25" t="s">
        <v>3136</v>
      </c>
      <c r="H25" s="6">
        <v>0</v>
      </c>
      <c r="I25" t="s">
        <v>73</v>
      </c>
      <c r="J25" s="6">
        <v>498516</v>
      </c>
      <c r="K25" t="s">
        <v>2205</v>
      </c>
      <c r="L25" t="s">
        <v>2205</v>
      </c>
      <c r="M25" t="s">
        <v>2456</v>
      </c>
    </row>
    <row r="26" spans="1:13" x14ac:dyDescent="0.35">
      <c r="A26" t="s">
        <v>82</v>
      </c>
      <c r="B26" t="s">
        <v>83</v>
      </c>
      <c r="C26" t="s">
        <v>2968</v>
      </c>
      <c r="D26" s="6">
        <v>106</v>
      </c>
      <c r="E26" s="7">
        <v>0</v>
      </c>
      <c r="F26" s="6">
        <v>265</v>
      </c>
      <c r="G26" s="7">
        <v>0.1</v>
      </c>
      <c r="H26" s="6">
        <v>-159</v>
      </c>
      <c r="I26" t="s">
        <v>84</v>
      </c>
      <c r="J26" s="6">
        <v>530201</v>
      </c>
      <c r="K26" t="s">
        <v>2209</v>
      </c>
      <c r="L26" t="s">
        <v>2209</v>
      </c>
      <c r="M26" t="s">
        <v>2456</v>
      </c>
    </row>
    <row r="27" spans="1:13" x14ac:dyDescent="0.35">
      <c r="A27" t="s">
        <v>85</v>
      </c>
      <c r="B27" t="s">
        <v>86</v>
      </c>
      <c r="C27" t="s">
        <v>3137</v>
      </c>
      <c r="D27" s="6">
        <v>94903</v>
      </c>
      <c r="E27" s="7">
        <v>2.6</v>
      </c>
      <c r="F27" s="6">
        <v>186210</v>
      </c>
      <c r="G27" s="7">
        <v>5.2</v>
      </c>
      <c r="H27" s="6">
        <v>-91307</v>
      </c>
      <c r="I27" t="s">
        <v>84</v>
      </c>
      <c r="J27" s="6">
        <v>3594796</v>
      </c>
      <c r="K27" t="s">
        <v>2209</v>
      </c>
      <c r="L27" t="s">
        <v>2209</v>
      </c>
      <c r="M27" t="s">
        <v>2456</v>
      </c>
    </row>
    <row r="28" spans="1:13" x14ac:dyDescent="0.35">
      <c r="A28" t="s">
        <v>87</v>
      </c>
      <c r="B28" t="s">
        <v>88</v>
      </c>
      <c r="C28" t="s">
        <v>3138</v>
      </c>
      <c r="D28" s="6">
        <v>22092</v>
      </c>
      <c r="E28" s="7">
        <v>5.9</v>
      </c>
      <c r="F28" s="6">
        <v>246531</v>
      </c>
      <c r="G28" s="7">
        <v>65.8</v>
      </c>
      <c r="H28" s="6">
        <v>-224439</v>
      </c>
      <c r="I28" t="s">
        <v>84</v>
      </c>
      <c r="J28" s="6">
        <v>374439</v>
      </c>
      <c r="K28" t="s">
        <v>2209</v>
      </c>
      <c r="L28" t="s">
        <v>2209</v>
      </c>
      <c r="M28" t="s">
        <v>2456</v>
      </c>
    </row>
    <row r="29" spans="1:13" x14ac:dyDescent="0.35">
      <c r="A29" t="s">
        <v>89</v>
      </c>
      <c r="B29" t="s">
        <v>90</v>
      </c>
      <c r="C29" t="s">
        <v>3139</v>
      </c>
      <c r="D29" s="6">
        <v>33378</v>
      </c>
      <c r="E29" s="7">
        <v>3.4</v>
      </c>
      <c r="F29" s="6">
        <v>288945</v>
      </c>
      <c r="G29" s="7">
        <v>29</v>
      </c>
      <c r="H29" s="6">
        <v>-255567</v>
      </c>
      <c r="I29" t="s">
        <v>84</v>
      </c>
      <c r="J29" s="6">
        <v>996362</v>
      </c>
      <c r="K29" t="s">
        <v>2209</v>
      </c>
      <c r="L29" t="s">
        <v>2209</v>
      </c>
      <c r="M29" t="s">
        <v>2456</v>
      </c>
    </row>
    <row r="30" spans="1:13" x14ac:dyDescent="0.35">
      <c r="A30" t="s">
        <v>91</v>
      </c>
      <c r="B30" t="s">
        <v>92</v>
      </c>
      <c r="C30" t="s">
        <v>3140</v>
      </c>
      <c r="F30" s="6">
        <v>262392</v>
      </c>
      <c r="G30" s="7">
        <v>16.3</v>
      </c>
      <c r="H30" s="6">
        <v>-262392</v>
      </c>
      <c r="I30" t="s">
        <v>84</v>
      </c>
      <c r="J30" s="6">
        <v>1608780</v>
      </c>
      <c r="K30" t="s">
        <v>2205</v>
      </c>
      <c r="L30" t="s">
        <v>2209</v>
      </c>
      <c r="M30" t="s">
        <v>2456</v>
      </c>
    </row>
    <row r="31" spans="1:13" x14ac:dyDescent="0.35">
      <c r="A31" t="s">
        <v>93</v>
      </c>
      <c r="B31" t="s">
        <v>94</v>
      </c>
      <c r="C31" t="s">
        <v>3141</v>
      </c>
      <c r="F31" s="6">
        <v>380427</v>
      </c>
      <c r="G31" s="7">
        <v>98.6</v>
      </c>
      <c r="H31" s="6">
        <v>-380427</v>
      </c>
      <c r="I31" t="s">
        <v>84</v>
      </c>
      <c r="J31" s="6">
        <v>385672</v>
      </c>
      <c r="K31" t="s">
        <v>2205</v>
      </c>
      <c r="L31" t="s">
        <v>2209</v>
      </c>
      <c r="M31" t="s">
        <v>2456</v>
      </c>
    </row>
    <row r="32" spans="1:13" x14ac:dyDescent="0.35">
      <c r="A32" t="s">
        <v>95</v>
      </c>
      <c r="B32" t="s">
        <v>96</v>
      </c>
      <c r="C32" t="s">
        <v>3142</v>
      </c>
      <c r="D32" s="6">
        <v>99798</v>
      </c>
      <c r="E32" s="7">
        <v>13.9</v>
      </c>
      <c r="F32" s="6">
        <v>503942</v>
      </c>
      <c r="G32" s="7">
        <v>70.2</v>
      </c>
      <c r="H32" s="6">
        <v>-404144</v>
      </c>
      <c r="I32" t="s">
        <v>84</v>
      </c>
      <c r="J32" s="6">
        <v>717969</v>
      </c>
      <c r="K32" t="s">
        <v>2209</v>
      </c>
      <c r="L32" t="s">
        <v>2209</v>
      </c>
      <c r="M32" t="s">
        <v>2456</v>
      </c>
    </row>
    <row r="33" spans="1:13" x14ac:dyDescent="0.35">
      <c r="A33" t="s">
        <v>97</v>
      </c>
      <c r="B33" t="s">
        <v>98</v>
      </c>
      <c r="C33" t="s">
        <v>3030</v>
      </c>
      <c r="F33" s="6">
        <v>419605</v>
      </c>
      <c r="G33" s="7">
        <v>82.1</v>
      </c>
      <c r="H33" s="6">
        <v>-419605</v>
      </c>
      <c r="I33" t="s">
        <v>84</v>
      </c>
      <c r="J33" s="6">
        <v>511215</v>
      </c>
      <c r="K33" t="s">
        <v>2205</v>
      </c>
      <c r="L33" t="s">
        <v>2209</v>
      </c>
      <c r="M33" t="s">
        <v>2456</v>
      </c>
    </row>
    <row r="34" spans="1:13" x14ac:dyDescent="0.35">
      <c r="A34" t="s">
        <v>99</v>
      </c>
      <c r="B34" t="s">
        <v>100</v>
      </c>
      <c r="C34" t="s">
        <v>3044</v>
      </c>
      <c r="D34" s="6">
        <v>17742</v>
      </c>
      <c r="E34" s="7">
        <v>1.1000000000000001</v>
      </c>
      <c r="F34" s="6">
        <v>470167</v>
      </c>
      <c r="G34" s="7">
        <v>29.1</v>
      </c>
      <c r="H34" s="6">
        <v>-452425</v>
      </c>
      <c r="I34" t="s">
        <v>84</v>
      </c>
      <c r="J34" s="6">
        <v>1612924</v>
      </c>
      <c r="K34" t="s">
        <v>2209</v>
      </c>
      <c r="L34" t="s">
        <v>2209</v>
      </c>
      <c r="M34" t="s">
        <v>2456</v>
      </c>
    </row>
    <row r="35" spans="1:13" x14ac:dyDescent="0.35">
      <c r="A35" t="s">
        <v>101</v>
      </c>
      <c r="B35" t="s">
        <v>102</v>
      </c>
      <c r="C35" t="s">
        <v>3143</v>
      </c>
      <c r="D35" s="6">
        <v>14165</v>
      </c>
      <c r="E35" s="7">
        <v>1.3</v>
      </c>
      <c r="F35" s="6">
        <v>628976</v>
      </c>
      <c r="G35" s="7">
        <v>58.2</v>
      </c>
      <c r="H35" s="6">
        <v>-614811</v>
      </c>
      <c r="I35" t="s">
        <v>84</v>
      </c>
      <c r="J35" s="6">
        <v>1081272</v>
      </c>
      <c r="K35" t="s">
        <v>2209</v>
      </c>
      <c r="L35" t="s">
        <v>2209</v>
      </c>
      <c r="M35" t="s">
        <v>2456</v>
      </c>
    </row>
    <row r="36" spans="1:13" x14ac:dyDescent="0.35">
      <c r="A36" t="s">
        <v>103</v>
      </c>
      <c r="B36" t="s">
        <v>104</v>
      </c>
      <c r="C36" t="s">
        <v>3144</v>
      </c>
      <c r="D36" s="6">
        <v>496591</v>
      </c>
      <c r="E36" s="7">
        <v>17.399999999999999</v>
      </c>
      <c r="F36" s="6">
        <v>1251466</v>
      </c>
      <c r="G36" s="7">
        <v>43.9</v>
      </c>
      <c r="H36" s="6">
        <v>-754875</v>
      </c>
      <c r="I36" t="s">
        <v>84</v>
      </c>
      <c r="J36" s="6">
        <v>2853970</v>
      </c>
      <c r="K36" t="s">
        <v>2209</v>
      </c>
      <c r="L36" t="s">
        <v>2209</v>
      </c>
      <c r="M36" t="s">
        <v>2456</v>
      </c>
    </row>
    <row r="37" spans="1:13" x14ac:dyDescent="0.35">
      <c r="A37" t="s">
        <v>105</v>
      </c>
      <c r="B37" t="s">
        <v>106</v>
      </c>
      <c r="C37" t="s">
        <v>3145</v>
      </c>
      <c r="D37" s="6">
        <v>429744</v>
      </c>
      <c r="E37" s="7">
        <v>20.7</v>
      </c>
      <c r="F37" s="6">
        <v>1201997</v>
      </c>
      <c r="G37" s="7">
        <v>58</v>
      </c>
      <c r="H37" s="6">
        <v>-772253</v>
      </c>
      <c r="I37" t="s">
        <v>84</v>
      </c>
      <c r="J37" s="6">
        <v>2072052</v>
      </c>
      <c r="K37" t="s">
        <v>2209</v>
      </c>
      <c r="L37" t="s">
        <v>2209</v>
      </c>
      <c r="M37" t="s">
        <v>2456</v>
      </c>
    </row>
    <row r="38" spans="1:13" x14ac:dyDescent="0.35">
      <c r="A38" t="s">
        <v>107</v>
      </c>
      <c r="B38" t="s">
        <v>108</v>
      </c>
      <c r="C38" t="s">
        <v>3146</v>
      </c>
      <c r="D38" s="6">
        <v>148317</v>
      </c>
      <c r="E38" s="7">
        <v>8.9</v>
      </c>
      <c r="F38" s="6">
        <v>1055159</v>
      </c>
      <c r="G38" s="7">
        <v>63.5</v>
      </c>
      <c r="H38" s="6">
        <v>-906842</v>
      </c>
      <c r="I38" t="s">
        <v>84</v>
      </c>
      <c r="J38" s="6">
        <v>1660883</v>
      </c>
      <c r="K38" t="s">
        <v>2209</v>
      </c>
      <c r="L38" t="s">
        <v>2209</v>
      </c>
      <c r="M38" t="s">
        <v>2456</v>
      </c>
    </row>
    <row r="39" spans="1:13" x14ac:dyDescent="0.35">
      <c r="A39" t="s">
        <v>109</v>
      </c>
      <c r="B39" t="s">
        <v>110</v>
      </c>
      <c r="C39" t="s">
        <v>3147</v>
      </c>
      <c r="D39" s="6">
        <v>988389</v>
      </c>
      <c r="E39" s="7">
        <v>28</v>
      </c>
      <c r="F39" s="6">
        <v>1954210</v>
      </c>
      <c r="G39" s="7">
        <v>55.4</v>
      </c>
      <c r="H39" s="6">
        <v>-965821</v>
      </c>
      <c r="I39" t="s">
        <v>84</v>
      </c>
      <c r="J39" s="6">
        <v>3526181</v>
      </c>
      <c r="K39" t="s">
        <v>2209</v>
      </c>
      <c r="L39" t="s">
        <v>2209</v>
      </c>
      <c r="M39" t="s">
        <v>2456</v>
      </c>
    </row>
    <row r="40" spans="1:13" x14ac:dyDescent="0.35">
      <c r="A40" t="s">
        <v>111</v>
      </c>
      <c r="B40" t="s">
        <v>112</v>
      </c>
      <c r="C40" t="s">
        <v>3148</v>
      </c>
      <c r="F40" s="6">
        <v>1078558</v>
      </c>
      <c r="G40" s="7">
        <v>76.7</v>
      </c>
      <c r="H40" s="6">
        <v>-1078558</v>
      </c>
      <c r="I40" t="s">
        <v>84</v>
      </c>
      <c r="J40" s="6">
        <v>1405470</v>
      </c>
      <c r="K40" t="s">
        <v>2205</v>
      </c>
      <c r="L40" t="s">
        <v>2209</v>
      </c>
      <c r="M40" t="s">
        <v>2456</v>
      </c>
    </row>
    <row r="41" spans="1:13" x14ac:dyDescent="0.35">
      <c r="A41" t="s">
        <v>113</v>
      </c>
      <c r="B41" t="s">
        <v>114</v>
      </c>
      <c r="C41" t="s">
        <v>3149</v>
      </c>
      <c r="D41" s="6">
        <v>699558</v>
      </c>
      <c r="E41" s="7">
        <v>21.1</v>
      </c>
      <c r="F41" s="6">
        <v>1936242</v>
      </c>
      <c r="G41" s="7">
        <v>58.3</v>
      </c>
      <c r="H41" s="6">
        <v>-1236684</v>
      </c>
      <c r="I41" t="s">
        <v>84</v>
      </c>
      <c r="J41" s="6">
        <v>3321739</v>
      </c>
      <c r="K41" t="s">
        <v>2209</v>
      </c>
      <c r="L41" t="s">
        <v>2209</v>
      </c>
      <c r="M41" t="s">
        <v>2456</v>
      </c>
    </row>
    <row r="42" spans="1:13" x14ac:dyDescent="0.35">
      <c r="A42" t="s">
        <v>115</v>
      </c>
      <c r="B42" t="s">
        <v>116</v>
      </c>
      <c r="C42" t="s">
        <v>2939</v>
      </c>
      <c r="D42" s="6">
        <v>1312548</v>
      </c>
      <c r="E42" s="7">
        <v>25.9</v>
      </c>
      <c r="F42" s="6">
        <v>2945008</v>
      </c>
      <c r="G42" s="7">
        <v>58.2</v>
      </c>
      <c r="H42" s="6">
        <v>-1632460</v>
      </c>
      <c r="I42" t="s">
        <v>84</v>
      </c>
      <c r="J42" s="6">
        <v>5061891</v>
      </c>
      <c r="K42" t="s">
        <v>2209</v>
      </c>
      <c r="L42" t="s">
        <v>2209</v>
      </c>
      <c r="M42" t="s">
        <v>2456</v>
      </c>
    </row>
    <row r="43" spans="1:13" x14ac:dyDescent="0.35">
      <c r="A43" t="s">
        <v>117</v>
      </c>
      <c r="B43" t="s">
        <v>118</v>
      </c>
      <c r="C43" t="s">
        <v>3150</v>
      </c>
      <c r="D43" s="6">
        <v>133546</v>
      </c>
      <c r="E43" s="7">
        <v>3.3</v>
      </c>
      <c r="F43" s="6">
        <v>1891293</v>
      </c>
      <c r="G43" s="7">
        <v>46.3</v>
      </c>
      <c r="H43" s="6">
        <v>-1757747</v>
      </c>
      <c r="I43" t="s">
        <v>84</v>
      </c>
      <c r="J43" s="6">
        <v>4083985</v>
      </c>
      <c r="K43" t="s">
        <v>2209</v>
      </c>
      <c r="L43" t="s">
        <v>2209</v>
      </c>
      <c r="M43" t="s">
        <v>2456</v>
      </c>
    </row>
    <row r="44" spans="1:13" x14ac:dyDescent="0.35">
      <c r="A44" t="s">
        <v>119</v>
      </c>
      <c r="B44" t="s">
        <v>120</v>
      </c>
      <c r="C44" t="s">
        <v>3027</v>
      </c>
      <c r="D44" s="6">
        <v>4148992</v>
      </c>
      <c r="E44" s="7">
        <v>36.1</v>
      </c>
      <c r="F44" s="6">
        <v>6004849</v>
      </c>
      <c r="G44" s="7">
        <v>52.3</v>
      </c>
      <c r="H44" s="6">
        <v>-1855857</v>
      </c>
      <c r="I44" t="s">
        <v>84</v>
      </c>
      <c r="J44" s="6">
        <v>11477157</v>
      </c>
      <c r="K44" t="s">
        <v>2209</v>
      </c>
      <c r="L44" t="s">
        <v>2209</v>
      </c>
      <c r="M44" t="s">
        <v>2456</v>
      </c>
    </row>
    <row r="45" spans="1:13" x14ac:dyDescent="0.35">
      <c r="A45" t="s">
        <v>121</v>
      </c>
      <c r="B45" t="s">
        <v>122</v>
      </c>
      <c r="C45" t="s">
        <v>3151</v>
      </c>
      <c r="D45" s="6">
        <v>859861</v>
      </c>
      <c r="E45" s="7">
        <v>16.899999999999999</v>
      </c>
      <c r="F45" s="6">
        <v>2916314</v>
      </c>
      <c r="G45" s="7">
        <v>57.4</v>
      </c>
      <c r="H45" s="6">
        <v>-2056453</v>
      </c>
      <c r="I45" t="s">
        <v>84</v>
      </c>
      <c r="J45" s="6">
        <v>5078917</v>
      </c>
      <c r="K45" t="s">
        <v>2209</v>
      </c>
      <c r="L45" t="s">
        <v>2209</v>
      </c>
      <c r="M45" t="s">
        <v>2456</v>
      </c>
    </row>
    <row r="46" spans="1:13" x14ac:dyDescent="0.35">
      <c r="A46" t="s">
        <v>123</v>
      </c>
      <c r="B46" t="s">
        <v>124</v>
      </c>
      <c r="C46" t="s">
        <v>3152</v>
      </c>
      <c r="D46" s="6">
        <v>181782</v>
      </c>
      <c r="E46" s="7">
        <v>6.3</v>
      </c>
      <c r="F46" s="6">
        <v>2275168</v>
      </c>
      <c r="G46" s="7">
        <v>78.599999999999994</v>
      </c>
      <c r="H46" s="6">
        <v>-2093386</v>
      </c>
      <c r="I46" t="s">
        <v>84</v>
      </c>
      <c r="J46" s="6">
        <v>2894616</v>
      </c>
      <c r="K46" t="s">
        <v>2209</v>
      </c>
      <c r="L46" t="s">
        <v>2209</v>
      </c>
      <c r="M46" t="s">
        <v>2456</v>
      </c>
    </row>
    <row r="47" spans="1:13" x14ac:dyDescent="0.35">
      <c r="A47" t="s">
        <v>125</v>
      </c>
      <c r="B47" t="s">
        <v>126</v>
      </c>
      <c r="C47" t="s">
        <v>3153</v>
      </c>
      <c r="D47" s="6">
        <v>91648</v>
      </c>
      <c r="E47" s="7">
        <v>2.2000000000000002</v>
      </c>
      <c r="F47" s="6">
        <v>2387411</v>
      </c>
      <c r="G47" s="7">
        <v>57.6</v>
      </c>
      <c r="H47" s="6">
        <v>-2295763</v>
      </c>
      <c r="I47" t="s">
        <v>84</v>
      </c>
      <c r="J47" s="6">
        <v>4146970</v>
      </c>
      <c r="K47" t="s">
        <v>2209</v>
      </c>
      <c r="L47" t="s">
        <v>2209</v>
      </c>
      <c r="M47" t="s">
        <v>2456</v>
      </c>
    </row>
    <row r="48" spans="1:13" x14ac:dyDescent="0.35">
      <c r="A48" t="s">
        <v>127</v>
      </c>
      <c r="B48" t="s">
        <v>128</v>
      </c>
      <c r="C48" t="s">
        <v>3024</v>
      </c>
      <c r="D48" s="6">
        <v>317027</v>
      </c>
      <c r="E48" s="7">
        <v>8.6</v>
      </c>
      <c r="F48" s="6">
        <v>2666565</v>
      </c>
      <c r="G48" s="7">
        <v>72.400000000000006</v>
      </c>
      <c r="H48" s="6">
        <v>-2349538</v>
      </c>
      <c r="I48" t="s">
        <v>84</v>
      </c>
      <c r="J48" s="6">
        <v>3682084</v>
      </c>
      <c r="K48" t="s">
        <v>2209</v>
      </c>
      <c r="L48" t="s">
        <v>2209</v>
      </c>
      <c r="M48" t="s">
        <v>2456</v>
      </c>
    </row>
    <row r="49" spans="1:13" x14ac:dyDescent="0.35">
      <c r="A49" t="s">
        <v>129</v>
      </c>
      <c r="B49" t="s">
        <v>130</v>
      </c>
      <c r="C49" t="s">
        <v>2996</v>
      </c>
      <c r="D49" s="6">
        <v>412202</v>
      </c>
      <c r="E49" s="7">
        <v>12.4</v>
      </c>
      <c r="F49" s="6">
        <v>2861422</v>
      </c>
      <c r="G49" s="7">
        <v>85.9</v>
      </c>
      <c r="H49" s="6">
        <v>-2449220</v>
      </c>
      <c r="I49" t="s">
        <v>84</v>
      </c>
      <c r="J49" s="6">
        <v>3332272</v>
      </c>
      <c r="K49" t="s">
        <v>2209</v>
      </c>
      <c r="L49" t="s">
        <v>2209</v>
      </c>
      <c r="M49" t="s">
        <v>2456</v>
      </c>
    </row>
    <row r="50" spans="1:13" x14ac:dyDescent="0.35">
      <c r="A50" t="s">
        <v>131</v>
      </c>
      <c r="B50" t="s">
        <v>132</v>
      </c>
      <c r="C50" t="s">
        <v>2960</v>
      </c>
      <c r="D50" s="6">
        <v>4407</v>
      </c>
      <c r="E50" s="7">
        <v>0.2</v>
      </c>
      <c r="F50" s="6">
        <v>2463446</v>
      </c>
      <c r="G50" s="7">
        <v>89.4</v>
      </c>
      <c r="H50" s="6">
        <v>-2459039</v>
      </c>
      <c r="I50" t="s">
        <v>84</v>
      </c>
      <c r="J50" s="6">
        <v>2754300</v>
      </c>
      <c r="K50" t="s">
        <v>2209</v>
      </c>
      <c r="L50" t="s">
        <v>2209</v>
      </c>
      <c r="M50" t="s">
        <v>2456</v>
      </c>
    </row>
    <row r="51" spans="1:13" x14ac:dyDescent="0.35">
      <c r="A51" t="s">
        <v>133</v>
      </c>
      <c r="B51" t="s">
        <v>134</v>
      </c>
      <c r="C51" t="s">
        <v>3154</v>
      </c>
      <c r="D51" s="6">
        <v>297963</v>
      </c>
      <c r="E51" s="7">
        <v>4.9000000000000004</v>
      </c>
      <c r="F51" s="6">
        <v>4564524</v>
      </c>
      <c r="G51" s="7">
        <v>75.400000000000006</v>
      </c>
      <c r="H51" s="6">
        <v>-4266561</v>
      </c>
      <c r="I51" t="s">
        <v>84</v>
      </c>
      <c r="J51" s="6">
        <v>6056155</v>
      </c>
      <c r="K51" t="s">
        <v>2209</v>
      </c>
      <c r="L51" t="s">
        <v>2209</v>
      </c>
      <c r="M51" t="s">
        <v>2456</v>
      </c>
    </row>
    <row r="52" spans="1:13" x14ac:dyDescent="0.35">
      <c r="A52" t="s">
        <v>135</v>
      </c>
      <c r="B52" t="s">
        <v>136</v>
      </c>
      <c r="C52" t="s">
        <v>2494</v>
      </c>
      <c r="D52" s="6">
        <v>176083</v>
      </c>
      <c r="E52" s="7">
        <v>2.8</v>
      </c>
      <c r="F52" s="6">
        <v>4533021</v>
      </c>
      <c r="G52" s="7">
        <v>71.3</v>
      </c>
      <c r="H52" s="6">
        <v>-4356938</v>
      </c>
      <c r="I52" t="s">
        <v>84</v>
      </c>
      <c r="J52" s="6">
        <v>6356781</v>
      </c>
      <c r="K52" t="s">
        <v>2209</v>
      </c>
      <c r="L52" t="s">
        <v>2209</v>
      </c>
      <c r="M52" t="s">
        <v>2456</v>
      </c>
    </row>
  </sheetData>
  <autoFilter ref="A1:M52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M2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3" width="8" customWidth="1"/>
    <col min="4" max="4" width="22" customWidth="1"/>
    <col min="5" max="5" width="24" customWidth="1"/>
    <col min="6" max="6" width="22" customWidth="1"/>
    <col min="7" max="7" width="24" customWidth="1"/>
    <col min="8" max="8" width="30" customWidth="1"/>
    <col min="9" max="9" width="12" customWidth="1"/>
    <col min="10" max="10" width="26" customWidth="1"/>
    <col min="11" max="11" width="14" customWidth="1"/>
    <col min="12" max="12" width="16" customWidth="1"/>
    <col min="13" max="13" width="48" customWidth="1"/>
  </cols>
  <sheetData>
    <row r="1" spans="1:13" ht="29" customHeight="1" x14ac:dyDescent="0.35">
      <c r="A1" s="3" t="s">
        <v>3109</v>
      </c>
      <c r="B1" s="3" t="s">
        <v>3110</v>
      </c>
      <c r="C1" s="3" t="s">
        <v>3111</v>
      </c>
      <c r="D1" s="3" t="s">
        <v>3112</v>
      </c>
      <c r="E1" s="3" t="s">
        <v>3113</v>
      </c>
      <c r="F1" s="3" t="s">
        <v>3114</v>
      </c>
      <c r="G1" s="3" t="s">
        <v>3115</v>
      </c>
      <c r="H1" s="3" t="s">
        <v>3116</v>
      </c>
      <c r="I1" s="3" t="s">
        <v>3117</v>
      </c>
      <c r="J1" s="3" t="s">
        <v>3118</v>
      </c>
      <c r="K1" s="3" t="s">
        <v>3119</v>
      </c>
      <c r="L1" s="3" t="s">
        <v>3120</v>
      </c>
      <c r="M1" s="3" t="s">
        <v>227</v>
      </c>
    </row>
    <row r="2" spans="1:13" x14ac:dyDescent="0.35">
      <c r="A2" t="s">
        <v>18</v>
      </c>
      <c r="B2" t="s">
        <v>19</v>
      </c>
      <c r="C2" t="s">
        <v>3121</v>
      </c>
      <c r="D2" s="6">
        <v>5580990</v>
      </c>
      <c r="E2" s="7">
        <v>60.2</v>
      </c>
      <c r="F2" s="6">
        <v>44485</v>
      </c>
      <c r="G2" s="7">
        <v>0.5</v>
      </c>
      <c r="H2" s="6">
        <v>5536505</v>
      </c>
      <c r="I2" t="s">
        <v>22</v>
      </c>
      <c r="J2" s="6">
        <v>9267668</v>
      </c>
      <c r="K2" t="s">
        <v>2209</v>
      </c>
      <c r="L2" t="s">
        <v>2209</v>
      </c>
      <c r="M2" t="s">
        <v>2456</v>
      </c>
    </row>
    <row r="3" spans="1:13" x14ac:dyDescent="0.35">
      <c r="A3" t="s">
        <v>24</v>
      </c>
      <c r="B3" t="s">
        <v>25</v>
      </c>
      <c r="C3" t="s">
        <v>2983</v>
      </c>
      <c r="D3" s="6">
        <v>4512248</v>
      </c>
      <c r="E3" s="7">
        <v>77.3</v>
      </c>
      <c r="F3" s="6">
        <v>97420</v>
      </c>
      <c r="G3" s="7">
        <v>1.7</v>
      </c>
      <c r="H3" s="6">
        <v>4414828</v>
      </c>
      <c r="I3" t="s">
        <v>22</v>
      </c>
      <c r="J3" s="6">
        <v>5833546</v>
      </c>
      <c r="K3" t="s">
        <v>2209</v>
      </c>
      <c r="L3" t="s">
        <v>2209</v>
      </c>
      <c r="M3" t="s">
        <v>2456</v>
      </c>
    </row>
    <row r="4" spans="1:13" x14ac:dyDescent="0.35">
      <c r="A4" t="s">
        <v>28</v>
      </c>
      <c r="B4" t="s">
        <v>29</v>
      </c>
      <c r="C4" t="s">
        <v>2954</v>
      </c>
      <c r="D4" s="6">
        <v>4365296</v>
      </c>
      <c r="E4" s="7">
        <v>79</v>
      </c>
      <c r="F4" s="6">
        <v>2211</v>
      </c>
      <c r="G4" s="7">
        <v>0</v>
      </c>
      <c r="H4" s="6">
        <v>4363085</v>
      </c>
      <c r="I4" t="s">
        <v>22</v>
      </c>
      <c r="J4" s="6">
        <v>5526391</v>
      </c>
      <c r="K4" t="s">
        <v>2209</v>
      </c>
      <c r="L4" t="s">
        <v>2209</v>
      </c>
      <c r="M4" t="s">
        <v>2456</v>
      </c>
    </row>
    <row r="5" spans="1:13" x14ac:dyDescent="0.35">
      <c r="A5" t="s">
        <v>32</v>
      </c>
      <c r="B5" t="s">
        <v>33</v>
      </c>
      <c r="C5" t="s">
        <v>3122</v>
      </c>
      <c r="D5" s="6">
        <v>6809213</v>
      </c>
      <c r="E5" s="7">
        <v>48.8</v>
      </c>
      <c r="F5" s="6">
        <v>3046153</v>
      </c>
      <c r="G5" s="7">
        <v>21.8</v>
      </c>
      <c r="H5" s="6">
        <v>3763060</v>
      </c>
      <c r="I5" t="s">
        <v>22</v>
      </c>
      <c r="J5" s="6">
        <v>13947589</v>
      </c>
      <c r="K5" t="s">
        <v>2209</v>
      </c>
      <c r="L5" t="s">
        <v>2209</v>
      </c>
      <c r="M5" t="s">
        <v>2456</v>
      </c>
    </row>
    <row r="6" spans="1:13" x14ac:dyDescent="0.35">
      <c r="A6" t="s">
        <v>35</v>
      </c>
      <c r="B6" t="s">
        <v>36</v>
      </c>
      <c r="C6" t="s">
        <v>3022</v>
      </c>
      <c r="D6" s="6">
        <v>2348841</v>
      </c>
      <c r="E6" s="7">
        <v>74.5</v>
      </c>
      <c r="F6" s="6">
        <v>39079</v>
      </c>
      <c r="G6" s="7">
        <v>1.2</v>
      </c>
      <c r="H6" s="6">
        <v>2309762</v>
      </c>
      <c r="I6" t="s">
        <v>22</v>
      </c>
      <c r="J6" s="6">
        <v>3151537</v>
      </c>
      <c r="K6" t="s">
        <v>2209</v>
      </c>
      <c r="L6" t="s">
        <v>2209</v>
      </c>
      <c r="M6" t="s">
        <v>2456</v>
      </c>
    </row>
    <row r="7" spans="1:13" x14ac:dyDescent="0.35">
      <c r="A7" t="s">
        <v>37</v>
      </c>
      <c r="B7" t="s">
        <v>38</v>
      </c>
      <c r="C7" t="s">
        <v>3123</v>
      </c>
      <c r="D7" s="6">
        <v>7651506</v>
      </c>
      <c r="E7" s="7">
        <v>47</v>
      </c>
      <c r="F7" s="6">
        <v>5492345</v>
      </c>
      <c r="G7" s="7">
        <v>33.700000000000003</v>
      </c>
      <c r="H7" s="6">
        <v>2159161</v>
      </c>
      <c r="I7" t="s">
        <v>22</v>
      </c>
      <c r="J7" s="6">
        <v>16283265</v>
      </c>
      <c r="K7" t="s">
        <v>2209</v>
      </c>
      <c r="L7" t="s">
        <v>2209</v>
      </c>
      <c r="M7" t="s">
        <v>2456</v>
      </c>
    </row>
    <row r="8" spans="1:13" x14ac:dyDescent="0.35">
      <c r="A8" t="s">
        <v>41</v>
      </c>
      <c r="B8" t="s">
        <v>42</v>
      </c>
      <c r="C8" t="s">
        <v>3124</v>
      </c>
      <c r="D8" s="6">
        <v>1566412</v>
      </c>
      <c r="E8" s="7">
        <v>49.9</v>
      </c>
      <c r="F8" s="6">
        <v>167101</v>
      </c>
      <c r="G8" s="7">
        <v>5.3</v>
      </c>
      <c r="H8" s="6">
        <v>1399311</v>
      </c>
      <c r="I8" t="s">
        <v>22</v>
      </c>
      <c r="J8" s="6">
        <v>3140991</v>
      </c>
      <c r="K8" t="s">
        <v>2209</v>
      </c>
      <c r="L8" t="s">
        <v>2209</v>
      </c>
      <c r="M8" t="s">
        <v>2456</v>
      </c>
    </row>
    <row r="9" spans="1:13" x14ac:dyDescent="0.35">
      <c r="A9" t="s">
        <v>44</v>
      </c>
      <c r="B9" t="s">
        <v>45</v>
      </c>
      <c r="C9" t="s">
        <v>3125</v>
      </c>
      <c r="D9" s="6">
        <v>1363705</v>
      </c>
      <c r="E9" s="7">
        <v>59.9</v>
      </c>
      <c r="F9" s="6">
        <v>109124</v>
      </c>
      <c r="G9" s="7">
        <v>4.8</v>
      </c>
      <c r="H9" s="6">
        <v>1254581</v>
      </c>
      <c r="I9" t="s">
        <v>22</v>
      </c>
      <c r="J9" s="6">
        <v>2278158</v>
      </c>
      <c r="K9" t="s">
        <v>2209</v>
      </c>
      <c r="L9" t="s">
        <v>2209</v>
      </c>
      <c r="M9" t="s">
        <v>2456</v>
      </c>
    </row>
    <row r="10" spans="1:13" x14ac:dyDescent="0.35">
      <c r="A10" t="s">
        <v>47</v>
      </c>
      <c r="B10" t="s">
        <v>48</v>
      </c>
      <c r="C10" t="s">
        <v>3126</v>
      </c>
      <c r="D10" s="6">
        <v>1660655</v>
      </c>
      <c r="E10" s="7">
        <v>59.9</v>
      </c>
      <c r="F10" s="6">
        <v>410031</v>
      </c>
      <c r="G10" s="7">
        <v>14.8</v>
      </c>
      <c r="H10" s="6">
        <v>1250624</v>
      </c>
      <c r="I10" t="s">
        <v>22</v>
      </c>
      <c r="J10" s="6">
        <v>2774232</v>
      </c>
      <c r="K10" t="s">
        <v>2209</v>
      </c>
      <c r="L10" t="s">
        <v>2209</v>
      </c>
      <c r="M10" t="s">
        <v>2456</v>
      </c>
    </row>
    <row r="11" spans="1:13" x14ac:dyDescent="0.35">
      <c r="A11" t="s">
        <v>49</v>
      </c>
      <c r="B11" t="s">
        <v>50</v>
      </c>
      <c r="C11" t="s">
        <v>3127</v>
      </c>
      <c r="D11" s="6">
        <v>1127304</v>
      </c>
      <c r="E11" s="7">
        <v>42</v>
      </c>
      <c r="F11" s="6">
        <v>528365</v>
      </c>
      <c r="G11" s="7">
        <v>19.7</v>
      </c>
      <c r="H11" s="6">
        <v>598939</v>
      </c>
      <c r="I11" t="s">
        <v>22</v>
      </c>
      <c r="J11" s="6">
        <v>2683418</v>
      </c>
      <c r="K11" t="s">
        <v>2209</v>
      </c>
      <c r="L11" t="s">
        <v>2209</v>
      </c>
      <c r="M11" t="s">
        <v>2456</v>
      </c>
    </row>
    <row r="12" spans="1:13" x14ac:dyDescent="0.35">
      <c r="A12" t="s">
        <v>51</v>
      </c>
      <c r="B12" t="s">
        <v>52</v>
      </c>
      <c r="C12" t="s">
        <v>3128</v>
      </c>
      <c r="D12" s="6">
        <v>556913</v>
      </c>
      <c r="E12" s="7">
        <v>92.3</v>
      </c>
      <c r="H12" s="6">
        <v>556913</v>
      </c>
      <c r="I12" t="s">
        <v>22</v>
      </c>
      <c r="J12" s="6">
        <v>603504</v>
      </c>
      <c r="K12" t="s">
        <v>2209</v>
      </c>
      <c r="L12" t="s">
        <v>2205</v>
      </c>
      <c r="M12" t="s">
        <v>2456</v>
      </c>
    </row>
    <row r="13" spans="1:13" x14ac:dyDescent="0.35">
      <c r="A13" t="s">
        <v>53</v>
      </c>
      <c r="B13" t="s">
        <v>54</v>
      </c>
      <c r="C13" t="s">
        <v>2964</v>
      </c>
      <c r="D13" s="6">
        <v>600801</v>
      </c>
      <c r="E13" s="7">
        <v>73.599999999999994</v>
      </c>
      <c r="F13" s="6">
        <v>72426</v>
      </c>
      <c r="G13" s="7">
        <v>8.9</v>
      </c>
      <c r="H13" s="6">
        <v>528375</v>
      </c>
      <c r="I13" t="s">
        <v>22</v>
      </c>
      <c r="J13" s="6">
        <v>816527</v>
      </c>
      <c r="K13" t="s">
        <v>2209</v>
      </c>
      <c r="L13" t="s">
        <v>2209</v>
      </c>
      <c r="M13" t="s">
        <v>2456</v>
      </c>
    </row>
    <row r="14" spans="1:13" x14ac:dyDescent="0.35">
      <c r="A14" t="s">
        <v>56</v>
      </c>
      <c r="B14" t="s">
        <v>57</v>
      </c>
      <c r="C14" t="s">
        <v>3129</v>
      </c>
      <c r="D14" s="6">
        <v>335785</v>
      </c>
      <c r="E14" s="7">
        <v>54.4</v>
      </c>
      <c r="H14" s="6">
        <v>335785</v>
      </c>
      <c r="I14" t="s">
        <v>22</v>
      </c>
      <c r="J14" s="6">
        <v>616912</v>
      </c>
      <c r="K14" t="s">
        <v>2209</v>
      </c>
      <c r="L14" t="s">
        <v>2205</v>
      </c>
      <c r="M14" t="s">
        <v>2456</v>
      </c>
    </row>
    <row r="15" spans="1:13" x14ac:dyDescent="0.35">
      <c r="A15" t="s">
        <v>59</v>
      </c>
      <c r="B15" t="s">
        <v>60</v>
      </c>
      <c r="C15" t="s">
        <v>3130</v>
      </c>
      <c r="D15" s="6">
        <v>312736</v>
      </c>
      <c r="E15" s="7">
        <v>31.3</v>
      </c>
      <c r="H15" s="6">
        <v>312736</v>
      </c>
      <c r="I15" t="s">
        <v>22</v>
      </c>
      <c r="J15" s="6">
        <v>998839</v>
      </c>
      <c r="K15" t="s">
        <v>2209</v>
      </c>
      <c r="L15" t="s">
        <v>2205</v>
      </c>
      <c r="M15" t="s">
        <v>2456</v>
      </c>
    </row>
    <row r="16" spans="1:13" x14ac:dyDescent="0.35">
      <c r="A16" t="s">
        <v>61</v>
      </c>
      <c r="B16" t="s">
        <v>62</v>
      </c>
      <c r="C16" t="s">
        <v>3131</v>
      </c>
      <c r="D16" s="6">
        <v>307579</v>
      </c>
      <c r="E16" s="7">
        <v>21.1</v>
      </c>
      <c r="H16" s="6">
        <v>307579</v>
      </c>
      <c r="I16" t="s">
        <v>22</v>
      </c>
      <c r="J16" s="6">
        <v>1454275</v>
      </c>
      <c r="K16" t="s">
        <v>2209</v>
      </c>
      <c r="L16" t="s">
        <v>2205</v>
      </c>
      <c r="M16" t="s">
        <v>2456</v>
      </c>
    </row>
    <row r="17" spans="1:13" x14ac:dyDescent="0.35">
      <c r="A17" t="s">
        <v>63</v>
      </c>
      <c r="B17" t="s">
        <v>64</v>
      </c>
      <c r="C17" t="s">
        <v>3132</v>
      </c>
      <c r="D17" s="6">
        <v>296567</v>
      </c>
      <c r="E17" s="7">
        <v>19.899999999999999</v>
      </c>
      <c r="F17" s="6">
        <v>67226</v>
      </c>
      <c r="G17" s="7">
        <v>4.5</v>
      </c>
      <c r="H17" s="6">
        <v>229341</v>
      </c>
      <c r="I17" t="s">
        <v>22</v>
      </c>
      <c r="J17" s="6">
        <v>1487297</v>
      </c>
      <c r="K17" t="s">
        <v>2209</v>
      </c>
      <c r="L17" t="s">
        <v>2209</v>
      </c>
      <c r="M17" t="s">
        <v>2456</v>
      </c>
    </row>
    <row r="18" spans="1:13" x14ac:dyDescent="0.35">
      <c r="A18" t="s">
        <v>65</v>
      </c>
      <c r="B18" t="s">
        <v>66</v>
      </c>
      <c r="C18" t="s">
        <v>3133</v>
      </c>
      <c r="D18" s="6">
        <v>161029</v>
      </c>
      <c r="E18" s="7">
        <v>51.7</v>
      </c>
      <c r="H18" s="6">
        <v>161029</v>
      </c>
      <c r="I18" t="s">
        <v>22</v>
      </c>
      <c r="J18" s="6">
        <v>311347</v>
      </c>
      <c r="K18" t="s">
        <v>2209</v>
      </c>
      <c r="L18" t="s">
        <v>2205</v>
      </c>
      <c r="M18" t="s">
        <v>2456</v>
      </c>
    </row>
    <row r="19" spans="1:13" x14ac:dyDescent="0.35">
      <c r="A19" t="s">
        <v>67</v>
      </c>
      <c r="B19" t="s">
        <v>68</v>
      </c>
      <c r="C19" t="s">
        <v>2935</v>
      </c>
      <c r="D19" s="6">
        <v>82999</v>
      </c>
      <c r="E19" s="7">
        <v>9</v>
      </c>
      <c r="F19" s="6">
        <v>2387</v>
      </c>
      <c r="G19" s="7">
        <v>0.3</v>
      </c>
      <c r="H19" s="6">
        <v>80612</v>
      </c>
      <c r="I19" t="s">
        <v>22</v>
      </c>
      <c r="J19" s="6">
        <v>918136</v>
      </c>
      <c r="K19" t="s">
        <v>2209</v>
      </c>
      <c r="L19" t="s">
        <v>2209</v>
      </c>
      <c r="M19" t="s">
        <v>2456</v>
      </c>
    </row>
    <row r="20" spans="1:13" x14ac:dyDescent="0.35">
      <c r="A20" t="s">
        <v>69</v>
      </c>
      <c r="B20" t="s">
        <v>70</v>
      </c>
      <c r="C20" t="s">
        <v>2943</v>
      </c>
      <c r="D20" s="6">
        <v>318024</v>
      </c>
      <c r="E20" s="7">
        <v>13.5</v>
      </c>
      <c r="F20" s="6">
        <v>266159</v>
      </c>
      <c r="G20" s="7">
        <v>11.3</v>
      </c>
      <c r="H20" s="6">
        <v>51865</v>
      </c>
      <c r="I20" t="s">
        <v>22</v>
      </c>
      <c r="J20" s="6">
        <v>2357476</v>
      </c>
      <c r="K20" t="s">
        <v>2209</v>
      </c>
      <c r="L20" t="s">
        <v>2209</v>
      </c>
      <c r="M20" t="s">
        <v>2456</v>
      </c>
    </row>
  </sheetData>
  <autoFilter ref="A1:M20" xr:uid="{00000000-0009-0000-0000-00001B000000}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M2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3" width="8" customWidth="1"/>
    <col min="4" max="4" width="22" customWidth="1"/>
    <col min="5" max="5" width="24" customWidth="1"/>
    <col min="6" max="6" width="22" customWidth="1"/>
    <col min="7" max="7" width="24" customWidth="1"/>
    <col min="8" max="8" width="30" customWidth="1"/>
    <col min="9" max="9" width="12" customWidth="1"/>
    <col min="10" max="10" width="26" customWidth="1"/>
    <col min="11" max="11" width="14" customWidth="1"/>
    <col min="12" max="12" width="16" customWidth="1"/>
    <col min="13" max="13" width="48" customWidth="1"/>
  </cols>
  <sheetData>
    <row r="1" spans="1:13" ht="29" customHeight="1" x14ac:dyDescent="0.35">
      <c r="A1" s="3" t="s">
        <v>3109</v>
      </c>
      <c r="B1" s="3" t="s">
        <v>3110</v>
      </c>
      <c r="C1" s="3" t="s">
        <v>3111</v>
      </c>
      <c r="D1" s="3" t="s">
        <v>3112</v>
      </c>
      <c r="E1" s="3" t="s">
        <v>3113</v>
      </c>
      <c r="F1" s="3" t="s">
        <v>3114</v>
      </c>
      <c r="G1" s="3" t="s">
        <v>3115</v>
      </c>
      <c r="H1" s="3" t="s">
        <v>3116</v>
      </c>
      <c r="I1" s="3" t="s">
        <v>3117</v>
      </c>
      <c r="J1" s="3" t="s">
        <v>3118</v>
      </c>
      <c r="K1" s="3" t="s">
        <v>3119</v>
      </c>
      <c r="L1" s="3" t="s">
        <v>3120</v>
      </c>
      <c r="M1" s="3" t="s">
        <v>227</v>
      </c>
    </row>
    <row r="2" spans="1:13" x14ac:dyDescent="0.35">
      <c r="A2" t="s">
        <v>82</v>
      </c>
      <c r="B2" t="s">
        <v>83</v>
      </c>
      <c r="C2" t="s">
        <v>2968</v>
      </c>
      <c r="D2" s="6">
        <v>106</v>
      </c>
      <c r="E2" s="7">
        <v>0</v>
      </c>
      <c r="F2" s="6">
        <v>265</v>
      </c>
      <c r="G2" s="7">
        <v>0.1</v>
      </c>
      <c r="H2" s="6">
        <v>-159</v>
      </c>
      <c r="I2" t="s">
        <v>84</v>
      </c>
      <c r="J2" s="6">
        <v>530201</v>
      </c>
      <c r="K2" t="s">
        <v>2209</v>
      </c>
      <c r="L2" t="s">
        <v>2209</v>
      </c>
      <c r="M2" t="s">
        <v>2456</v>
      </c>
    </row>
    <row r="3" spans="1:13" x14ac:dyDescent="0.35">
      <c r="A3" t="s">
        <v>85</v>
      </c>
      <c r="B3" t="s">
        <v>86</v>
      </c>
      <c r="C3" t="s">
        <v>3137</v>
      </c>
      <c r="D3" s="6">
        <v>94903</v>
      </c>
      <c r="E3" s="7">
        <v>2.6</v>
      </c>
      <c r="F3" s="6">
        <v>186210</v>
      </c>
      <c r="G3" s="7">
        <v>5.2</v>
      </c>
      <c r="H3" s="6">
        <v>-91307</v>
      </c>
      <c r="I3" t="s">
        <v>84</v>
      </c>
      <c r="J3" s="6">
        <v>3594796</v>
      </c>
      <c r="K3" t="s">
        <v>2209</v>
      </c>
      <c r="L3" t="s">
        <v>2209</v>
      </c>
      <c r="M3" t="s">
        <v>2456</v>
      </c>
    </row>
    <row r="4" spans="1:13" x14ac:dyDescent="0.35">
      <c r="A4" t="s">
        <v>87</v>
      </c>
      <c r="B4" t="s">
        <v>88</v>
      </c>
      <c r="C4" t="s">
        <v>3138</v>
      </c>
      <c r="D4" s="6">
        <v>22092</v>
      </c>
      <c r="E4" s="7">
        <v>5.9</v>
      </c>
      <c r="F4" s="6">
        <v>246531</v>
      </c>
      <c r="G4" s="7">
        <v>65.8</v>
      </c>
      <c r="H4" s="6">
        <v>-224439</v>
      </c>
      <c r="I4" t="s">
        <v>84</v>
      </c>
      <c r="J4" s="6">
        <v>374439</v>
      </c>
      <c r="K4" t="s">
        <v>2209</v>
      </c>
      <c r="L4" t="s">
        <v>2209</v>
      </c>
      <c r="M4" t="s">
        <v>2456</v>
      </c>
    </row>
    <row r="5" spans="1:13" x14ac:dyDescent="0.35">
      <c r="A5" t="s">
        <v>89</v>
      </c>
      <c r="B5" t="s">
        <v>90</v>
      </c>
      <c r="C5" t="s">
        <v>3139</v>
      </c>
      <c r="D5" s="6">
        <v>33378</v>
      </c>
      <c r="E5" s="7">
        <v>3.4</v>
      </c>
      <c r="F5" s="6">
        <v>288945</v>
      </c>
      <c r="G5" s="7">
        <v>29</v>
      </c>
      <c r="H5" s="6">
        <v>-255567</v>
      </c>
      <c r="I5" t="s">
        <v>84</v>
      </c>
      <c r="J5" s="6">
        <v>996362</v>
      </c>
      <c r="K5" t="s">
        <v>2209</v>
      </c>
      <c r="L5" t="s">
        <v>2209</v>
      </c>
      <c r="M5" t="s">
        <v>2456</v>
      </c>
    </row>
    <row r="6" spans="1:13" x14ac:dyDescent="0.35">
      <c r="A6" t="s">
        <v>91</v>
      </c>
      <c r="B6" t="s">
        <v>92</v>
      </c>
      <c r="C6" t="s">
        <v>3140</v>
      </c>
      <c r="F6" s="6">
        <v>262392</v>
      </c>
      <c r="G6" s="7">
        <v>16.3</v>
      </c>
      <c r="H6" s="6">
        <v>-262392</v>
      </c>
      <c r="I6" t="s">
        <v>84</v>
      </c>
      <c r="J6" s="6">
        <v>1608780</v>
      </c>
      <c r="K6" t="s">
        <v>2205</v>
      </c>
      <c r="L6" t="s">
        <v>2209</v>
      </c>
      <c r="M6" t="s">
        <v>2456</v>
      </c>
    </row>
    <row r="7" spans="1:13" x14ac:dyDescent="0.35">
      <c r="A7" t="s">
        <v>93</v>
      </c>
      <c r="B7" t="s">
        <v>94</v>
      </c>
      <c r="C7" t="s">
        <v>3141</v>
      </c>
      <c r="F7" s="6">
        <v>380427</v>
      </c>
      <c r="G7" s="7">
        <v>98.6</v>
      </c>
      <c r="H7" s="6">
        <v>-380427</v>
      </c>
      <c r="I7" t="s">
        <v>84</v>
      </c>
      <c r="J7" s="6">
        <v>385672</v>
      </c>
      <c r="K7" t="s">
        <v>2205</v>
      </c>
      <c r="L7" t="s">
        <v>2209</v>
      </c>
      <c r="M7" t="s">
        <v>2456</v>
      </c>
    </row>
    <row r="8" spans="1:13" x14ac:dyDescent="0.35">
      <c r="A8" t="s">
        <v>95</v>
      </c>
      <c r="B8" t="s">
        <v>96</v>
      </c>
      <c r="C8" t="s">
        <v>3142</v>
      </c>
      <c r="D8" s="6">
        <v>99798</v>
      </c>
      <c r="E8" s="7">
        <v>13.9</v>
      </c>
      <c r="F8" s="6">
        <v>503942</v>
      </c>
      <c r="G8" s="7">
        <v>70.2</v>
      </c>
      <c r="H8" s="6">
        <v>-404144</v>
      </c>
      <c r="I8" t="s">
        <v>84</v>
      </c>
      <c r="J8" s="6">
        <v>717969</v>
      </c>
      <c r="K8" t="s">
        <v>2209</v>
      </c>
      <c r="L8" t="s">
        <v>2209</v>
      </c>
      <c r="M8" t="s">
        <v>2456</v>
      </c>
    </row>
    <row r="9" spans="1:13" x14ac:dyDescent="0.35">
      <c r="A9" t="s">
        <v>97</v>
      </c>
      <c r="B9" t="s">
        <v>98</v>
      </c>
      <c r="C9" t="s">
        <v>3030</v>
      </c>
      <c r="F9" s="6">
        <v>419605</v>
      </c>
      <c r="G9" s="7">
        <v>82.1</v>
      </c>
      <c r="H9" s="6">
        <v>-419605</v>
      </c>
      <c r="I9" t="s">
        <v>84</v>
      </c>
      <c r="J9" s="6">
        <v>511215</v>
      </c>
      <c r="K9" t="s">
        <v>2205</v>
      </c>
      <c r="L9" t="s">
        <v>2209</v>
      </c>
      <c r="M9" t="s">
        <v>2456</v>
      </c>
    </row>
    <row r="10" spans="1:13" x14ac:dyDescent="0.35">
      <c r="A10" t="s">
        <v>99</v>
      </c>
      <c r="B10" t="s">
        <v>100</v>
      </c>
      <c r="C10" t="s">
        <v>3044</v>
      </c>
      <c r="D10" s="6">
        <v>17742</v>
      </c>
      <c r="E10" s="7">
        <v>1.1000000000000001</v>
      </c>
      <c r="F10" s="6">
        <v>470167</v>
      </c>
      <c r="G10" s="7">
        <v>29.1</v>
      </c>
      <c r="H10" s="6">
        <v>-452425</v>
      </c>
      <c r="I10" t="s">
        <v>84</v>
      </c>
      <c r="J10" s="6">
        <v>1612924</v>
      </c>
      <c r="K10" t="s">
        <v>2209</v>
      </c>
      <c r="L10" t="s">
        <v>2209</v>
      </c>
      <c r="M10" t="s">
        <v>2456</v>
      </c>
    </row>
    <row r="11" spans="1:13" x14ac:dyDescent="0.35">
      <c r="A11" t="s">
        <v>101</v>
      </c>
      <c r="B11" t="s">
        <v>102</v>
      </c>
      <c r="C11" t="s">
        <v>3143</v>
      </c>
      <c r="D11" s="6">
        <v>14165</v>
      </c>
      <c r="E11" s="7">
        <v>1.3</v>
      </c>
      <c r="F11" s="6">
        <v>628976</v>
      </c>
      <c r="G11" s="7">
        <v>58.2</v>
      </c>
      <c r="H11" s="6">
        <v>-614811</v>
      </c>
      <c r="I11" t="s">
        <v>84</v>
      </c>
      <c r="J11" s="6">
        <v>1081272</v>
      </c>
      <c r="K11" t="s">
        <v>2209</v>
      </c>
      <c r="L11" t="s">
        <v>2209</v>
      </c>
      <c r="M11" t="s">
        <v>2456</v>
      </c>
    </row>
    <row r="12" spans="1:13" x14ac:dyDescent="0.35">
      <c r="A12" t="s">
        <v>103</v>
      </c>
      <c r="B12" t="s">
        <v>104</v>
      </c>
      <c r="C12" t="s">
        <v>3144</v>
      </c>
      <c r="D12" s="6">
        <v>496591</v>
      </c>
      <c r="E12" s="7">
        <v>17.399999999999999</v>
      </c>
      <c r="F12" s="6">
        <v>1251466</v>
      </c>
      <c r="G12" s="7">
        <v>43.9</v>
      </c>
      <c r="H12" s="6">
        <v>-754875</v>
      </c>
      <c r="I12" t="s">
        <v>84</v>
      </c>
      <c r="J12" s="6">
        <v>2853970</v>
      </c>
      <c r="K12" t="s">
        <v>2209</v>
      </c>
      <c r="L12" t="s">
        <v>2209</v>
      </c>
      <c r="M12" t="s">
        <v>2456</v>
      </c>
    </row>
    <row r="13" spans="1:13" x14ac:dyDescent="0.35">
      <c r="A13" t="s">
        <v>105</v>
      </c>
      <c r="B13" t="s">
        <v>106</v>
      </c>
      <c r="C13" t="s">
        <v>3145</v>
      </c>
      <c r="D13" s="6">
        <v>429744</v>
      </c>
      <c r="E13" s="7">
        <v>20.7</v>
      </c>
      <c r="F13" s="6">
        <v>1201997</v>
      </c>
      <c r="G13" s="7">
        <v>58</v>
      </c>
      <c r="H13" s="6">
        <v>-772253</v>
      </c>
      <c r="I13" t="s">
        <v>84</v>
      </c>
      <c r="J13" s="6">
        <v>2072052</v>
      </c>
      <c r="K13" t="s">
        <v>2209</v>
      </c>
      <c r="L13" t="s">
        <v>2209</v>
      </c>
      <c r="M13" t="s">
        <v>2456</v>
      </c>
    </row>
    <row r="14" spans="1:13" x14ac:dyDescent="0.35">
      <c r="A14" t="s">
        <v>107</v>
      </c>
      <c r="B14" t="s">
        <v>108</v>
      </c>
      <c r="C14" t="s">
        <v>3146</v>
      </c>
      <c r="D14" s="6">
        <v>148317</v>
      </c>
      <c r="E14" s="7">
        <v>8.9</v>
      </c>
      <c r="F14" s="6">
        <v>1055159</v>
      </c>
      <c r="G14" s="7">
        <v>63.5</v>
      </c>
      <c r="H14" s="6">
        <v>-906842</v>
      </c>
      <c r="I14" t="s">
        <v>84</v>
      </c>
      <c r="J14" s="6">
        <v>1660883</v>
      </c>
      <c r="K14" t="s">
        <v>2209</v>
      </c>
      <c r="L14" t="s">
        <v>2209</v>
      </c>
      <c r="M14" t="s">
        <v>2456</v>
      </c>
    </row>
    <row r="15" spans="1:13" x14ac:dyDescent="0.35">
      <c r="A15" t="s">
        <v>109</v>
      </c>
      <c r="B15" t="s">
        <v>110</v>
      </c>
      <c r="C15" t="s">
        <v>3147</v>
      </c>
      <c r="D15" s="6">
        <v>988389</v>
      </c>
      <c r="E15" s="7">
        <v>28</v>
      </c>
      <c r="F15" s="6">
        <v>1954210</v>
      </c>
      <c r="G15" s="7">
        <v>55.4</v>
      </c>
      <c r="H15" s="6">
        <v>-965821</v>
      </c>
      <c r="I15" t="s">
        <v>84</v>
      </c>
      <c r="J15" s="6">
        <v>3526181</v>
      </c>
      <c r="K15" t="s">
        <v>2209</v>
      </c>
      <c r="L15" t="s">
        <v>2209</v>
      </c>
      <c r="M15" t="s">
        <v>2456</v>
      </c>
    </row>
    <row r="16" spans="1:13" x14ac:dyDescent="0.35">
      <c r="A16" t="s">
        <v>111</v>
      </c>
      <c r="B16" t="s">
        <v>112</v>
      </c>
      <c r="C16" t="s">
        <v>3148</v>
      </c>
      <c r="F16" s="6">
        <v>1078558</v>
      </c>
      <c r="G16" s="7">
        <v>76.7</v>
      </c>
      <c r="H16" s="6">
        <v>-1078558</v>
      </c>
      <c r="I16" t="s">
        <v>84</v>
      </c>
      <c r="J16" s="6">
        <v>1405470</v>
      </c>
      <c r="K16" t="s">
        <v>2205</v>
      </c>
      <c r="L16" t="s">
        <v>2209</v>
      </c>
      <c r="M16" t="s">
        <v>2456</v>
      </c>
    </row>
    <row r="17" spans="1:13" x14ac:dyDescent="0.35">
      <c r="A17" t="s">
        <v>113</v>
      </c>
      <c r="B17" t="s">
        <v>114</v>
      </c>
      <c r="C17" t="s">
        <v>3149</v>
      </c>
      <c r="D17" s="6">
        <v>699558</v>
      </c>
      <c r="E17" s="7">
        <v>21.1</v>
      </c>
      <c r="F17" s="6">
        <v>1936242</v>
      </c>
      <c r="G17" s="7">
        <v>58.3</v>
      </c>
      <c r="H17" s="6">
        <v>-1236684</v>
      </c>
      <c r="I17" t="s">
        <v>84</v>
      </c>
      <c r="J17" s="6">
        <v>3321739</v>
      </c>
      <c r="K17" t="s">
        <v>2209</v>
      </c>
      <c r="L17" t="s">
        <v>2209</v>
      </c>
      <c r="M17" t="s">
        <v>2456</v>
      </c>
    </row>
    <row r="18" spans="1:13" x14ac:dyDescent="0.35">
      <c r="A18" t="s">
        <v>115</v>
      </c>
      <c r="B18" t="s">
        <v>116</v>
      </c>
      <c r="C18" t="s">
        <v>2939</v>
      </c>
      <c r="D18" s="6">
        <v>1312548</v>
      </c>
      <c r="E18" s="7">
        <v>25.9</v>
      </c>
      <c r="F18" s="6">
        <v>2945008</v>
      </c>
      <c r="G18" s="7">
        <v>58.2</v>
      </c>
      <c r="H18" s="6">
        <v>-1632460</v>
      </c>
      <c r="I18" t="s">
        <v>84</v>
      </c>
      <c r="J18" s="6">
        <v>5061891</v>
      </c>
      <c r="K18" t="s">
        <v>2209</v>
      </c>
      <c r="L18" t="s">
        <v>2209</v>
      </c>
      <c r="M18" t="s">
        <v>2456</v>
      </c>
    </row>
    <row r="19" spans="1:13" x14ac:dyDescent="0.35">
      <c r="A19" t="s">
        <v>117</v>
      </c>
      <c r="B19" t="s">
        <v>118</v>
      </c>
      <c r="C19" t="s">
        <v>3150</v>
      </c>
      <c r="D19" s="6">
        <v>133546</v>
      </c>
      <c r="E19" s="7">
        <v>3.3</v>
      </c>
      <c r="F19" s="6">
        <v>1891293</v>
      </c>
      <c r="G19" s="7">
        <v>46.3</v>
      </c>
      <c r="H19" s="6">
        <v>-1757747</v>
      </c>
      <c r="I19" t="s">
        <v>84</v>
      </c>
      <c r="J19" s="6">
        <v>4083985</v>
      </c>
      <c r="K19" t="s">
        <v>2209</v>
      </c>
      <c r="L19" t="s">
        <v>2209</v>
      </c>
      <c r="M19" t="s">
        <v>2456</v>
      </c>
    </row>
    <row r="20" spans="1:13" x14ac:dyDescent="0.35">
      <c r="A20" t="s">
        <v>119</v>
      </c>
      <c r="B20" t="s">
        <v>120</v>
      </c>
      <c r="C20" t="s">
        <v>3027</v>
      </c>
      <c r="D20" s="6">
        <v>4148992</v>
      </c>
      <c r="E20" s="7">
        <v>36.1</v>
      </c>
      <c r="F20" s="6">
        <v>6004849</v>
      </c>
      <c r="G20" s="7">
        <v>52.3</v>
      </c>
      <c r="H20" s="6">
        <v>-1855857</v>
      </c>
      <c r="I20" t="s">
        <v>84</v>
      </c>
      <c r="J20" s="6">
        <v>11477157</v>
      </c>
      <c r="K20" t="s">
        <v>2209</v>
      </c>
      <c r="L20" t="s">
        <v>2209</v>
      </c>
      <c r="M20" t="s">
        <v>2456</v>
      </c>
    </row>
    <row r="21" spans="1:13" x14ac:dyDescent="0.35">
      <c r="A21" t="s">
        <v>121</v>
      </c>
      <c r="B21" t="s">
        <v>122</v>
      </c>
      <c r="C21" t="s">
        <v>3151</v>
      </c>
      <c r="D21" s="6">
        <v>859861</v>
      </c>
      <c r="E21" s="7">
        <v>16.899999999999999</v>
      </c>
      <c r="F21" s="6">
        <v>2916314</v>
      </c>
      <c r="G21" s="7">
        <v>57.4</v>
      </c>
      <c r="H21" s="6">
        <v>-2056453</v>
      </c>
      <c r="I21" t="s">
        <v>84</v>
      </c>
      <c r="J21" s="6">
        <v>5078917</v>
      </c>
      <c r="K21" t="s">
        <v>2209</v>
      </c>
      <c r="L21" t="s">
        <v>2209</v>
      </c>
      <c r="M21" t="s">
        <v>2456</v>
      </c>
    </row>
    <row r="22" spans="1:13" x14ac:dyDescent="0.35">
      <c r="A22" t="s">
        <v>123</v>
      </c>
      <c r="B22" t="s">
        <v>124</v>
      </c>
      <c r="C22" t="s">
        <v>3152</v>
      </c>
      <c r="D22" s="6">
        <v>181782</v>
      </c>
      <c r="E22" s="7">
        <v>6.3</v>
      </c>
      <c r="F22" s="6">
        <v>2275168</v>
      </c>
      <c r="G22" s="7">
        <v>78.599999999999994</v>
      </c>
      <c r="H22" s="6">
        <v>-2093386</v>
      </c>
      <c r="I22" t="s">
        <v>84</v>
      </c>
      <c r="J22" s="6">
        <v>2894616</v>
      </c>
      <c r="K22" t="s">
        <v>2209</v>
      </c>
      <c r="L22" t="s">
        <v>2209</v>
      </c>
      <c r="M22" t="s">
        <v>2456</v>
      </c>
    </row>
    <row r="23" spans="1:13" x14ac:dyDescent="0.35">
      <c r="A23" t="s">
        <v>125</v>
      </c>
      <c r="B23" t="s">
        <v>126</v>
      </c>
      <c r="C23" t="s">
        <v>3153</v>
      </c>
      <c r="D23" s="6">
        <v>91648</v>
      </c>
      <c r="E23" s="7">
        <v>2.2000000000000002</v>
      </c>
      <c r="F23" s="6">
        <v>2387411</v>
      </c>
      <c r="G23" s="7">
        <v>57.6</v>
      </c>
      <c r="H23" s="6">
        <v>-2295763</v>
      </c>
      <c r="I23" t="s">
        <v>84</v>
      </c>
      <c r="J23" s="6">
        <v>4146970</v>
      </c>
      <c r="K23" t="s">
        <v>2209</v>
      </c>
      <c r="L23" t="s">
        <v>2209</v>
      </c>
      <c r="M23" t="s">
        <v>2456</v>
      </c>
    </row>
    <row r="24" spans="1:13" x14ac:dyDescent="0.35">
      <c r="A24" t="s">
        <v>127</v>
      </c>
      <c r="B24" t="s">
        <v>128</v>
      </c>
      <c r="C24" t="s">
        <v>3024</v>
      </c>
      <c r="D24" s="6">
        <v>317027</v>
      </c>
      <c r="E24" s="7">
        <v>8.6</v>
      </c>
      <c r="F24" s="6">
        <v>2666565</v>
      </c>
      <c r="G24" s="7">
        <v>72.400000000000006</v>
      </c>
      <c r="H24" s="6">
        <v>-2349538</v>
      </c>
      <c r="I24" t="s">
        <v>84</v>
      </c>
      <c r="J24" s="6">
        <v>3682084</v>
      </c>
      <c r="K24" t="s">
        <v>2209</v>
      </c>
      <c r="L24" t="s">
        <v>2209</v>
      </c>
      <c r="M24" t="s">
        <v>2456</v>
      </c>
    </row>
    <row r="25" spans="1:13" x14ac:dyDescent="0.35">
      <c r="A25" t="s">
        <v>129</v>
      </c>
      <c r="B25" t="s">
        <v>130</v>
      </c>
      <c r="C25" t="s">
        <v>2996</v>
      </c>
      <c r="D25" s="6">
        <v>412202</v>
      </c>
      <c r="E25" s="7">
        <v>12.4</v>
      </c>
      <c r="F25" s="6">
        <v>2861422</v>
      </c>
      <c r="G25" s="7">
        <v>85.9</v>
      </c>
      <c r="H25" s="6">
        <v>-2449220</v>
      </c>
      <c r="I25" t="s">
        <v>84</v>
      </c>
      <c r="J25" s="6">
        <v>3332272</v>
      </c>
      <c r="K25" t="s">
        <v>2209</v>
      </c>
      <c r="L25" t="s">
        <v>2209</v>
      </c>
      <c r="M25" t="s">
        <v>2456</v>
      </c>
    </row>
    <row r="26" spans="1:13" x14ac:dyDescent="0.35">
      <c r="A26" t="s">
        <v>131</v>
      </c>
      <c r="B26" t="s">
        <v>132</v>
      </c>
      <c r="C26" t="s">
        <v>2960</v>
      </c>
      <c r="D26" s="6">
        <v>4407</v>
      </c>
      <c r="E26" s="7">
        <v>0.2</v>
      </c>
      <c r="F26" s="6">
        <v>2463446</v>
      </c>
      <c r="G26" s="7">
        <v>89.4</v>
      </c>
      <c r="H26" s="6">
        <v>-2459039</v>
      </c>
      <c r="I26" t="s">
        <v>84</v>
      </c>
      <c r="J26" s="6">
        <v>2754300</v>
      </c>
      <c r="K26" t="s">
        <v>2209</v>
      </c>
      <c r="L26" t="s">
        <v>2209</v>
      </c>
      <c r="M26" t="s">
        <v>2456</v>
      </c>
    </row>
    <row r="27" spans="1:13" x14ac:dyDescent="0.35">
      <c r="A27" t="s">
        <v>133</v>
      </c>
      <c r="B27" t="s">
        <v>134</v>
      </c>
      <c r="C27" t="s">
        <v>3154</v>
      </c>
      <c r="D27" s="6">
        <v>297963</v>
      </c>
      <c r="E27" s="7">
        <v>4.9000000000000004</v>
      </c>
      <c r="F27" s="6">
        <v>4564524</v>
      </c>
      <c r="G27" s="7">
        <v>75.400000000000006</v>
      </c>
      <c r="H27" s="6">
        <v>-4266561</v>
      </c>
      <c r="I27" t="s">
        <v>84</v>
      </c>
      <c r="J27" s="6">
        <v>6056155</v>
      </c>
      <c r="K27" t="s">
        <v>2209</v>
      </c>
      <c r="L27" t="s">
        <v>2209</v>
      </c>
      <c r="M27" t="s">
        <v>2456</v>
      </c>
    </row>
    <row r="28" spans="1:13" x14ac:dyDescent="0.35">
      <c r="A28" t="s">
        <v>135</v>
      </c>
      <c r="B28" t="s">
        <v>136</v>
      </c>
      <c r="C28" t="s">
        <v>2494</v>
      </c>
      <c r="D28" s="6">
        <v>176083</v>
      </c>
      <c r="E28" s="7">
        <v>2.8</v>
      </c>
      <c r="F28" s="6">
        <v>4533021</v>
      </c>
      <c r="G28" s="7">
        <v>71.3</v>
      </c>
      <c r="H28" s="6">
        <v>-4356938</v>
      </c>
      <c r="I28" t="s">
        <v>84</v>
      </c>
      <c r="J28" s="6">
        <v>6356781</v>
      </c>
      <c r="K28" t="s">
        <v>2209</v>
      </c>
      <c r="L28" t="s">
        <v>2209</v>
      </c>
      <c r="M28" t="s">
        <v>2456</v>
      </c>
    </row>
  </sheetData>
  <autoFilter ref="A1:M28" xr:uid="{00000000-0009-0000-0000-00001C000000}"/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M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3" width="8" customWidth="1"/>
    <col min="4" max="4" width="22" customWidth="1"/>
    <col min="5" max="5" width="24" customWidth="1"/>
    <col min="6" max="6" width="22" customWidth="1"/>
    <col min="7" max="7" width="24" customWidth="1"/>
    <col min="8" max="8" width="30" customWidth="1"/>
    <col min="9" max="9" width="12" customWidth="1"/>
    <col min="10" max="10" width="26" customWidth="1"/>
    <col min="11" max="11" width="14" customWidth="1"/>
    <col min="12" max="12" width="16" customWidth="1"/>
    <col min="13" max="13" width="48" customWidth="1"/>
  </cols>
  <sheetData>
    <row r="1" spans="1:13" ht="29" customHeight="1" x14ac:dyDescent="0.35">
      <c r="A1" s="3" t="s">
        <v>3109</v>
      </c>
      <c r="B1" s="3" t="s">
        <v>3110</v>
      </c>
      <c r="C1" s="3" t="s">
        <v>3111</v>
      </c>
      <c r="D1" s="3" t="s">
        <v>3112</v>
      </c>
      <c r="E1" s="3" t="s">
        <v>3113</v>
      </c>
      <c r="F1" s="3" t="s">
        <v>3114</v>
      </c>
      <c r="G1" s="3" t="s">
        <v>3115</v>
      </c>
      <c r="H1" s="3" t="s">
        <v>3116</v>
      </c>
      <c r="I1" s="3" t="s">
        <v>3117</v>
      </c>
      <c r="J1" s="3" t="s">
        <v>3118</v>
      </c>
      <c r="K1" s="3" t="s">
        <v>3119</v>
      </c>
      <c r="L1" s="3" t="s">
        <v>3120</v>
      </c>
      <c r="M1" s="3" t="s">
        <v>227</v>
      </c>
    </row>
    <row r="2" spans="1:13" x14ac:dyDescent="0.35">
      <c r="A2" t="s">
        <v>71</v>
      </c>
      <c r="B2" t="s">
        <v>72</v>
      </c>
      <c r="C2" t="s">
        <v>3134</v>
      </c>
      <c r="H2" s="6">
        <v>0</v>
      </c>
      <c r="I2" t="s">
        <v>73</v>
      </c>
      <c r="J2" s="6">
        <v>383830</v>
      </c>
      <c r="K2" t="s">
        <v>2205</v>
      </c>
      <c r="L2" t="s">
        <v>2205</v>
      </c>
      <c r="M2" t="s">
        <v>2456</v>
      </c>
    </row>
    <row r="3" spans="1:13" x14ac:dyDescent="0.35">
      <c r="A3" t="s">
        <v>74</v>
      </c>
      <c r="B3" t="s">
        <v>75</v>
      </c>
      <c r="C3" t="s">
        <v>2500</v>
      </c>
      <c r="H3" s="6">
        <v>0</v>
      </c>
      <c r="I3" t="s">
        <v>73</v>
      </c>
      <c r="J3" s="6">
        <v>1661913</v>
      </c>
      <c r="K3" t="s">
        <v>2205</v>
      </c>
      <c r="L3" t="s">
        <v>2205</v>
      </c>
      <c r="M3" t="s">
        <v>2456</v>
      </c>
    </row>
    <row r="4" spans="1:13" x14ac:dyDescent="0.35">
      <c r="A4" t="s">
        <v>76</v>
      </c>
      <c r="B4" t="s">
        <v>77</v>
      </c>
      <c r="C4" t="s">
        <v>3000</v>
      </c>
      <c r="H4" s="6">
        <v>0</v>
      </c>
      <c r="I4" t="s">
        <v>73</v>
      </c>
      <c r="J4" s="6">
        <v>452871</v>
      </c>
      <c r="K4" t="s">
        <v>2205</v>
      </c>
      <c r="L4" t="s">
        <v>2205</v>
      </c>
      <c r="M4" t="s">
        <v>2456</v>
      </c>
    </row>
    <row r="5" spans="1:13" x14ac:dyDescent="0.35">
      <c r="A5" t="s">
        <v>78</v>
      </c>
      <c r="B5" t="s">
        <v>79</v>
      </c>
      <c r="C5" t="s">
        <v>3135</v>
      </c>
      <c r="H5" s="6">
        <v>0</v>
      </c>
      <c r="I5" t="s">
        <v>73</v>
      </c>
      <c r="J5" s="6">
        <v>2056192</v>
      </c>
      <c r="K5" t="s">
        <v>2205</v>
      </c>
      <c r="L5" t="s">
        <v>2205</v>
      </c>
      <c r="M5" t="s">
        <v>2456</v>
      </c>
    </row>
    <row r="6" spans="1:13" x14ac:dyDescent="0.35">
      <c r="A6" t="s">
        <v>80</v>
      </c>
      <c r="B6" t="s">
        <v>81</v>
      </c>
      <c r="C6" t="s">
        <v>3136</v>
      </c>
      <c r="H6" s="6">
        <v>0</v>
      </c>
      <c r="I6" t="s">
        <v>73</v>
      </c>
      <c r="J6" s="6">
        <v>498516</v>
      </c>
      <c r="K6" t="s">
        <v>2205</v>
      </c>
      <c r="L6" t="s">
        <v>2205</v>
      </c>
      <c r="M6" t="s">
        <v>2456</v>
      </c>
    </row>
  </sheetData>
  <autoFilter ref="A1:M6" xr:uid="{00000000-0009-0000-0000-00001D000000}"/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31"/>
  <sheetViews>
    <sheetView workbookViewId="0"/>
  </sheetViews>
  <sheetFormatPr defaultRowHeight="14.5" x14ac:dyDescent="0.35"/>
  <cols>
    <col min="1" max="1" width="36" customWidth="1"/>
    <col min="2" max="2" width="110" customWidth="1"/>
  </cols>
  <sheetData>
    <row r="1" spans="1:2" ht="22" customHeight="1" x14ac:dyDescent="0.35">
      <c r="A1" s="12" t="s">
        <v>3155</v>
      </c>
    </row>
    <row r="3" spans="1:2" ht="36" customHeight="1" x14ac:dyDescent="0.35">
      <c r="A3" s="13" t="s">
        <v>3156</v>
      </c>
      <c r="B3" s="14" t="s">
        <v>3157</v>
      </c>
    </row>
    <row r="4" spans="1:2" ht="36" customHeight="1" x14ac:dyDescent="0.35">
      <c r="A4" s="13" t="s">
        <v>3105</v>
      </c>
      <c r="B4" s="14" t="s">
        <v>3158</v>
      </c>
    </row>
    <row r="6" spans="1:2" ht="36" customHeight="1" x14ac:dyDescent="0.35">
      <c r="A6" s="13" t="s">
        <v>3159</v>
      </c>
      <c r="B6" s="14" t="s">
        <v>3160</v>
      </c>
    </row>
    <row r="7" spans="1:2" ht="36" customHeight="1" x14ac:dyDescent="0.35">
      <c r="A7" s="13" t="s">
        <v>3161</v>
      </c>
      <c r="B7" s="14" t="s">
        <v>3162</v>
      </c>
    </row>
    <row r="8" spans="1:2" ht="36" customHeight="1" x14ac:dyDescent="0.35">
      <c r="A8" s="13" t="s">
        <v>3163</v>
      </c>
      <c r="B8" s="14" t="s">
        <v>3164</v>
      </c>
    </row>
    <row r="9" spans="1:2" ht="36" customHeight="1" x14ac:dyDescent="0.35">
      <c r="A9" s="13" t="s">
        <v>3165</v>
      </c>
      <c r="B9" s="14" t="s">
        <v>3166</v>
      </c>
    </row>
    <row r="11" spans="1:2" ht="36" customHeight="1" x14ac:dyDescent="0.35">
      <c r="A11" s="13" t="s">
        <v>3167</v>
      </c>
      <c r="B11" s="14" t="s">
        <v>3168</v>
      </c>
    </row>
    <row r="12" spans="1:2" ht="18" customHeight="1" x14ac:dyDescent="0.35">
      <c r="A12" s="13" t="s">
        <v>3169</v>
      </c>
      <c r="B12" s="14">
        <v>12.320285999999999</v>
      </c>
    </row>
    <row r="13" spans="1:2" ht="18" customHeight="1" x14ac:dyDescent="0.35">
      <c r="A13" s="13" t="s">
        <v>3170</v>
      </c>
      <c r="B13" s="14">
        <v>52.501994000000003</v>
      </c>
    </row>
    <row r="14" spans="1:2" ht="18" customHeight="1" x14ac:dyDescent="0.35">
      <c r="A14" s="13" t="s">
        <v>3171</v>
      </c>
      <c r="B14" s="14">
        <v>3</v>
      </c>
    </row>
    <row r="15" spans="1:2" ht="18" customHeight="1" x14ac:dyDescent="0.35">
      <c r="A15" s="13" t="s">
        <v>3172</v>
      </c>
      <c r="B15" s="14" t="s">
        <v>3173</v>
      </c>
    </row>
    <row r="17" spans="1:2" ht="36" customHeight="1" x14ac:dyDescent="0.35">
      <c r="A17" s="13" t="s">
        <v>3174</v>
      </c>
      <c r="B17" s="14" t="s">
        <v>3175</v>
      </c>
    </row>
    <row r="18" spans="1:2" ht="36" customHeight="1" x14ac:dyDescent="0.35">
      <c r="A18" s="13" t="s">
        <v>3176</v>
      </c>
      <c r="B18" s="14" t="s">
        <v>3177</v>
      </c>
    </row>
    <row r="19" spans="1:2" ht="36" customHeight="1" x14ac:dyDescent="0.35">
      <c r="A19" s="13" t="s">
        <v>3178</v>
      </c>
      <c r="B19" s="14" t="s">
        <v>3179</v>
      </c>
    </row>
    <row r="20" spans="1:2" ht="36" customHeight="1" x14ac:dyDescent="0.35">
      <c r="A20" s="13" t="s">
        <v>3180</v>
      </c>
      <c r="B20" s="14" t="s">
        <v>3181</v>
      </c>
    </row>
    <row r="22" spans="1:2" ht="36" customHeight="1" x14ac:dyDescent="0.35">
      <c r="A22" s="13" t="s">
        <v>3182</v>
      </c>
      <c r="B22" s="14" t="s">
        <v>0</v>
      </c>
    </row>
    <row r="23" spans="1:2" ht="36" customHeight="1" x14ac:dyDescent="0.35">
      <c r="A23" s="13" t="s">
        <v>3183</v>
      </c>
      <c r="B23" s="14" t="s">
        <v>3184</v>
      </c>
    </row>
    <row r="24" spans="1:2" ht="36" customHeight="1" x14ac:dyDescent="0.35">
      <c r="A24" s="13" t="s">
        <v>3185</v>
      </c>
      <c r="B24" s="14" t="s">
        <v>3186</v>
      </c>
    </row>
    <row r="26" spans="1:2" ht="18" customHeight="1" x14ac:dyDescent="0.35">
      <c r="A26" s="13" t="s">
        <v>3187</v>
      </c>
    </row>
    <row r="27" spans="1:2" ht="36" customHeight="1" x14ac:dyDescent="0.35">
      <c r="A27" s="13" t="s">
        <v>3188</v>
      </c>
      <c r="B27" s="14" t="s">
        <v>1</v>
      </c>
    </row>
    <row r="28" spans="1:2" ht="36" customHeight="1" x14ac:dyDescent="0.35">
      <c r="A28" s="13" t="s">
        <v>3189</v>
      </c>
      <c r="B28" s="14" t="s">
        <v>3190</v>
      </c>
    </row>
    <row r="29" spans="1:2" ht="36" customHeight="1" x14ac:dyDescent="0.35">
      <c r="A29" s="13" t="s">
        <v>3191</v>
      </c>
      <c r="B29" s="14" t="s">
        <v>3192</v>
      </c>
    </row>
    <row r="31" spans="1:2" ht="36" customHeight="1" x14ac:dyDescent="0.35">
      <c r="A31" s="13" t="s">
        <v>3193</v>
      </c>
      <c r="B31" s="14" t="s">
        <v>3194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5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22" customWidth="1"/>
    <col min="3" max="3" width="6" customWidth="1"/>
    <col min="4" max="4" width="22" customWidth="1"/>
    <col min="5" max="5" width="12" customWidth="1"/>
    <col min="6" max="6" width="10" customWidth="1"/>
    <col min="7" max="7" width="12" customWidth="1"/>
    <col min="8" max="9" width="14" customWidth="1"/>
    <col min="10" max="11" width="16" customWidth="1"/>
    <col min="12" max="12" width="18" customWidth="1"/>
    <col min="13" max="13" width="14" customWidth="1"/>
    <col min="14" max="14" width="16" customWidth="1"/>
    <col min="15" max="15" width="12" customWidth="1"/>
    <col min="16" max="17" width="16" customWidth="1"/>
    <col min="18" max="18" width="14" customWidth="1"/>
    <col min="19" max="20" width="16" customWidth="1"/>
    <col min="21" max="21" width="12" customWidth="1"/>
    <col min="22" max="22" width="14" customWidth="1"/>
    <col min="23" max="23" width="18" customWidth="1"/>
    <col min="24" max="24" width="12" customWidth="1"/>
  </cols>
  <sheetData>
    <row r="1" spans="1:24" ht="39" customHeight="1" x14ac:dyDescent="0.35">
      <c r="A1" s="15" t="s">
        <v>3195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5" t="s">
        <v>3196</v>
      </c>
      <c r="H1" s="15" t="s">
        <v>10</v>
      </c>
      <c r="I1" s="15" t="s">
        <v>11</v>
      </c>
      <c r="J1" s="15" t="s">
        <v>12</v>
      </c>
      <c r="K1" s="15" t="s">
        <v>13</v>
      </c>
      <c r="L1" s="15" t="s">
        <v>8</v>
      </c>
      <c r="M1" s="15" t="s">
        <v>3197</v>
      </c>
      <c r="N1" s="15" t="s">
        <v>14</v>
      </c>
      <c r="O1" s="15" t="s">
        <v>3198</v>
      </c>
      <c r="P1" s="15" t="s">
        <v>3199</v>
      </c>
      <c r="Q1" s="15" t="s">
        <v>3200</v>
      </c>
      <c r="R1" s="15" t="s">
        <v>3201</v>
      </c>
      <c r="S1" s="15" t="s">
        <v>3202</v>
      </c>
      <c r="T1" s="15" t="s">
        <v>3203</v>
      </c>
      <c r="U1" s="15" t="s">
        <v>3204</v>
      </c>
      <c r="V1" s="15" t="s">
        <v>3205</v>
      </c>
      <c r="W1" s="15" t="s">
        <v>3206</v>
      </c>
      <c r="X1" s="15" t="s">
        <v>17</v>
      </c>
    </row>
    <row r="2" spans="1:24" x14ac:dyDescent="0.35">
      <c r="A2" s="16" t="s">
        <v>3127</v>
      </c>
      <c r="B2" s="16" t="s">
        <v>49</v>
      </c>
      <c r="C2" s="16" t="s">
        <v>50</v>
      </c>
      <c r="D2" s="16" t="s">
        <v>46</v>
      </c>
      <c r="E2" s="16" t="s">
        <v>31</v>
      </c>
      <c r="F2" s="16" t="s">
        <v>22</v>
      </c>
      <c r="G2" s="16" t="s">
        <v>2209</v>
      </c>
      <c r="H2" s="17">
        <v>42.01</v>
      </c>
      <c r="I2" s="17">
        <v>19.690000000000001</v>
      </c>
      <c r="J2" s="18">
        <v>1127304</v>
      </c>
      <c r="K2" s="18">
        <v>528365</v>
      </c>
      <c r="L2" s="18">
        <v>598939</v>
      </c>
      <c r="M2" s="17">
        <v>22.32</v>
      </c>
      <c r="N2" s="18">
        <v>2683418</v>
      </c>
      <c r="O2" s="17">
        <v>8.3375181431407199</v>
      </c>
      <c r="P2" s="18">
        <v>2323881</v>
      </c>
      <c r="Q2" s="18">
        <v>193754</v>
      </c>
      <c r="R2" s="17">
        <v>54.049065708401557</v>
      </c>
      <c r="S2" s="18">
        <v>960807</v>
      </c>
      <c r="T2" s="18">
        <v>1777657</v>
      </c>
      <c r="U2" s="16" t="s">
        <v>2205</v>
      </c>
      <c r="V2" s="16" t="s">
        <v>2209</v>
      </c>
      <c r="W2" s="16" t="s">
        <v>2205</v>
      </c>
      <c r="X2" s="16" t="s">
        <v>23</v>
      </c>
    </row>
    <row r="3" spans="1:24" x14ac:dyDescent="0.35">
      <c r="A3" s="19" t="s">
        <v>3134</v>
      </c>
      <c r="B3" s="19" t="s">
        <v>71</v>
      </c>
      <c r="C3" s="19" t="s">
        <v>72</v>
      </c>
      <c r="D3" s="19" t="s">
        <v>39</v>
      </c>
      <c r="E3" s="19" t="s">
        <v>40</v>
      </c>
      <c r="F3" s="19" t="s">
        <v>73</v>
      </c>
      <c r="G3" s="19" t="s">
        <v>2205</v>
      </c>
      <c r="H3" s="20"/>
      <c r="I3" s="20"/>
      <c r="J3" s="21"/>
      <c r="K3" s="21"/>
      <c r="L3" s="21">
        <v>0</v>
      </c>
      <c r="M3" s="20">
        <v>0</v>
      </c>
      <c r="N3" s="21">
        <v>383830</v>
      </c>
      <c r="O3" s="20">
        <v>8.4194561623059645</v>
      </c>
      <c r="P3" s="21">
        <v>361983</v>
      </c>
      <c r="Q3" s="21">
        <v>30477</v>
      </c>
      <c r="R3" s="20">
        <v>45.804040984689003</v>
      </c>
      <c r="S3" s="21">
        <v>117928</v>
      </c>
      <c r="T3" s="21">
        <v>257462</v>
      </c>
      <c r="U3" s="19" t="s">
        <v>2205</v>
      </c>
      <c r="V3" s="19" t="s">
        <v>2205</v>
      </c>
      <c r="W3" s="19" t="s">
        <v>2205</v>
      </c>
      <c r="X3" s="19" t="s">
        <v>23</v>
      </c>
    </row>
    <row r="4" spans="1:24" x14ac:dyDescent="0.35">
      <c r="A4" s="22" t="s">
        <v>3137</v>
      </c>
      <c r="B4" s="22" t="s">
        <v>85</v>
      </c>
      <c r="C4" s="22" t="s">
        <v>86</v>
      </c>
      <c r="D4" s="22" t="s">
        <v>58</v>
      </c>
      <c r="E4" s="22" t="s">
        <v>40</v>
      </c>
      <c r="F4" s="22" t="s">
        <v>84</v>
      </c>
      <c r="G4" s="22" t="s">
        <v>2205</v>
      </c>
      <c r="H4" s="23">
        <v>2.64</v>
      </c>
      <c r="I4" s="23">
        <v>5.18</v>
      </c>
      <c r="J4" s="24">
        <v>94903</v>
      </c>
      <c r="K4" s="24">
        <v>186210</v>
      </c>
      <c r="L4" s="24">
        <v>-91307</v>
      </c>
      <c r="M4" s="23">
        <v>-2.54</v>
      </c>
      <c r="N4" s="24">
        <v>3594796</v>
      </c>
      <c r="O4" s="23">
        <v>16.302054243219601</v>
      </c>
      <c r="P4" s="24">
        <v>3571875</v>
      </c>
      <c r="Q4" s="24">
        <v>582289</v>
      </c>
      <c r="R4" s="23">
        <v>57.442028395441262</v>
      </c>
      <c r="S4" s="24">
        <v>1601312</v>
      </c>
      <c r="T4" s="24">
        <v>2787701</v>
      </c>
      <c r="U4" s="22" t="s">
        <v>2209</v>
      </c>
      <c r="V4" s="22" t="s">
        <v>2209</v>
      </c>
      <c r="W4" s="22" t="s">
        <v>2205</v>
      </c>
      <c r="X4" s="22" t="s">
        <v>23</v>
      </c>
    </row>
    <row r="5" spans="1:24" x14ac:dyDescent="0.35">
      <c r="A5" s="22" t="s">
        <v>3140</v>
      </c>
      <c r="B5" s="22" t="s">
        <v>91</v>
      </c>
      <c r="C5" s="22" t="s">
        <v>92</v>
      </c>
      <c r="D5" s="22" t="s">
        <v>34</v>
      </c>
      <c r="E5" s="22" t="s">
        <v>31</v>
      </c>
      <c r="F5" s="22" t="s">
        <v>84</v>
      </c>
      <c r="G5" s="22" t="s">
        <v>2205</v>
      </c>
      <c r="H5" s="23"/>
      <c r="I5" s="23">
        <v>16.309999999999999</v>
      </c>
      <c r="J5" s="24"/>
      <c r="K5" s="24">
        <v>262392</v>
      </c>
      <c r="L5" s="24">
        <v>-262392</v>
      </c>
      <c r="M5" s="23">
        <v>-16.309999999999999</v>
      </c>
      <c r="N5" s="24">
        <v>1608780</v>
      </c>
      <c r="O5" s="23">
        <v>8.5860166588540725</v>
      </c>
      <c r="P5" s="24">
        <v>1386650</v>
      </c>
      <c r="Q5" s="24">
        <v>119058</v>
      </c>
      <c r="R5" s="23">
        <v>53.949335380388668</v>
      </c>
      <c r="S5" s="24">
        <v>587532</v>
      </c>
      <c r="T5" s="24">
        <v>1089044</v>
      </c>
      <c r="U5" s="22" t="s">
        <v>2205</v>
      </c>
      <c r="V5" s="22" t="s">
        <v>2209</v>
      </c>
      <c r="W5" s="22" t="s">
        <v>2205</v>
      </c>
      <c r="X5" s="22" t="s">
        <v>23</v>
      </c>
    </row>
    <row r="6" spans="1:24" x14ac:dyDescent="0.35">
      <c r="A6" s="25" t="s">
        <v>3123</v>
      </c>
      <c r="B6" s="25" t="s">
        <v>37</v>
      </c>
      <c r="C6" s="25" t="s">
        <v>38</v>
      </c>
      <c r="D6" s="25" t="s">
        <v>39</v>
      </c>
      <c r="E6" s="25" t="s">
        <v>40</v>
      </c>
      <c r="F6" s="25" t="s">
        <v>22</v>
      </c>
      <c r="G6" s="25" t="s">
        <v>2209</v>
      </c>
      <c r="H6" s="26">
        <v>46.989999999999988</v>
      </c>
      <c r="I6" s="26">
        <v>33.729999999999997</v>
      </c>
      <c r="J6" s="27">
        <v>7651506</v>
      </c>
      <c r="K6" s="27">
        <v>5492345</v>
      </c>
      <c r="L6" s="27">
        <v>2159161</v>
      </c>
      <c r="M6" s="26">
        <v>13.26</v>
      </c>
      <c r="N6" s="27">
        <v>16283265</v>
      </c>
      <c r="O6" s="26">
        <v>14.14278886638294</v>
      </c>
      <c r="P6" s="27">
        <v>18893770</v>
      </c>
      <c r="Q6" s="27">
        <v>2672106</v>
      </c>
      <c r="R6" s="26">
        <v>52.623006853604323</v>
      </c>
      <c r="S6" s="27">
        <v>8436752</v>
      </c>
      <c r="T6" s="27">
        <v>16032440</v>
      </c>
      <c r="U6" s="25" t="s">
        <v>2209</v>
      </c>
      <c r="V6" s="25" t="s">
        <v>2209</v>
      </c>
      <c r="W6" s="25" t="s">
        <v>2209</v>
      </c>
      <c r="X6" s="25" t="s">
        <v>23</v>
      </c>
    </row>
    <row r="7" spans="1:24" x14ac:dyDescent="0.35">
      <c r="A7" s="22" t="s">
        <v>3152</v>
      </c>
      <c r="B7" s="22" t="s">
        <v>123</v>
      </c>
      <c r="C7" s="22" t="s">
        <v>124</v>
      </c>
      <c r="D7" s="22" t="s">
        <v>58</v>
      </c>
      <c r="E7" s="22" t="s">
        <v>40</v>
      </c>
      <c r="F7" s="22" t="s">
        <v>84</v>
      </c>
      <c r="G7" s="22" t="s">
        <v>2205</v>
      </c>
      <c r="H7" s="23">
        <v>6.2799999999999994</v>
      </c>
      <c r="I7" s="23">
        <v>78.600000000000009</v>
      </c>
      <c r="J7" s="24">
        <v>181782</v>
      </c>
      <c r="K7" s="24">
        <v>2275168</v>
      </c>
      <c r="L7" s="24">
        <v>-2093386</v>
      </c>
      <c r="M7" s="23">
        <v>-72.319999999999993</v>
      </c>
      <c r="N7" s="24">
        <v>2894616</v>
      </c>
      <c r="O7" s="23">
        <v>19.872057567148939</v>
      </c>
      <c r="P7" s="24">
        <v>3167362</v>
      </c>
      <c r="Q7" s="24">
        <v>629420</v>
      </c>
      <c r="R7" s="23">
        <v>51.367808105445917</v>
      </c>
      <c r="S7" s="24">
        <v>1274536</v>
      </c>
      <c r="T7" s="24">
        <v>2481196</v>
      </c>
      <c r="U7" s="22" t="s">
        <v>2209</v>
      </c>
      <c r="V7" s="22" t="s">
        <v>2205</v>
      </c>
      <c r="W7" s="22" t="s">
        <v>2205</v>
      </c>
      <c r="X7" s="22" t="s">
        <v>23</v>
      </c>
    </row>
    <row r="8" spans="1:24" x14ac:dyDescent="0.35">
      <c r="A8" s="22" t="s">
        <v>3146</v>
      </c>
      <c r="B8" s="22" t="s">
        <v>107</v>
      </c>
      <c r="C8" s="22" t="s">
        <v>108</v>
      </c>
      <c r="D8" s="22" t="s">
        <v>55</v>
      </c>
      <c r="E8" s="22" t="s">
        <v>21</v>
      </c>
      <c r="F8" s="22" t="s">
        <v>84</v>
      </c>
      <c r="G8" s="22" t="s">
        <v>2205</v>
      </c>
      <c r="H8" s="23">
        <v>8.93</v>
      </c>
      <c r="I8" s="23">
        <v>63.53</v>
      </c>
      <c r="J8" s="24">
        <v>148317</v>
      </c>
      <c r="K8" s="24">
        <v>1055159</v>
      </c>
      <c r="L8" s="24">
        <v>-906842</v>
      </c>
      <c r="M8" s="23">
        <v>-54.6</v>
      </c>
      <c r="N8" s="24">
        <v>1660883</v>
      </c>
      <c r="O8" s="23">
        <v>13.37001730698233</v>
      </c>
      <c r="P8" s="24">
        <v>1874388</v>
      </c>
      <c r="Q8" s="24">
        <v>250606</v>
      </c>
      <c r="R8" s="23">
        <v>51.870566353403142</v>
      </c>
      <c r="S8" s="24">
        <v>782537</v>
      </c>
      <c r="T8" s="24">
        <v>1508634</v>
      </c>
      <c r="U8" s="22" t="s">
        <v>2209</v>
      </c>
      <c r="V8" s="22" t="s">
        <v>2205</v>
      </c>
      <c r="W8" s="22" t="s">
        <v>2205</v>
      </c>
      <c r="X8" s="22" t="s">
        <v>23</v>
      </c>
    </row>
    <row r="9" spans="1:24" x14ac:dyDescent="0.35">
      <c r="A9" s="22" t="s">
        <v>3030</v>
      </c>
      <c r="B9" s="22" t="s">
        <v>97</v>
      </c>
      <c r="C9" s="22" t="s">
        <v>98</v>
      </c>
      <c r="D9" s="22" t="s">
        <v>30</v>
      </c>
      <c r="E9" s="22" t="s">
        <v>31</v>
      </c>
      <c r="F9" s="22" t="s">
        <v>84</v>
      </c>
      <c r="G9" s="22" t="s">
        <v>2205</v>
      </c>
      <c r="H9" s="23"/>
      <c r="I9" s="23">
        <v>82.08</v>
      </c>
      <c r="J9" s="24"/>
      <c r="K9" s="24">
        <v>419605</v>
      </c>
      <c r="L9" s="24">
        <v>-419605</v>
      </c>
      <c r="M9" s="23">
        <v>-82.08</v>
      </c>
      <c r="N9" s="24">
        <v>511215</v>
      </c>
      <c r="O9" s="23">
        <v>12.88963504816725</v>
      </c>
      <c r="P9" s="24">
        <v>500340</v>
      </c>
      <c r="Q9" s="24">
        <v>64492</v>
      </c>
      <c r="R9" s="23">
        <v>49.437312486595673</v>
      </c>
      <c r="S9" s="24">
        <v>209764</v>
      </c>
      <c r="T9" s="24">
        <v>424303</v>
      </c>
      <c r="U9" s="22" t="s">
        <v>2209</v>
      </c>
      <c r="V9" s="22" t="s">
        <v>2205</v>
      </c>
      <c r="W9" s="22" t="s">
        <v>2205</v>
      </c>
      <c r="X9" s="22" t="s">
        <v>23</v>
      </c>
    </row>
    <row r="10" spans="1:24" x14ac:dyDescent="0.35">
      <c r="A10" s="22" t="s">
        <v>3141</v>
      </c>
      <c r="B10" s="22" t="s">
        <v>93</v>
      </c>
      <c r="C10" s="22" t="s">
        <v>94</v>
      </c>
      <c r="D10" s="22" t="s">
        <v>30</v>
      </c>
      <c r="E10" s="22" t="s">
        <v>31</v>
      </c>
      <c r="F10" s="22" t="s">
        <v>84</v>
      </c>
      <c r="G10" s="22" t="s">
        <v>2205</v>
      </c>
      <c r="H10" s="23"/>
      <c r="I10" s="23">
        <v>98.64</v>
      </c>
      <c r="J10" s="24"/>
      <c r="K10" s="24">
        <v>380427</v>
      </c>
      <c r="L10" s="24">
        <v>-380427</v>
      </c>
      <c r="M10" s="23">
        <v>-98.64</v>
      </c>
      <c r="N10" s="24">
        <v>385672</v>
      </c>
      <c r="O10" s="23">
        <v>22.859513160335549</v>
      </c>
      <c r="P10" s="24">
        <v>388136</v>
      </c>
      <c r="Q10" s="24">
        <v>88726</v>
      </c>
      <c r="R10" s="23">
        <v>50.852651439732249</v>
      </c>
      <c r="S10" s="24">
        <v>268174</v>
      </c>
      <c r="T10" s="24">
        <v>527355</v>
      </c>
      <c r="U10" s="22" t="s">
        <v>2209</v>
      </c>
      <c r="V10" s="22" t="s">
        <v>2205</v>
      </c>
      <c r="W10" s="22" t="s">
        <v>2205</v>
      </c>
      <c r="X10" s="22" t="s">
        <v>23</v>
      </c>
    </row>
    <row r="11" spans="1:24" x14ac:dyDescent="0.35">
      <c r="A11" s="22" t="s">
        <v>3027</v>
      </c>
      <c r="B11" s="22" t="s">
        <v>119</v>
      </c>
      <c r="C11" s="22" t="s">
        <v>120</v>
      </c>
      <c r="D11" s="22" t="s">
        <v>30</v>
      </c>
      <c r="E11" s="22" t="s">
        <v>31</v>
      </c>
      <c r="F11" s="22" t="s">
        <v>84</v>
      </c>
      <c r="G11" s="22" t="s">
        <v>2205</v>
      </c>
      <c r="H11" s="23">
        <v>36.15</v>
      </c>
      <c r="I11" s="23">
        <v>52.32</v>
      </c>
      <c r="J11" s="24">
        <v>4148992</v>
      </c>
      <c r="K11" s="24">
        <v>6004849</v>
      </c>
      <c r="L11" s="24">
        <v>-1855857</v>
      </c>
      <c r="M11" s="23">
        <v>-16.170000000000002</v>
      </c>
      <c r="N11" s="24">
        <v>11477157</v>
      </c>
      <c r="O11" s="23">
        <v>15.52614873632195</v>
      </c>
      <c r="P11" s="24">
        <v>11086922</v>
      </c>
      <c r="Q11" s="24">
        <v>1721372</v>
      </c>
      <c r="R11" s="23">
        <v>60.399546488699031</v>
      </c>
      <c r="S11" s="24">
        <v>5815792</v>
      </c>
      <c r="T11" s="24">
        <v>9628867</v>
      </c>
      <c r="U11" s="22" t="s">
        <v>2209</v>
      </c>
      <c r="V11" s="22" t="s">
        <v>2209</v>
      </c>
      <c r="W11" s="22" t="s">
        <v>2205</v>
      </c>
      <c r="X11" s="22" t="s">
        <v>23</v>
      </c>
    </row>
    <row r="12" spans="1:24" x14ac:dyDescent="0.35">
      <c r="A12" s="22" t="s">
        <v>3151</v>
      </c>
      <c r="B12" s="22" t="s">
        <v>121</v>
      </c>
      <c r="C12" s="22" t="s">
        <v>122</v>
      </c>
      <c r="D12" s="22" t="s">
        <v>30</v>
      </c>
      <c r="E12" s="22" t="s">
        <v>31</v>
      </c>
      <c r="F12" s="22" t="s">
        <v>84</v>
      </c>
      <c r="G12" s="22" t="s">
        <v>2205</v>
      </c>
      <c r="H12" s="23">
        <v>16.93</v>
      </c>
      <c r="I12" s="23">
        <v>57.42</v>
      </c>
      <c r="J12" s="24">
        <v>859861</v>
      </c>
      <c r="K12" s="24">
        <v>2916314</v>
      </c>
      <c r="L12" s="24">
        <v>-2056453</v>
      </c>
      <c r="M12" s="23">
        <v>-40.49</v>
      </c>
      <c r="N12" s="24">
        <v>5078917</v>
      </c>
      <c r="O12" s="23">
        <v>14.8755035751685</v>
      </c>
      <c r="P12" s="24">
        <v>5402123</v>
      </c>
      <c r="Q12" s="24">
        <v>803593</v>
      </c>
      <c r="R12" s="23">
        <v>57.484629457316181</v>
      </c>
      <c r="S12" s="24">
        <v>2442730</v>
      </c>
      <c r="T12" s="24">
        <v>4249362</v>
      </c>
      <c r="U12" s="22" t="s">
        <v>2209</v>
      </c>
      <c r="V12" s="22" t="s">
        <v>2209</v>
      </c>
      <c r="W12" s="22" t="s">
        <v>2205</v>
      </c>
      <c r="X12" s="22" t="s">
        <v>23</v>
      </c>
    </row>
    <row r="13" spans="1:24" x14ac:dyDescent="0.35">
      <c r="A13" s="16" t="s">
        <v>3128</v>
      </c>
      <c r="B13" s="16" t="s">
        <v>51</v>
      </c>
      <c r="C13" s="16" t="s">
        <v>52</v>
      </c>
      <c r="D13" s="16" t="s">
        <v>39</v>
      </c>
      <c r="E13" s="16" t="s">
        <v>40</v>
      </c>
      <c r="F13" s="16" t="s">
        <v>22</v>
      </c>
      <c r="G13" s="16" t="s">
        <v>2209</v>
      </c>
      <c r="H13" s="17">
        <v>92.28</v>
      </c>
      <c r="I13" s="17"/>
      <c r="J13" s="18">
        <v>556913</v>
      </c>
      <c r="K13" s="18"/>
      <c r="L13" s="18">
        <v>556913</v>
      </c>
      <c r="M13" s="17">
        <v>92.28</v>
      </c>
      <c r="N13" s="18">
        <v>603504</v>
      </c>
      <c r="O13" s="17">
        <v>8.874679378937115</v>
      </c>
      <c r="P13" s="18">
        <v>716578</v>
      </c>
      <c r="Q13" s="18">
        <v>63594</v>
      </c>
      <c r="R13" s="17">
        <v>50.421569207118793</v>
      </c>
      <c r="S13" s="18">
        <v>255834</v>
      </c>
      <c r="T13" s="18">
        <v>507390</v>
      </c>
      <c r="U13" s="16" t="s">
        <v>2205</v>
      </c>
      <c r="V13" s="16" t="s">
        <v>2205</v>
      </c>
      <c r="W13" s="16" t="s">
        <v>2205</v>
      </c>
      <c r="X13" s="16" t="s">
        <v>23</v>
      </c>
    </row>
    <row r="14" spans="1:24" x14ac:dyDescent="0.35">
      <c r="A14" s="16" t="s">
        <v>2935</v>
      </c>
      <c r="B14" s="16" t="s">
        <v>67</v>
      </c>
      <c r="C14" s="16" t="s">
        <v>68</v>
      </c>
      <c r="D14" s="16" t="s">
        <v>58</v>
      </c>
      <c r="E14" s="16" t="s">
        <v>40</v>
      </c>
      <c r="F14" s="16" t="s">
        <v>22</v>
      </c>
      <c r="G14" s="16" t="s">
        <v>2209</v>
      </c>
      <c r="H14" s="17">
        <v>9.0399999999999991</v>
      </c>
      <c r="I14" s="17">
        <v>0.26</v>
      </c>
      <c r="J14" s="18">
        <v>82999</v>
      </c>
      <c r="K14" s="18">
        <v>2387</v>
      </c>
      <c r="L14" s="18">
        <v>80612</v>
      </c>
      <c r="M14" s="17">
        <v>8.7799999999999994</v>
      </c>
      <c r="N14" s="18">
        <v>918136</v>
      </c>
      <c r="O14" s="17">
        <v>12.706975728012569</v>
      </c>
      <c r="P14" s="18">
        <v>952044</v>
      </c>
      <c r="Q14" s="18">
        <v>120976</v>
      </c>
      <c r="R14" s="17">
        <v>44.01331807786957</v>
      </c>
      <c r="S14" s="18">
        <v>303511</v>
      </c>
      <c r="T14" s="18">
        <v>689589</v>
      </c>
      <c r="U14" s="16" t="s">
        <v>2209</v>
      </c>
      <c r="V14" s="16" t="s">
        <v>2205</v>
      </c>
      <c r="W14" s="16" t="s">
        <v>2205</v>
      </c>
      <c r="X14" s="16" t="s">
        <v>23</v>
      </c>
    </row>
    <row r="15" spans="1:24" x14ac:dyDescent="0.35">
      <c r="A15" s="22" t="s">
        <v>3154</v>
      </c>
      <c r="B15" s="22" t="s">
        <v>133</v>
      </c>
      <c r="C15" s="22" t="s">
        <v>134</v>
      </c>
      <c r="D15" s="22" t="s">
        <v>26</v>
      </c>
      <c r="E15" s="22" t="s">
        <v>27</v>
      </c>
      <c r="F15" s="22" t="s">
        <v>84</v>
      </c>
      <c r="G15" s="22" t="s">
        <v>2205</v>
      </c>
      <c r="H15" s="23">
        <v>4.92</v>
      </c>
      <c r="I15" s="23">
        <v>75.37</v>
      </c>
      <c r="J15" s="24">
        <v>297963</v>
      </c>
      <c r="K15" s="24">
        <v>4564524</v>
      </c>
      <c r="L15" s="24">
        <v>-4266561</v>
      </c>
      <c r="M15" s="23">
        <v>-70.45</v>
      </c>
      <c r="N15" s="24">
        <v>6056155</v>
      </c>
      <c r="O15" s="23">
        <v>13.57742472678494</v>
      </c>
      <c r="P15" s="24">
        <v>6314165</v>
      </c>
      <c r="Q15" s="24">
        <v>857301</v>
      </c>
      <c r="R15" s="23">
        <v>56.251857872672772</v>
      </c>
      <c r="S15" s="24">
        <v>3112912</v>
      </c>
      <c r="T15" s="24">
        <v>5533883</v>
      </c>
      <c r="U15" s="22" t="s">
        <v>2209</v>
      </c>
      <c r="V15" s="22" t="s">
        <v>2209</v>
      </c>
      <c r="W15" s="22" t="s">
        <v>2205</v>
      </c>
      <c r="X15" s="22" t="s">
        <v>23</v>
      </c>
    </row>
    <row r="16" spans="1:24" x14ac:dyDescent="0.35">
      <c r="A16" s="22" t="s">
        <v>3149</v>
      </c>
      <c r="B16" s="22" t="s">
        <v>113</v>
      </c>
      <c r="C16" s="22" t="s">
        <v>114</v>
      </c>
      <c r="D16" s="22" t="s">
        <v>26</v>
      </c>
      <c r="E16" s="22" t="s">
        <v>27</v>
      </c>
      <c r="F16" s="22" t="s">
        <v>84</v>
      </c>
      <c r="G16" s="22" t="s">
        <v>2205</v>
      </c>
      <c r="H16" s="23">
        <v>21.06</v>
      </c>
      <c r="I16" s="23">
        <v>58.29</v>
      </c>
      <c r="J16" s="24">
        <v>699558</v>
      </c>
      <c r="K16" s="24">
        <v>1936242</v>
      </c>
      <c r="L16" s="24">
        <v>-1236684</v>
      </c>
      <c r="M16" s="23">
        <v>-37.229999999999997</v>
      </c>
      <c r="N16" s="24">
        <v>3321739</v>
      </c>
      <c r="O16" s="23">
        <v>9.636304682000544</v>
      </c>
      <c r="P16" s="24">
        <v>3355446</v>
      </c>
      <c r="Q16" s="24">
        <v>323341</v>
      </c>
      <c r="R16" s="23">
        <v>56.819272382843963</v>
      </c>
      <c r="S16" s="24">
        <v>1634070</v>
      </c>
      <c r="T16" s="24">
        <v>2875908</v>
      </c>
      <c r="U16" s="22" t="s">
        <v>2205</v>
      </c>
      <c r="V16" s="22" t="s">
        <v>2209</v>
      </c>
      <c r="W16" s="22" t="s">
        <v>2205</v>
      </c>
      <c r="X16" s="22" t="s">
        <v>23</v>
      </c>
    </row>
    <row r="17" spans="1:24" x14ac:dyDescent="0.35">
      <c r="A17" s="19" t="s">
        <v>2500</v>
      </c>
      <c r="B17" s="19" t="s">
        <v>74</v>
      </c>
      <c r="C17" s="19" t="s">
        <v>75</v>
      </c>
      <c r="D17" s="19" t="s">
        <v>43</v>
      </c>
      <c r="E17" s="19" t="s">
        <v>27</v>
      </c>
      <c r="F17" s="19" t="s">
        <v>73</v>
      </c>
      <c r="G17" s="19" t="s">
        <v>2205</v>
      </c>
      <c r="H17" s="20"/>
      <c r="I17" s="20"/>
      <c r="J17" s="21"/>
      <c r="K17" s="21"/>
      <c r="L17" s="21">
        <v>0</v>
      </c>
      <c r="M17" s="20">
        <v>0</v>
      </c>
      <c r="N17" s="21">
        <v>1661913</v>
      </c>
      <c r="O17" s="20">
        <v>9.866779653619826</v>
      </c>
      <c r="P17" s="21">
        <v>1649748</v>
      </c>
      <c r="Q17" s="21">
        <v>162777</v>
      </c>
      <c r="R17" s="20">
        <v>54.010137784128823</v>
      </c>
      <c r="S17" s="21">
        <v>748742</v>
      </c>
      <c r="T17" s="21">
        <v>1386299</v>
      </c>
      <c r="U17" s="19" t="s">
        <v>2205</v>
      </c>
      <c r="V17" s="19" t="s">
        <v>2209</v>
      </c>
      <c r="W17" s="19" t="s">
        <v>2205</v>
      </c>
      <c r="X17" s="19" t="s">
        <v>23</v>
      </c>
    </row>
    <row r="18" spans="1:24" x14ac:dyDescent="0.35">
      <c r="A18" s="16" t="s">
        <v>3132</v>
      </c>
      <c r="B18" s="16" t="s">
        <v>63</v>
      </c>
      <c r="C18" s="16" t="s">
        <v>64</v>
      </c>
      <c r="D18" s="16" t="s">
        <v>43</v>
      </c>
      <c r="E18" s="16" t="s">
        <v>27</v>
      </c>
      <c r="F18" s="16" t="s">
        <v>22</v>
      </c>
      <c r="G18" s="16" t="s">
        <v>2209</v>
      </c>
      <c r="H18" s="17">
        <v>19.940000000000001</v>
      </c>
      <c r="I18" s="17">
        <v>4.5199999999999996</v>
      </c>
      <c r="J18" s="18">
        <v>296567</v>
      </c>
      <c r="K18" s="18">
        <v>67226</v>
      </c>
      <c r="L18" s="18">
        <v>229341</v>
      </c>
      <c r="M18" s="17">
        <v>15.42</v>
      </c>
      <c r="N18" s="18">
        <v>1487297</v>
      </c>
      <c r="O18" s="17">
        <v>10.27245533620532</v>
      </c>
      <c r="P18" s="18">
        <v>1494667</v>
      </c>
      <c r="Q18" s="18">
        <v>153539</v>
      </c>
      <c r="R18" s="17">
        <v>51.100363033286747</v>
      </c>
      <c r="S18" s="18">
        <v>626098</v>
      </c>
      <c r="T18" s="18">
        <v>1225232</v>
      </c>
      <c r="U18" s="16" t="s">
        <v>2205</v>
      </c>
      <c r="V18" s="16" t="s">
        <v>2205</v>
      </c>
      <c r="W18" s="16" t="s">
        <v>2205</v>
      </c>
      <c r="X18" s="16" t="s">
        <v>23</v>
      </c>
    </row>
    <row r="19" spans="1:24" x14ac:dyDescent="0.35">
      <c r="A19" s="16" t="s">
        <v>3125</v>
      </c>
      <c r="B19" s="16" t="s">
        <v>44</v>
      </c>
      <c r="C19" s="16" t="s">
        <v>45</v>
      </c>
      <c r="D19" s="16" t="s">
        <v>46</v>
      </c>
      <c r="E19" s="16" t="s">
        <v>31</v>
      </c>
      <c r="F19" s="16" t="s">
        <v>22</v>
      </c>
      <c r="G19" s="16" t="s">
        <v>2209</v>
      </c>
      <c r="H19" s="17">
        <v>59.86</v>
      </c>
      <c r="I19" s="17">
        <v>4.79</v>
      </c>
      <c r="J19" s="18">
        <v>1363705</v>
      </c>
      <c r="K19" s="18">
        <v>109124</v>
      </c>
      <c r="L19" s="18">
        <v>1254581</v>
      </c>
      <c r="M19" s="17">
        <v>55.07</v>
      </c>
      <c r="N19" s="18">
        <v>2278158</v>
      </c>
      <c r="O19" s="17">
        <v>9.4831882724898833</v>
      </c>
      <c r="P19" s="18">
        <v>2078668</v>
      </c>
      <c r="Q19" s="18">
        <v>197124</v>
      </c>
      <c r="R19" s="17">
        <v>57.389485121371187</v>
      </c>
      <c r="S19" s="18">
        <v>957081</v>
      </c>
      <c r="T19" s="18">
        <v>1667694</v>
      </c>
      <c r="U19" s="16" t="s">
        <v>2205</v>
      </c>
      <c r="V19" s="16" t="s">
        <v>2209</v>
      </c>
      <c r="W19" s="16" t="s">
        <v>2205</v>
      </c>
      <c r="X19" s="16" t="s">
        <v>23</v>
      </c>
    </row>
    <row r="20" spans="1:24" x14ac:dyDescent="0.35">
      <c r="A20" s="16" t="s">
        <v>2943</v>
      </c>
      <c r="B20" s="16" t="s">
        <v>69</v>
      </c>
      <c r="C20" s="16" t="s">
        <v>70</v>
      </c>
      <c r="D20" s="16" t="s">
        <v>34</v>
      </c>
      <c r="E20" s="16" t="s">
        <v>31</v>
      </c>
      <c r="F20" s="16" t="s">
        <v>22</v>
      </c>
      <c r="G20" s="16" t="s">
        <v>2209</v>
      </c>
      <c r="H20" s="17">
        <v>13.49</v>
      </c>
      <c r="I20" s="17">
        <v>11.29</v>
      </c>
      <c r="J20" s="18">
        <v>318024</v>
      </c>
      <c r="K20" s="18">
        <v>266159</v>
      </c>
      <c r="L20" s="18">
        <v>51865</v>
      </c>
      <c r="M20" s="17">
        <v>2.2000000000000002</v>
      </c>
      <c r="N20" s="18">
        <v>2357476</v>
      </c>
      <c r="O20" s="17">
        <v>7.994403286380841</v>
      </c>
      <c r="P20" s="18">
        <v>2043342</v>
      </c>
      <c r="Q20" s="18">
        <v>163353</v>
      </c>
      <c r="R20" s="17">
        <v>45.899542345788049</v>
      </c>
      <c r="S20" s="18">
        <v>754605</v>
      </c>
      <c r="T20" s="18">
        <v>1644036</v>
      </c>
      <c r="U20" s="16" t="s">
        <v>2205</v>
      </c>
      <c r="V20" s="16" t="s">
        <v>2205</v>
      </c>
      <c r="W20" s="16" t="s">
        <v>2205</v>
      </c>
      <c r="X20" s="16" t="s">
        <v>23</v>
      </c>
    </row>
    <row r="21" spans="1:24" x14ac:dyDescent="0.35">
      <c r="A21" s="16" t="s">
        <v>2964</v>
      </c>
      <c r="B21" s="16" t="s">
        <v>53</v>
      </c>
      <c r="C21" s="16" t="s">
        <v>54</v>
      </c>
      <c r="D21" s="16" t="s">
        <v>55</v>
      </c>
      <c r="E21" s="16" t="s">
        <v>21</v>
      </c>
      <c r="F21" s="16" t="s">
        <v>22</v>
      </c>
      <c r="G21" s="16" t="s">
        <v>2209</v>
      </c>
      <c r="H21" s="17">
        <v>73.58</v>
      </c>
      <c r="I21" s="17">
        <v>8.870000000000001</v>
      </c>
      <c r="J21" s="18">
        <v>600801</v>
      </c>
      <c r="K21" s="18">
        <v>72426</v>
      </c>
      <c r="L21" s="18">
        <v>528375</v>
      </c>
      <c r="M21" s="17">
        <v>64.709999999999994</v>
      </c>
      <c r="N21" s="18">
        <v>816527</v>
      </c>
      <c r="O21" s="17">
        <v>14.672324724297811</v>
      </c>
      <c r="P21" s="18">
        <v>702479</v>
      </c>
      <c r="Q21" s="18">
        <v>103070</v>
      </c>
      <c r="R21" s="17">
        <v>45.509245973467181</v>
      </c>
      <c r="S21" s="18">
        <v>242633</v>
      </c>
      <c r="T21" s="18">
        <v>533151</v>
      </c>
      <c r="U21" s="16" t="s">
        <v>2209</v>
      </c>
      <c r="V21" s="16" t="s">
        <v>2205</v>
      </c>
      <c r="W21" s="16" t="s">
        <v>2205</v>
      </c>
      <c r="X21" s="16" t="s">
        <v>23</v>
      </c>
    </row>
    <row r="22" spans="1:24" x14ac:dyDescent="0.35">
      <c r="A22" s="22" t="s">
        <v>2960</v>
      </c>
      <c r="B22" s="22" t="s">
        <v>131</v>
      </c>
      <c r="C22" s="22" t="s">
        <v>132</v>
      </c>
      <c r="D22" s="22" t="s">
        <v>30</v>
      </c>
      <c r="E22" s="22" t="s">
        <v>31</v>
      </c>
      <c r="F22" s="22" t="s">
        <v>84</v>
      </c>
      <c r="G22" s="22" t="s">
        <v>2205</v>
      </c>
      <c r="H22" s="23">
        <v>0.16</v>
      </c>
      <c r="I22" s="23">
        <v>89.44</v>
      </c>
      <c r="J22" s="24">
        <v>4407</v>
      </c>
      <c r="K22" s="24">
        <v>2463446</v>
      </c>
      <c r="L22" s="24">
        <v>-2459039</v>
      </c>
      <c r="M22" s="23">
        <v>-89.28</v>
      </c>
      <c r="N22" s="24">
        <v>2754300</v>
      </c>
      <c r="O22" s="23">
        <v>15.62963339308274</v>
      </c>
      <c r="P22" s="24">
        <v>3227926</v>
      </c>
      <c r="Q22" s="24">
        <v>504513</v>
      </c>
      <c r="R22" s="23">
        <v>52.101353539358293</v>
      </c>
      <c r="S22" s="24">
        <v>1269450</v>
      </c>
      <c r="T22" s="24">
        <v>2436501</v>
      </c>
      <c r="U22" s="22" t="s">
        <v>2209</v>
      </c>
      <c r="V22" s="22" t="s">
        <v>2205</v>
      </c>
      <c r="W22" s="22" t="s">
        <v>2205</v>
      </c>
      <c r="X22" s="22" t="s">
        <v>23</v>
      </c>
    </row>
    <row r="23" spans="1:24" x14ac:dyDescent="0.35">
      <c r="A23" s="22" t="s">
        <v>2996</v>
      </c>
      <c r="B23" s="22" t="s">
        <v>129</v>
      </c>
      <c r="C23" s="22" t="s">
        <v>130</v>
      </c>
      <c r="D23" s="22" t="s">
        <v>55</v>
      </c>
      <c r="E23" s="22" t="s">
        <v>21</v>
      </c>
      <c r="F23" s="22" t="s">
        <v>84</v>
      </c>
      <c r="G23" s="22" t="s">
        <v>2205</v>
      </c>
      <c r="H23" s="23">
        <v>12.37</v>
      </c>
      <c r="I23" s="23">
        <v>85.87</v>
      </c>
      <c r="J23" s="24">
        <v>412202</v>
      </c>
      <c r="K23" s="24">
        <v>2861422</v>
      </c>
      <c r="L23" s="24">
        <v>-2449220</v>
      </c>
      <c r="M23" s="23">
        <v>-73.5</v>
      </c>
      <c r="N23" s="24">
        <v>3332272</v>
      </c>
      <c r="O23" s="23">
        <v>14.835228237253</v>
      </c>
      <c r="P23" s="24">
        <v>3752433</v>
      </c>
      <c r="Q23" s="24">
        <v>556682</v>
      </c>
      <c r="R23" s="23">
        <v>55.346683273872593</v>
      </c>
      <c r="S23" s="24">
        <v>1880082</v>
      </c>
      <c r="T23" s="24">
        <v>3396919</v>
      </c>
      <c r="U23" s="22" t="s">
        <v>2209</v>
      </c>
      <c r="V23" s="22" t="s">
        <v>2209</v>
      </c>
      <c r="W23" s="22" t="s">
        <v>2205</v>
      </c>
      <c r="X23" s="22" t="s">
        <v>23</v>
      </c>
    </row>
    <row r="24" spans="1:24" x14ac:dyDescent="0.35">
      <c r="A24" s="22" t="s">
        <v>2939</v>
      </c>
      <c r="B24" s="22" t="s">
        <v>115</v>
      </c>
      <c r="C24" s="22" t="s">
        <v>116</v>
      </c>
      <c r="D24" s="22" t="s">
        <v>26</v>
      </c>
      <c r="E24" s="22" t="s">
        <v>27</v>
      </c>
      <c r="F24" s="22" t="s">
        <v>84</v>
      </c>
      <c r="G24" s="22" t="s">
        <v>2205</v>
      </c>
      <c r="H24" s="23">
        <v>25.93</v>
      </c>
      <c r="I24" s="23">
        <v>58.18</v>
      </c>
      <c r="J24" s="24">
        <v>1312548</v>
      </c>
      <c r="K24" s="24">
        <v>2945008</v>
      </c>
      <c r="L24" s="24">
        <v>-1632460</v>
      </c>
      <c r="M24" s="23">
        <v>-32.25</v>
      </c>
      <c r="N24" s="24">
        <v>5061891</v>
      </c>
      <c r="O24" s="23">
        <v>11.231139081759981</v>
      </c>
      <c r="P24" s="24">
        <v>4800270</v>
      </c>
      <c r="Q24" s="24">
        <v>539125</v>
      </c>
      <c r="R24" s="23">
        <v>52.292263464832871</v>
      </c>
      <c r="S24" s="24">
        <v>2059832</v>
      </c>
      <c r="T24" s="24">
        <v>3939076</v>
      </c>
      <c r="U24" s="22" t="s">
        <v>2205</v>
      </c>
      <c r="V24" s="22" t="s">
        <v>2205</v>
      </c>
      <c r="W24" s="22" t="s">
        <v>2205</v>
      </c>
      <c r="X24" s="22" t="s">
        <v>23</v>
      </c>
    </row>
    <row r="25" spans="1:24" x14ac:dyDescent="0.35">
      <c r="A25" s="22" t="s">
        <v>3144</v>
      </c>
      <c r="B25" s="22" t="s">
        <v>103</v>
      </c>
      <c r="C25" s="22" t="s">
        <v>104</v>
      </c>
      <c r="D25" s="22" t="s">
        <v>43</v>
      </c>
      <c r="E25" s="22" t="s">
        <v>27</v>
      </c>
      <c r="F25" s="22" t="s">
        <v>84</v>
      </c>
      <c r="G25" s="22" t="s">
        <v>2205</v>
      </c>
      <c r="H25" s="23">
        <v>17.399999999999999</v>
      </c>
      <c r="I25" s="23">
        <v>43.85</v>
      </c>
      <c r="J25" s="24">
        <v>496591</v>
      </c>
      <c r="K25" s="24">
        <v>1251466</v>
      </c>
      <c r="L25" s="24">
        <v>-754875</v>
      </c>
      <c r="M25" s="23">
        <v>-26.45</v>
      </c>
      <c r="N25" s="24">
        <v>2853970</v>
      </c>
      <c r="O25" s="23">
        <v>14.733057671613381</v>
      </c>
      <c r="P25" s="24">
        <v>3009002</v>
      </c>
      <c r="Q25" s="24">
        <v>443318</v>
      </c>
      <c r="R25" s="23">
        <v>54.15070766127409</v>
      </c>
      <c r="S25" s="24">
        <v>1479680</v>
      </c>
      <c r="T25" s="24">
        <v>2732522</v>
      </c>
      <c r="U25" s="22" t="s">
        <v>2209</v>
      </c>
      <c r="V25" s="22" t="s">
        <v>2209</v>
      </c>
      <c r="W25" s="22" t="s">
        <v>2205</v>
      </c>
      <c r="X25" s="22" t="s">
        <v>23</v>
      </c>
    </row>
    <row r="26" spans="1:24" x14ac:dyDescent="0.35">
      <c r="A26" s="22" t="s">
        <v>3044</v>
      </c>
      <c r="B26" s="22" t="s">
        <v>99</v>
      </c>
      <c r="C26" s="22" t="s">
        <v>100</v>
      </c>
      <c r="D26" s="22" t="s">
        <v>46</v>
      </c>
      <c r="E26" s="22" t="s">
        <v>31</v>
      </c>
      <c r="F26" s="22" t="s">
        <v>84</v>
      </c>
      <c r="G26" s="22" t="s">
        <v>2205</v>
      </c>
      <c r="H26" s="23">
        <v>1.1000000000000001</v>
      </c>
      <c r="I26" s="23">
        <v>29.15</v>
      </c>
      <c r="J26" s="24">
        <v>17742</v>
      </c>
      <c r="K26" s="24">
        <v>470167</v>
      </c>
      <c r="L26" s="24">
        <v>-452425</v>
      </c>
      <c r="M26" s="23">
        <v>-28.05</v>
      </c>
      <c r="N26" s="24">
        <v>1612924</v>
      </c>
      <c r="O26" s="23">
        <v>6.2407323933711707</v>
      </c>
      <c r="P26" s="24">
        <v>1302251</v>
      </c>
      <c r="Q26" s="24">
        <v>81270</v>
      </c>
      <c r="R26" s="23">
        <v>52.983018907874403</v>
      </c>
      <c r="S26" s="24">
        <v>500467</v>
      </c>
      <c r="T26" s="24">
        <v>944580</v>
      </c>
      <c r="U26" s="22" t="s">
        <v>2205</v>
      </c>
      <c r="V26" s="22" t="s">
        <v>2209</v>
      </c>
      <c r="W26" s="22" t="s">
        <v>2205</v>
      </c>
      <c r="X26" s="22" t="s">
        <v>23</v>
      </c>
    </row>
    <row r="27" spans="1:24" x14ac:dyDescent="0.35">
      <c r="A27" s="16" t="s">
        <v>3124</v>
      </c>
      <c r="B27" s="16" t="s">
        <v>41</v>
      </c>
      <c r="C27" s="16" t="s">
        <v>42</v>
      </c>
      <c r="D27" s="16" t="s">
        <v>43</v>
      </c>
      <c r="E27" s="16" t="s">
        <v>27</v>
      </c>
      <c r="F27" s="16" t="s">
        <v>22</v>
      </c>
      <c r="G27" s="16" t="s">
        <v>2209</v>
      </c>
      <c r="H27" s="17">
        <v>49.87</v>
      </c>
      <c r="I27" s="17">
        <v>5.3199999999999994</v>
      </c>
      <c r="J27" s="18">
        <v>1566412</v>
      </c>
      <c r="K27" s="18">
        <v>167101</v>
      </c>
      <c r="L27" s="18">
        <v>1399311</v>
      </c>
      <c r="M27" s="17">
        <v>44.55</v>
      </c>
      <c r="N27" s="18">
        <v>3140991</v>
      </c>
      <c r="O27" s="17">
        <v>11.789929886475219</v>
      </c>
      <c r="P27" s="18">
        <v>3054047</v>
      </c>
      <c r="Q27" s="18">
        <v>360070</v>
      </c>
      <c r="R27" s="17">
        <v>55.582648925687003</v>
      </c>
      <c r="S27" s="18">
        <v>1425352</v>
      </c>
      <c r="T27" s="18">
        <v>2564383</v>
      </c>
      <c r="U27" s="16" t="s">
        <v>2205</v>
      </c>
      <c r="V27" s="16" t="s">
        <v>2209</v>
      </c>
      <c r="W27" s="16" t="s">
        <v>2205</v>
      </c>
      <c r="X27" s="16" t="s">
        <v>23</v>
      </c>
    </row>
    <row r="28" spans="1:24" x14ac:dyDescent="0.35">
      <c r="A28" s="16" t="s">
        <v>3129</v>
      </c>
      <c r="B28" s="16" t="s">
        <v>56</v>
      </c>
      <c r="C28" s="16" t="s">
        <v>57</v>
      </c>
      <c r="D28" s="16" t="s">
        <v>58</v>
      </c>
      <c r="E28" s="16" t="s">
        <v>40</v>
      </c>
      <c r="F28" s="16" t="s">
        <v>22</v>
      </c>
      <c r="G28" s="16" t="s">
        <v>2209</v>
      </c>
      <c r="H28" s="17">
        <v>54.43</v>
      </c>
      <c r="I28" s="17"/>
      <c r="J28" s="18">
        <v>335785</v>
      </c>
      <c r="K28" s="18"/>
      <c r="L28" s="18">
        <v>335785</v>
      </c>
      <c r="M28" s="17">
        <v>54.43</v>
      </c>
      <c r="N28" s="18">
        <v>616912</v>
      </c>
      <c r="O28" s="17">
        <v>11.685121640012101</v>
      </c>
      <c r="P28" s="18">
        <v>565069</v>
      </c>
      <c r="Q28" s="18">
        <v>66029</v>
      </c>
      <c r="R28" s="17">
        <v>33.671036500522717</v>
      </c>
      <c r="S28" s="18">
        <v>134304</v>
      </c>
      <c r="T28" s="18">
        <v>398871</v>
      </c>
      <c r="U28" s="16" t="s">
        <v>2205</v>
      </c>
      <c r="V28" s="16" t="s">
        <v>2205</v>
      </c>
      <c r="W28" s="16" t="s">
        <v>2205</v>
      </c>
      <c r="X28" s="16" t="s">
        <v>23</v>
      </c>
    </row>
    <row r="29" spans="1:24" x14ac:dyDescent="0.35">
      <c r="A29" s="16" t="s">
        <v>3130</v>
      </c>
      <c r="B29" s="16" t="s">
        <v>59</v>
      </c>
      <c r="C29" s="16" t="s">
        <v>60</v>
      </c>
      <c r="D29" s="16" t="s">
        <v>43</v>
      </c>
      <c r="E29" s="16" t="s">
        <v>27</v>
      </c>
      <c r="F29" s="16" t="s">
        <v>22</v>
      </c>
      <c r="G29" s="16" t="s">
        <v>2209</v>
      </c>
      <c r="H29" s="17">
        <v>31.31</v>
      </c>
      <c r="I29" s="17"/>
      <c r="J29" s="18">
        <v>312736</v>
      </c>
      <c r="K29" s="18"/>
      <c r="L29" s="18">
        <v>312736</v>
      </c>
      <c r="M29" s="17">
        <v>31.31</v>
      </c>
      <c r="N29" s="18">
        <v>998839</v>
      </c>
      <c r="O29" s="17">
        <v>9.7395490509841469</v>
      </c>
      <c r="P29" s="18">
        <v>1036126</v>
      </c>
      <c r="Q29" s="18">
        <v>100914</v>
      </c>
      <c r="R29" s="17">
        <v>52.501994269984827</v>
      </c>
      <c r="S29" s="18">
        <v>467294</v>
      </c>
      <c r="T29" s="18">
        <v>890050</v>
      </c>
      <c r="U29" s="16" t="s">
        <v>2205</v>
      </c>
      <c r="V29" s="16" t="s">
        <v>2205</v>
      </c>
      <c r="W29" s="16" t="s">
        <v>2205</v>
      </c>
      <c r="X29" s="16" t="s">
        <v>23</v>
      </c>
    </row>
    <row r="30" spans="1:24" x14ac:dyDescent="0.35">
      <c r="A30" s="16" t="s">
        <v>3131</v>
      </c>
      <c r="B30" s="16" t="s">
        <v>61</v>
      </c>
      <c r="C30" s="16" t="s">
        <v>62</v>
      </c>
      <c r="D30" s="16" t="s">
        <v>58</v>
      </c>
      <c r="E30" s="16" t="s">
        <v>40</v>
      </c>
      <c r="F30" s="16" t="s">
        <v>22</v>
      </c>
      <c r="G30" s="16" t="s">
        <v>2209</v>
      </c>
      <c r="H30" s="17">
        <v>21.15</v>
      </c>
      <c r="I30" s="17"/>
      <c r="J30" s="18">
        <v>307579</v>
      </c>
      <c r="K30" s="18"/>
      <c r="L30" s="18">
        <v>307579</v>
      </c>
      <c r="M30" s="17">
        <v>21.15</v>
      </c>
      <c r="N30" s="18">
        <v>1454275</v>
      </c>
      <c r="O30" s="17">
        <v>11.33208478254407</v>
      </c>
      <c r="P30" s="18">
        <v>1581033</v>
      </c>
      <c r="Q30" s="18">
        <v>179164</v>
      </c>
      <c r="R30" s="17">
        <v>55.015008806306341</v>
      </c>
      <c r="S30" s="18">
        <v>707811</v>
      </c>
      <c r="T30" s="18">
        <v>1286578</v>
      </c>
      <c r="U30" s="16" t="s">
        <v>2205</v>
      </c>
      <c r="V30" s="16" t="s">
        <v>2209</v>
      </c>
      <c r="W30" s="16" t="s">
        <v>2205</v>
      </c>
      <c r="X30" s="16" t="s">
        <v>23</v>
      </c>
    </row>
    <row r="31" spans="1:24" x14ac:dyDescent="0.35">
      <c r="A31" s="22" t="s">
        <v>3142</v>
      </c>
      <c r="B31" s="22" t="s">
        <v>95</v>
      </c>
      <c r="C31" s="22" t="s">
        <v>96</v>
      </c>
      <c r="D31" s="22" t="s">
        <v>55</v>
      </c>
      <c r="E31" s="22" t="s">
        <v>21</v>
      </c>
      <c r="F31" s="22" t="s">
        <v>84</v>
      </c>
      <c r="G31" s="22" t="s">
        <v>2205</v>
      </c>
      <c r="H31" s="23">
        <v>13.9</v>
      </c>
      <c r="I31" s="23">
        <v>70.19</v>
      </c>
      <c r="J31" s="24">
        <v>99798</v>
      </c>
      <c r="K31" s="24">
        <v>503942</v>
      </c>
      <c r="L31" s="24">
        <v>-404144</v>
      </c>
      <c r="M31" s="23">
        <v>-56.29</v>
      </c>
      <c r="N31" s="24">
        <v>717969</v>
      </c>
      <c r="O31" s="23">
        <v>16.039093217698031</v>
      </c>
      <c r="P31" s="24">
        <v>754095</v>
      </c>
      <c r="Q31" s="24">
        <v>120950</v>
      </c>
      <c r="R31" s="23">
        <v>49.708166937288802</v>
      </c>
      <c r="S31" s="24">
        <v>305829</v>
      </c>
      <c r="T31" s="24">
        <v>615249</v>
      </c>
      <c r="U31" s="22" t="s">
        <v>2209</v>
      </c>
      <c r="V31" s="22" t="s">
        <v>2205</v>
      </c>
      <c r="W31" s="22" t="s">
        <v>2205</v>
      </c>
      <c r="X31" s="22" t="s">
        <v>23</v>
      </c>
    </row>
    <row r="32" spans="1:24" x14ac:dyDescent="0.35">
      <c r="A32" s="22" t="s">
        <v>3153</v>
      </c>
      <c r="B32" s="22" t="s">
        <v>125</v>
      </c>
      <c r="C32" s="22" t="s">
        <v>126</v>
      </c>
      <c r="D32" s="22" t="s">
        <v>20</v>
      </c>
      <c r="E32" s="22" t="s">
        <v>21</v>
      </c>
      <c r="F32" s="22" t="s">
        <v>84</v>
      </c>
      <c r="G32" s="22" t="s">
        <v>2205</v>
      </c>
      <c r="H32" s="23">
        <v>2.21</v>
      </c>
      <c r="I32" s="23">
        <v>57.57</v>
      </c>
      <c r="J32" s="24">
        <v>91648</v>
      </c>
      <c r="K32" s="24">
        <v>2387411</v>
      </c>
      <c r="L32" s="24">
        <v>-2295763</v>
      </c>
      <c r="M32" s="23">
        <v>-55.36</v>
      </c>
      <c r="N32" s="24">
        <v>4146970</v>
      </c>
      <c r="O32" s="23">
        <v>13.50596040089432</v>
      </c>
      <c r="P32" s="24">
        <v>4772330</v>
      </c>
      <c r="Q32" s="24">
        <v>644549</v>
      </c>
      <c r="R32" s="23">
        <v>51.202034139007189</v>
      </c>
      <c r="S32" s="24">
        <v>1952693</v>
      </c>
      <c r="T32" s="24">
        <v>3813702</v>
      </c>
      <c r="U32" s="22" t="s">
        <v>2209</v>
      </c>
      <c r="V32" s="22" t="s">
        <v>2205</v>
      </c>
      <c r="W32" s="22" t="s">
        <v>2205</v>
      </c>
      <c r="X32" s="22" t="s">
        <v>23</v>
      </c>
    </row>
    <row r="33" spans="1:24" x14ac:dyDescent="0.35">
      <c r="A33" s="22" t="s">
        <v>3143</v>
      </c>
      <c r="B33" s="22" t="s">
        <v>101</v>
      </c>
      <c r="C33" s="22" t="s">
        <v>102</v>
      </c>
      <c r="D33" s="22" t="s">
        <v>58</v>
      </c>
      <c r="E33" s="22" t="s">
        <v>40</v>
      </c>
      <c r="F33" s="22" t="s">
        <v>84</v>
      </c>
      <c r="G33" s="22" t="s">
        <v>2205</v>
      </c>
      <c r="H33" s="23">
        <v>1.31</v>
      </c>
      <c r="I33" s="23">
        <v>58.17</v>
      </c>
      <c r="J33" s="24">
        <v>14165</v>
      </c>
      <c r="K33" s="24">
        <v>628976</v>
      </c>
      <c r="L33" s="24">
        <v>-614811</v>
      </c>
      <c r="M33" s="23">
        <v>-56.86</v>
      </c>
      <c r="N33" s="24">
        <v>1081272</v>
      </c>
      <c r="O33" s="23">
        <v>10.26659650785199</v>
      </c>
      <c r="P33" s="24">
        <v>954026</v>
      </c>
      <c r="Q33" s="24">
        <v>97946</v>
      </c>
      <c r="R33" s="23">
        <v>46.691221339408372</v>
      </c>
      <c r="S33" s="24">
        <v>298412</v>
      </c>
      <c r="T33" s="24">
        <v>639118</v>
      </c>
      <c r="U33" s="22" t="s">
        <v>2205</v>
      </c>
      <c r="V33" s="22" t="s">
        <v>2205</v>
      </c>
      <c r="W33" s="22" t="s">
        <v>2205</v>
      </c>
      <c r="X33" s="22" t="s">
        <v>23</v>
      </c>
    </row>
    <row r="34" spans="1:24" x14ac:dyDescent="0.35">
      <c r="A34" s="16" t="s">
        <v>3121</v>
      </c>
      <c r="B34" s="16" t="s">
        <v>18</v>
      </c>
      <c r="C34" s="16" t="s">
        <v>19</v>
      </c>
      <c r="D34" s="16" t="s">
        <v>20</v>
      </c>
      <c r="E34" s="16" t="s">
        <v>21</v>
      </c>
      <c r="F34" s="16" t="s">
        <v>22</v>
      </c>
      <c r="G34" s="16" t="s">
        <v>2209</v>
      </c>
      <c r="H34" s="17">
        <v>60.22</v>
      </c>
      <c r="I34" s="17">
        <v>0.48</v>
      </c>
      <c r="J34" s="18">
        <v>5580990</v>
      </c>
      <c r="K34" s="18">
        <v>44485</v>
      </c>
      <c r="L34" s="18">
        <v>5536505</v>
      </c>
      <c r="M34" s="17">
        <v>59.74</v>
      </c>
      <c r="N34" s="18">
        <v>9267668</v>
      </c>
      <c r="O34" s="17">
        <v>11.768972747208601</v>
      </c>
      <c r="P34" s="18">
        <v>9557920</v>
      </c>
      <c r="Q34" s="18">
        <v>1124869</v>
      </c>
      <c r="R34" s="17">
        <v>53.351204112659687</v>
      </c>
      <c r="S34" s="18">
        <v>4497387</v>
      </c>
      <c r="T34" s="18">
        <v>8429776</v>
      </c>
      <c r="U34" s="16" t="s">
        <v>2205</v>
      </c>
      <c r="V34" s="16" t="s">
        <v>2209</v>
      </c>
      <c r="W34" s="16" t="s">
        <v>2205</v>
      </c>
      <c r="X34" s="16" t="s">
        <v>23</v>
      </c>
    </row>
    <row r="35" spans="1:24" x14ac:dyDescent="0.35">
      <c r="A35" s="25" t="s">
        <v>2954</v>
      </c>
      <c r="B35" s="25" t="s">
        <v>28</v>
      </c>
      <c r="C35" s="25" t="s">
        <v>29</v>
      </c>
      <c r="D35" s="25" t="s">
        <v>30</v>
      </c>
      <c r="E35" s="25" t="s">
        <v>31</v>
      </c>
      <c r="F35" s="25" t="s">
        <v>22</v>
      </c>
      <c r="G35" s="25" t="s">
        <v>2209</v>
      </c>
      <c r="H35" s="26">
        <v>78.990000000000009</v>
      </c>
      <c r="I35" s="26">
        <v>0.04</v>
      </c>
      <c r="J35" s="27">
        <v>4365296</v>
      </c>
      <c r="K35" s="27">
        <v>2211</v>
      </c>
      <c r="L35" s="27">
        <v>4363085</v>
      </c>
      <c r="M35" s="26">
        <v>78.95</v>
      </c>
      <c r="N35" s="27">
        <v>5526391</v>
      </c>
      <c r="O35" s="26">
        <v>15.40536171715129</v>
      </c>
      <c r="P35" s="27">
        <v>5375927</v>
      </c>
      <c r="Q35" s="27">
        <v>828181</v>
      </c>
      <c r="R35" s="26">
        <v>55.790731430438733</v>
      </c>
      <c r="S35" s="27">
        <v>2291192</v>
      </c>
      <c r="T35" s="27">
        <v>4106761</v>
      </c>
      <c r="U35" s="25" t="s">
        <v>2209</v>
      </c>
      <c r="V35" s="25" t="s">
        <v>2209</v>
      </c>
      <c r="W35" s="25" t="s">
        <v>2209</v>
      </c>
      <c r="X35" s="25" t="s">
        <v>23</v>
      </c>
    </row>
    <row r="36" spans="1:24" x14ac:dyDescent="0.35">
      <c r="A36" s="19" t="s">
        <v>3000</v>
      </c>
      <c r="B36" s="19" t="s">
        <v>76</v>
      </c>
      <c r="C36" s="19" t="s">
        <v>77</v>
      </c>
      <c r="D36" s="19" t="s">
        <v>43</v>
      </c>
      <c r="E36" s="19" t="s">
        <v>27</v>
      </c>
      <c r="F36" s="19" t="s">
        <v>73</v>
      </c>
      <c r="G36" s="19" t="s">
        <v>2205</v>
      </c>
      <c r="H36" s="20"/>
      <c r="I36" s="20"/>
      <c r="J36" s="21"/>
      <c r="K36" s="21"/>
      <c r="L36" s="21">
        <v>0</v>
      </c>
      <c r="M36" s="20">
        <v>0</v>
      </c>
      <c r="N36" s="21">
        <v>452871</v>
      </c>
      <c r="O36" s="20">
        <v>7.0901890606617952</v>
      </c>
      <c r="P36" s="21">
        <v>422457</v>
      </c>
      <c r="Q36" s="21">
        <v>29953</v>
      </c>
      <c r="R36" s="20">
        <v>42.393784048255412</v>
      </c>
      <c r="S36" s="21">
        <v>145133</v>
      </c>
      <c r="T36" s="21">
        <v>342345</v>
      </c>
      <c r="U36" s="19" t="s">
        <v>2205</v>
      </c>
      <c r="V36" s="19" t="s">
        <v>2205</v>
      </c>
      <c r="W36" s="19" t="s">
        <v>2205</v>
      </c>
      <c r="X36" s="19" t="s">
        <v>23</v>
      </c>
    </row>
    <row r="37" spans="1:24" x14ac:dyDescent="0.35">
      <c r="A37" s="16" t="s">
        <v>2983</v>
      </c>
      <c r="B37" s="16" t="s">
        <v>24</v>
      </c>
      <c r="C37" s="16" t="s">
        <v>25</v>
      </c>
      <c r="D37" s="16" t="s">
        <v>26</v>
      </c>
      <c r="E37" s="16" t="s">
        <v>27</v>
      </c>
      <c r="F37" s="16" t="s">
        <v>22</v>
      </c>
      <c r="G37" s="16" t="s">
        <v>2209</v>
      </c>
      <c r="H37" s="17">
        <v>77.349999999999994</v>
      </c>
      <c r="I37" s="17">
        <v>1.67</v>
      </c>
      <c r="J37" s="18">
        <v>4512248</v>
      </c>
      <c r="K37" s="18">
        <v>97420</v>
      </c>
      <c r="L37" s="18">
        <v>4414828</v>
      </c>
      <c r="M37" s="17">
        <v>75.680000000000007</v>
      </c>
      <c r="N37" s="18">
        <v>5833546</v>
      </c>
      <c r="O37" s="17">
        <v>11.915789824216411</v>
      </c>
      <c r="P37" s="18">
        <v>5765669</v>
      </c>
      <c r="Q37" s="18">
        <v>687025</v>
      </c>
      <c r="R37" s="17">
        <v>56.182249595471873</v>
      </c>
      <c r="S37" s="18">
        <v>2788779</v>
      </c>
      <c r="T37" s="18">
        <v>4963808</v>
      </c>
      <c r="U37" s="16" t="s">
        <v>2205</v>
      </c>
      <c r="V37" s="16" t="s">
        <v>2209</v>
      </c>
      <c r="W37" s="16" t="s">
        <v>2205</v>
      </c>
      <c r="X37" s="16" t="s">
        <v>23</v>
      </c>
    </row>
    <row r="38" spans="1:24" x14ac:dyDescent="0.35">
      <c r="A38" s="19" t="s">
        <v>3135</v>
      </c>
      <c r="B38" s="19" t="s">
        <v>78</v>
      </c>
      <c r="C38" s="19" t="s">
        <v>79</v>
      </c>
      <c r="D38" s="19" t="s">
        <v>34</v>
      </c>
      <c r="E38" s="19" t="s">
        <v>31</v>
      </c>
      <c r="F38" s="19" t="s">
        <v>73</v>
      </c>
      <c r="G38" s="19" t="s">
        <v>2205</v>
      </c>
      <c r="H38" s="20"/>
      <c r="I38" s="20"/>
      <c r="J38" s="21"/>
      <c r="K38" s="21"/>
      <c r="L38" s="21">
        <v>0</v>
      </c>
      <c r="M38" s="20">
        <v>0</v>
      </c>
      <c r="N38" s="21">
        <v>2056192</v>
      </c>
      <c r="O38" s="20">
        <v>8.9270828225371446</v>
      </c>
      <c r="P38" s="21">
        <v>1876156</v>
      </c>
      <c r="Q38" s="21">
        <v>167486</v>
      </c>
      <c r="R38" s="20">
        <v>49.160570397880427</v>
      </c>
      <c r="S38" s="21">
        <v>683562</v>
      </c>
      <c r="T38" s="21">
        <v>1390468</v>
      </c>
      <c r="U38" s="19" t="s">
        <v>2205</v>
      </c>
      <c r="V38" s="19" t="s">
        <v>2205</v>
      </c>
      <c r="W38" s="19" t="s">
        <v>2205</v>
      </c>
      <c r="X38" s="19" t="s">
        <v>23</v>
      </c>
    </row>
    <row r="39" spans="1:24" x14ac:dyDescent="0.35">
      <c r="A39" s="22" t="s">
        <v>3145</v>
      </c>
      <c r="B39" s="22" t="s">
        <v>105</v>
      </c>
      <c r="C39" s="22" t="s">
        <v>106</v>
      </c>
      <c r="D39" s="22" t="s">
        <v>39</v>
      </c>
      <c r="E39" s="22" t="s">
        <v>40</v>
      </c>
      <c r="F39" s="22" t="s">
        <v>84</v>
      </c>
      <c r="G39" s="22" t="s">
        <v>2205</v>
      </c>
      <c r="H39" s="23">
        <v>20.74</v>
      </c>
      <c r="I39" s="23">
        <v>58.01</v>
      </c>
      <c r="J39" s="24">
        <v>429744</v>
      </c>
      <c r="K39" s="24">
        <v>1201997</v>
      </c>
      <c r="L39" s="24">
        <v>-772253</v>
      </c>
      <c r="M39" s="23">
        <v>-37.270000000000003</v>
      </c>
      <c r="N39" s="24">
        <v>2072052</v>
      </c>
      <c r="O39" s="23">
        <v>17.062588785024261</v>
      </c>
      <c r="P39" s="24">
        <v>2080165</v>
      </c>
      <c r="Q39" s="24">
        <v>354930</v>
      </c>
      <c r="R39" s="23">
        <v>46.632781499466653</v>
      </c>
      <c r="S39" s="24">
        <v>777278</v>
      </c>
      <c r="T39" s="24">
        <v>1666806</v>
      </c>
      <c r="U39" s="22" t="s">
        <v>2209</v>
      </c>
      <c r="V39" s="22" t="s">
        <v>2205</v>
      </c>
      <c r="W39" s="22" t="s">
        <v>2205</v>
      </c>
      <c r="X39" s="22" t="s">
        <v>23</v>
      </c>
    </row>
    <row r="40" spans="1:24" x14ac:dyDescent="0.35">
      <c r="A40" s="22" t="s">
        <v>2494</v>
      </c>
      <c r="B40" s="22" t="s">
        <v>135</v>
      </c>
      <c r="C40" s="22" t="s">
        <v>136</v>
      </c>
      <c r="D40" s="22" t="s">
        <v>20</v>
      </c>
      <c r="E40" s="22" t="s">
        <v>21</v>
      </c>
      <c r="F40" s="22" t="s">
        <v>84</v>
      </c>
      <c r="G40" s="22" t="s">
        <v>2205</v>
      </c>
      <c r="H40" s="23">
        <v>2.77</v>
      </c>
      <c r="I40" s="23">
        <v>71.31</v>
      </c>
      <c r="J40" s="24">
        <v>176083</v>
      </c>
      <c r="K40" s="24">
        <v>4533021</v>
      </c>
      <c r="L40" s="24">
        <v>-4356938</v>
      </c>
      <c r="M40" s="23">
        <v>-68.540000000000006</v>
      </c>
      <c r="N40" s="24">
        <v>6356781</v>
      </c>
      <c r="O40" s="23">
        <v>13.82743087606819</v>
      </c>
      <c r="P40" s="24">
        <v>6390587</v>
      </c>
      <c r="Q40" s="24">
        <v>883654</v>
      </c>
      <c r="R40" s="23">
        <v>54.76198917424523</v>
      </c>
      <c r="S40" s="24">
        <v>3058364</v>
      </c>
      <c r="T40" s="24">
        <v>5584830</v>
      </c>
      <c r="U40" s="22" t="s">
        <v>2209</v>
      </c>
      <c r="V40" s="22" t="s">
        <v>2209</v>
      </c>
      <c r="W40" s="22" t="s">
        <v>2205</v>
      </c>
      <c r="X40" s="22" t="s">
        <v>23</v>
      </c>
    </row>
    <row r="41" spans="1:24" x14ac:dyDescent="0.35">
      <c r="A41" s="22" t="s">
        <v>2968</v>
      </c>
      <c r="B41" s="22" t="s">
        <v>82</v>
      </c>
      <c r="C41" s="22" t="s">
        <v>83</v>
      </c>
      <c r="D41" s="22" t="s">
        <v>55</v>
      </c>
      <c r="E41" s="22" t="s">
        <v>21</v>
      </c>
      <c r="F41" s="22" t="s">
        <v>84</v>
      </c>
      <c r="G41" s="22" t="s">
        <v>2205</v>
      </c>
      <c r="H41" s="23">
        <v>0.02</v>
      </c>
      <c r="I41" s="23">
        <v>0.05</v>
      </c>
      <c r="J41" s="24">
        <v>106</v>
      </c>
      <c r="K41" s="24">
        <v>265</v>
      </c>
      <c r="L41" s="24">
        <v>-159</v>
      </c>
      <c r="M41" s="23">
        <v>-0.03</v>
      </c>
      <c r="N41" s="24">
        <v>530201</v>
      </c>
      <c r="O41" s="23">
        <v>11.57893806717269</v>
      </c>
      <c r="P41" s="24">
        <v>565855</v>
      </c>
      <c r="Q41" s="24">
        <v>65520</v>
      </c>
      <c r="R41" s="23">
        <v>48.868049592160737</v>
      </c>
      <c r="S41" s="24">
        <v>214541</v>
      </c>
      <c r="T41" s="24">
        <v>439021</v>
      </c>
      <c r="U41" s="22" t="s">
        <v>2205</v>
      </c>
      <c r="V41" s="22" t="s">
        <v>2205</v>
      </c>
      <c r="W41" s="22" t="s">
        <v>2205</v>
      </c>
      <c r="X41" s="22" t="s">
        <v>23</v>
      </c>
    </row>
    <row r="42" spans="1:24" x14ac:dyDescent="0.35">
      <c r="A42" s="16" t="s">
        <v>3126</v>
      </c>
      <c r="B42" s="16" t="s">
        <v>47</v>
      </c>
      <c r="C42" s="16" t="s">
        <v>48</v>
      </c>
      <c r="D42" s="16" t="s">
        <v>30</v>
      </c>
      <c r="E42" s="16" t="s">
        <v>31</v>
      </c>
      <c r="F42" s="16" t="s">
        <v>22</v>
      </c>
      <c r="G42" s="16" t="s">
        <v>2209</v>
      </c>
      <c r="H42" s="17">
        <v>59.86</v>
      </c>
      <c r="I42" s="17">
        <v>14.78</v>
      </c>
      <c r="J42" s="18">
        <v>1660655</v>
      </c>
      <c r="K42" s="18">
        <v>410031</v>
      </c>
      <c r="L42" s="18">
        <v>1250624</v>
      </c>
      <c r="M42" s="17">
        <v>45.08</v>
      </c>
      <c r="N42" s="18">
        <v>2774232</v>
      </c>
      <c r="O42" s="17">
        <v>12.3202859790688</v>
      </c>
      <c r="P42" s="18">
        <v>2571377</v>
      </c>
      <c r="Q42" s="18">
        <v>316801</v>
      </c>
      <c r="R42" s="17">
        <v>57.119179065372293</v>
      </c>
      <c r="S42" s="18">
        <v>1149989</v>
      </c>
      <c r="T42" s="18">
        <v>2013315</v>
      </c>
      <c r="U42" s="16" t="s">
        <v>2205</v>
      </c>
      <c r="V42" s="16" t="s">
        <v>2209</v>
      </c>
      <c r="W42" s="16" t="s">
        <v>2205</v>
      </c>
      <c r="X42" s="16" t="s">
        <v>23</v>
      </c>
    </row>
    <row r="43" spans="1:24" x14ac:dyDescent="0.35">
      <c r="A43" s="19" t="s">
        <v>3136</v>
      </c>
      <c r="B43" s="19" t="s">
        <v>80</v>
      </c>
      <c r="C43" s="19" t="s">
        <v>81</v>
      </c>
      <c r="D43" s="19" t="s">
        <v>43</v>
      </c>
      <c r="E43" s="19" t="s">
        <v>27</v>
      </c>
      <c r="F43" s="19" t="s">
        <v>73</v>
      </c>
      <c r="G43" s="19" t="s">
        <v>2205</v>
      </c>
      <c r="H43" s="20"/>
      <c r="I43" s="20"/>
      <c r="J43" s="21"/>
      <c r="K43" s="21"/>
      <c r="L43" s="21">
        <v>0</v>
      </c>
      <c r="M43" s="20">
        <v>0</v>
      </c>
      <c r="N43" s="21">
        <v>498516</v>
      </c>
      <c r="O43" s="20">
        <v>8.0386541237579134</v>
      </c>
      <c r="P43" s="21">
        <v>475913</v>
      </c>
      <c r="Q43" s="21">
        <v>38257</v>
      </c>
      <c r="R43" s="20">
        <v>42.036253921891173</v>
      </c>
      <c r="S43" s="21">
        <v>157158</v>
      </c>
      <c r="T43" s="21">
        <v>373863</v>
      </c>
      <c r="U43" s="19" t="s">
        <v>2205</v>
      </c>
      <c r="V43" s="19" t="s">
        <v>2205</v>
      </c>
      <c r="W43" s="19" t="s">
        <v>2205</v>
      </c>
      <c r="X43" s="19" t="s">
        <v>23</v>
      </c>
    </row>
    <row r="44" spans="1:24" x14ac:dyDescent="0.35">
      <c r="A44" s="22" t="s">
        <v>3147</v>
      </c>
      <c r="B44" s="22" t="s">
        <v>109</v>
      </c>
      <c r="C44" s="22" t="s">
        <v>110</v>
      </c>
      <c r="D44" s="22" t="s">
        <v>46</v>
      </c>
      <c r="E44" s="22" t="s">
        <v>31</v>
      </c>
      <c r="F44" s="22" t="s">
        <v>84</v>
      </c>
      <c r="G44" s="22" t="s">
        <v>2205</v>
      </c>
      <c r="H44" s="23">
        <v>28.03</v>
      </c>
      <c r="I44" s="23">
        <v>55.42</v>
      </c>
      <c r="J44" s="24">
        <v>988389</v>
      </c>
      <c r="K44" s="24">
        <v>1954210</v>
      </c>
      <c r="L44" s="24">
        <v>-965821</v>
      </c>
      <c r="M44" s="23">
        <v>-27.39</v>
      </c>
      <c r="N44" s="24">
        <v>3526181</v>
      </c>
      <c r="O44" s="23">
        <v>12.67718356972178</v>
      </c>
      <c r="P44" s="24">
        <v>3479795</v>
      </c>
      <c r="Q44" s="24">
        <v>441140</v>
      </c>
      <c r="R44" s="23">
        <v>58.465527712609003</v>
      </c>
      <c r="S44" s="24">
        <v>1664444</v>
      </c>
      <c r="T44" s="24">
        <v>2846881</v>
      </c>
      <c r="U44" s="22" t="s">
        <v>2209</v>
      </c>
      <c r="V44" s="22" t="s">
        <v>2209</v>
      </c>
      <c r="W44" s="22" t="s">
        <v>2205</v>
      </c>
      <c r="X44" s="22" t="s">
        <v>23</v>
      </c>
    </row>
    <row r="45" spans="1:24" x14ac:dyDescent="0.35">
      <c r="A45" s="25" t="s">
        <v>3122</v>
      </c>
      <c r="B45" s="25" t="s">
        <v>32</v>
      </c>
      <c r="C45" s="25" t="s">
        <v>33</v>
      </c>
      <c r="D45" s="25" t="s">
        <v>34</v>
      </c>
      <c r="E45" s="25" t="s">
        <v>31</v>
      </c>
      <c r="F45" s="25" t="s">
        <v>22</v>
      </c>
      <c r="G45" s="25" t="s">
        <v>2209</v>
      </c>
      <c r="H45" s="26">
        <v>48.82</v>
      </c>
      <c r="I45" s="26">
        <v>21.84</v>
      </c>
      <c r="J45" s="27">
        <v>6809213</v>
      </c>
      <c r="K45" s="27">
        <v>3046153</v>
      </c>
      <c r="L45" s="27">
        <v>3763060</v>
      </c>
      <c r="M45" s="26">
        <v>26.98</v>
      </c>
      <c r="N45" s="27">
        <v>13947589</v>
      </c>
      <c r="O45" s="26">
        <v>12.929749065519729</v>
      </c>
      <c r="P45" s="27">
        <v>15130603</v>
      </c>
      <c r="Q45" s="27">
        <v>1956349</v>
      </c>
      <c r="R45" s="26">
        <v>55.612035897536607</v>
      </c>
      <c r="S45" s="27">
        <v>6399634</v>
      </c>
      <c r="T45" s="27">
        <v>11507642</v>
      </c>
      <c r="U45" s="25" t="s">
        <v>2209</v>
      </c>
      <c r="V45" s="25" t="s">
        <v>2209</v>
      </c>
      <c r="W45" s="25" t="s">
        <v>2209</v>
      </c>
      <c r="X45" s="25" t="s">
        <v>23</v>
      </c>
    </row>
    <row r="46" spans="1:24" x14ac:dyDescent="0.35">
      <c r="A46" s="22" t="s">
        <v>3148</v>
      </c>
      <c r="B46" s="22" t="s">
        <v>111</v>
      </c>
      <c r="C46" s="22" t="s">
        <v>112</v>
      </c>
      <c r="D46" s="22" t="s">
        <v>58</v>
      </c>
      <c r="E46" s="22" t="s">
        <v>40</v>
      </c>
      <c r="F46" s="22" t="s">
        <v>84</v>
      </c>
      <c r="G46" s="22" t="s">
        <v>2205</v>
      </c>
      <c r="H46" s="23"/>
      <c r="I46" s="23">
        <v>76.739999999999995</v>
      </c>
      <c r="J46" s="24"/>
      <c r="K46" s="24">
        <v>1078558</v>
      </c>
      <c r="L46" s="24">
        <v>-1078558</v>
      </c>
      <c r="M46" s="23">
        <v>-76.739999999999995</v>
      </c>
      <c r="N46" s="24">
        <v>1405470</v>
      </c>
      <c r="O46" s="23">
        <v>15.692970758635949</v>
      </c>
      <c r="P46" s="24">
        <v>1771258</v>
      </c>
      <c r="Q46" s="24">
        <v>277963</v>
      </c>
      <c r="R46" s="23">
        <v>54.649654320338577</v>
      </c>
      <c r="S46" s="24">
        <v>831571</v>
      </c>
      <c r="T46" s="24">
        <v>1521640</v>
      </c>
      <c r="U46" s="22" t="s">
        <v>2209</v>
      </c>
      <c r="V46" s="22" t="s">
        <v>2209</v>
      </c>
      <c r="W46" s="22" t="s">
        <v>2205</v>
      </c>
      <c r="X46" s="22" t="s">
        <v>23</v>
      </c>
    </row>
    <row r="47" spans="1:24" x14ac:dyDescent="0.35">
      <c r="A47" s="22" t="s">
        <v>3138</v>
      </c>
      <c r="B47" s="22" t="s">
        <v>87</v>
      </c>
      <c r="C47" s="22" t="s">
        <v>88</v>
      </c>
      <c r="D47" s="22" t="s">
        <v>55</v>
      </c>
      <c r="E47" s="22" t="s">
        <v>21</v>
      </c>
      <c r="F47" s="22" t="s">
        <v>84</v>
      </c>
      <c r="G47" s="22" t="s">
        <v>2205</v>
      </c>
      <c r="H47" s="23">
        <v>5.8999999999999986</v>
      </c>
      <c r="I47" s="23">
        <v>65.84</v>
      </c>
      <c r="J47" s="24">
        <v>22092</v>
      </c>
      <c r="K47" s="24">
        <v>246531</v>
      </c>
      <c r="L47" s="24">
        <v>-224439</v>
      </c>
      <c r="M47" s="23">
        <v>-59.94</v>
      </c>
      <c r="N47" s="24">
        <v>374439</v>
      </c>
      <c r="O47" s="23">
        <v>15.960829797542321</v>
      </c>
      <c r="P47" s="24">
        <v>340565</v>
      </c>
      <c r="Q47" s="24">
        <v>54357</v>
      </c>
      <c r="R47" s="23">
        <v>37.926522079136717</v>
      </c>
      <c r="S47" s="24">
        <v>96512</v>
      </c>
      <c r="T47" s="24">
        <v>254471</v>
      </c>
      <c r="U47" s="22" t="s">
        <v>2209</v>
      </c>
      <c r="V47" s="22" t="s">
        <v>2205</v>
      </c>
      <c r="W47" s="22" t="s">
        <v>2205</v>
      </c>
      <c r="X47" s="22" t="s">
        <v>23</v>
      </c>
    </row>
    <row r="48" spans="1:24" x14ac:dyDescent="0.35">
      <c r="A48" s="22" t="s">
        <v>3150</v>
      </c>
      <c r="B48" s="22" t="s">
        <v>117</v>
      </c>
      <c r="C48" s="22" t="s">
        <v>118</v>
      </c>
      <c r="D48" s="22" t="s">
        <v>30</v>
      </c>
      <c r="E48" s="22" t="s">
        <v>31</v>
      </c>
      <c r="F48" s="22" t="s">
        <v>84</v>
      </c>
      <c r="G48" s="22" t="s">
        <v>2205</v>
      </c>
      <c r="H48" s="23">
        <v>3.27</v>
      </c>
      <c r="I48" s="23">
        <v>46.31</v>
      </c>
      <c r="J48" s="24">
        <v>133546</v>
      </c>
      <c r="K48" s="24">
        <v>1891293</v>
      </c>
      <c r="L48" s="24">
        <v>-1757747</v>
      </c>
      <c r="M48" s="23">
        <v>-43.04</v>
      </c>
      <c r="N48" s="24">
        <v>4083985</v>
      </c>
      <c r="O48" s="23">
        <v>15.818022097670219</v>
      </c>
      <c r="P48" s="24">
        <v>4445265</v>
      </c>
      <c r="Q48" s="24">
        <v>703153</v>
      </c>
      <c r="R48" s="23">
        <v>54.137677269756757</v>
      </c>
      <c r="S48" s="24">
        <v>1892088</v>
      </c>
      <c r="T48" s="24">
        <v>3494956</v>
      </c>
      <c r="U48" s="22" t="s">
        <v>2209</v>
      </c>
      <c r="V48" s="22" t="s">
        <v>2209</v>
      </c>
      <c r="W48" s="22" t="s">
        <v>2205</v>
      </c>
      <c r="X48" s="22" t="s">
        <v>23</v>
      </c>
    </row>
    <row r="49" spans="1:24" x14ac:dyDescent="0.35">
      <c r="A49" s="22" t="s">
        <v>3024</v>
      </c>
      <c r="B49" s="22" t="s">
        <v>127</v>
      </c>
      <c r="C49" s="22" t="s">
        <v>128</v>
      </c>
      <c r="D49" s="22" t="s">
        <v>39</v>
      </c>
      <c r="E49" s="22" t="s">
        <v>40</v>
      </c>
      <c r="F49" s="22" t="s">
        <v>84</v>
      </c>
      <c r="G49" s="22" t="s">
        <v>2205</v>
      </c>
      <c r="H49" s="23">
        <v>8.61</v>
      </c>
      <c r="I49" s="23">
        <v>72.42</v>
      </c>
      <c r="J49" s="24">
        <v>317027</v>
      </c>
      <c r="K49" s="24">
        <v>2666565</v>
      </c>
      <c r="L49" s="24">
        <v>-2349538</v>
      </c>
      <c r="M49" s="23">
        <v>-63.81</v>
      </c>
      <c r="N49" s="24">
        <v>3682084</v>
      </c>
      <c r="O49" s="23">
        <v>16.413535851546541</v>
      </c>
      <c r="P49" s="24">
        <v>3932815</v>
      </c>
      <c r="Q49" s="24">
        <v>645514</v>
      </c>
      <c r="R49" s="23">
        <v>51.259839162038993</v>
      </c>
      <c r="S49" s="24">
        <v>1526660</v>
      </c>
      <c r="T49" s="24">
        <v>2978277</v>
      </c>
      <c r="U49" s="22" t="s">
        <v>2209</v>
      </c>
      <c r="V49" s="22" t="s">
        <v>2205</v>
      </c>
      <c r="W49" s="22" t="s">
        <v>2205</v>
      </c>
      <c r="X49" s="22" t="s">
        <v>23</v>
      </c>
    </row>
    <row r="50" spans="1:24" x14ac:dyDescent="0.35">
      <c r="A50" s="22" t="s">
        <v>3139</v>
      </c>
      <c r="B50" s="22" t="s">
        <v>89</v>
      </c>
      <c r="C50" s="22" t="s">
        <v>90</v>
      </c>
      <c r="D50" s="22" t="s">
        <v>30</v>
      </c>
      <c r="E50" s="22" t="s">
        <v>31</v>
      </c>
      <c r="F50" s="22" t="s">
        <v>84</v>
      </c>
      <c r="G50" s="22" t="s">
        <v>2205</v>
      </c>
      <c r="H50" s="23">
        <v>3.35</v>
      </c>
      <c r="I50" s="23">
        <v>29</v>
      </c>
      <c r="J50" s="24">
        <v>33378</v>
      </c>
      <c r="K50" s="24">
        <v>288945</v>
      </c>
      <c r="L50" s="24">
        <v>-255567</v>
      </c>
      <c r="M50" s="23">
        <v>-25.65</v>
      </c>
      <c r="N50" s="24">
        <v>996362</v>
      </c>
      <c r="O50" s="23">
        <v>8.810796006667843</v>
      </c>
      <c r="P50" s="24">
        <v>759466</v>
      </c>
      <c r="Q50" s="24">
        <v>66915</v>
      </c>
      <c r="R50" s="23">
        <v>52.581651457625611</v>
      </c>
      <c r="S50" s="24">
        <v>284187</v>
      </c>
      <c r="T50" s="24">
        <v>540468</v>
      </c>
      <c r="U50" s="22" t="s">
        <v>2205</v>
      </c>
      <c r="V50" s="22" t="s">
        <v>2209</v>
      </c>
      <c r="W50" s="22" t="s">
        <v>2205</v>
      </c>
      <c r="X50" s="22" t="s">
        <v>23</v>
      </c>
    </row>
    <row r="51" spans="1:24" x14ac:dyDescent="0.35">
      <c r="A51" s="16" t="s">
        <v>3022</v>
      </c>
      <c r="B51" s="16" t="s">
        <v>35</v>
      </c>
      <c r="C51" s="16" t="s">
        <v>36</v>
      </c>
      <c r="D51" s="16" t="s">
        <v>26</v>
      </c>
      <c r="E51" s="16" t="s">
        <v>27</v>
      </c>
      <c r="F51" s="16" t="s">
        <v>22</v>
      </c>
      <c r="G51" s="16" t="s">
        <v>2209</v>
      </c>
      <c r="H51" s="17">
        <v>74.53</v>
      </c>
      <c r="I51" s="17">
        <v>1.24</v>
      </c>
      <c r="J51" s="18">
        <v>2348841</v>
      </c>
      <c r="K51" s="18">
        <v>39079</v>
      </c>
      <c r="L51" s="18">
        <v>2309762</v>
      </c>
      <c r="M51" s="17">
        <v>73.290000000000006</v>
      </c>
      <c r="N51" s="18">
        <v>3151537</v>
      </c>
      <c r="O51" s="17">
        <v>11.805267357293509</v>
      </c>
      <c r="P51" s="18">
        <v>3050562</v>
      </c>
      <c r="Q51" s="18">
        <v>360127</v>
      </c>
      <c r="R51" s="17">
        <v>52.0104003264235</v>
      </c>
      <c r="S51" s="18">
        <v>1352428</v>
      </c>
      <c r="T51" s="18">
        <v>2600303</v>
      </c>
      <c r="U51" s="16" t="s">
        <v>2205</v>
      </c>
      <c r="V51" s="16" t="s">
        <v>2205</v>
      </c>
      <c r="W51" s="16" t="s">
        <v>2205</v>
      </c>
      <c r="X51" s="16" t="s">
        <v>23</v>
      </c>
    </row>
    <row r="52" spans="1:24" x14ac:dyDescent="0.35">
      <c r="A52" s="16" t="s">
        <v>3133</v>
      </c>
      <c r="B52" s="16" t="s">
        <v>65</v>
      </c>
      <c r="C52" s="16" t="s">
        <v>66</v>
      </c>
      <c r="D52" s="16" t="s">
        <v>58</v>
      </c>
      <c r="E52" s="16" t="s">
        <v>40</v>
      </c>
      <c r="F52" s="16" t="s">
        <v>22</v>
      </c>
      <c r="G52" s="16" t="s">
        <v>2209</v>
      </c>
      <c r="H52" s="17">
        <v>51.72</v>
      </c>
      <c r="I52" s="17"/>
      <c r="J52" s="18">
        <v>161029</v>
      </c>
      <c r="K52" s="18"/>
      <c r="L52" s="18">
        <v>161029</v>
      </c>
      <c r="M52" s="17">
        <v>51.72</v>
      </c>
      <c r="N52" s="18">
        <v>311347</v>
      </c>
      <c r="O52" s="17">
        <v>9.7243320222433205</v>
      </c>
      <c r="P52" s="18">
        <v>294920</v>
      </c>
      <c r="Q52" s="18">
        <v>28679</v>
      </c>
      <c r="R52" s="17">
        <v>34.79790793369996</v>
      </c>
      <c r="S52" s="18">
        <v>72388</v>
      </c>
      <c r="T52" s="18">
        <v>208024</v>
      </c>
      <c r="U52" s="16" t="s">
        <v>2205</v>
      </c>
      <c r="V52" s="16" t="s">
        <v>2205</v>
      </c>
      <c r="W52" s="16" t="s">
        <v>2205</v>
      </c>
      <c r="X52" s="16" t="s">
        <v>23</v>
      </c>
    </row>
    <row r="54" spans="1:24" x14ac:dyDescent="0.35">
      <c r="A54" s="33" t="s">
        <v>3207</v>
      </c>
      <c r="B54" s="34"/>
      <c r="C54" s="34"/>
      <c r="D54" s="34"/>
      <c r="E54" s="34"/>
      <c r="F54" s="34"/>
      <c r="G54" s="34"/>
      <c r="H54" s="34"/>
    </row>
  </sheetData>
  <autoFilter ref="A1:X52" xr:uid="{00000000-0009-0000-0000-00001F000000}"/>
  <mergeCells count="1">
    <mergeCell ref="A54:H54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R22"/>
  <sheetViews>
    <sheetView workbookViewId="0">
      <pane ySplit="4" topLeftCell="A5" activePane="bottomLeft" state="frozen"/>
      <selection pane="bottomLeft" sqref="A1:R1"/>
    </sheetView>
  </sheetViews>
  <sheetFormatPr defaultRowHeight="14.5" x14ac:dyDescent="0.35"/>
  <cols>
    <col min="1" max="1" width="10" customWidth="1"/>
    <col min="2" max="2" width="22" customWidth="1"/>
    <col min="3" max="3" width="10" customWidth="1"/>
    <col min="4" max="5" width="14" customWidth="1"/>
    <col min="6" max="6" width="10" customWidth="1"/>
    <col min="7" max="7" width="16" customWidth="1"/>
    <col min="8" max="8" width="18" customWidth="1"/>
    <col min="9" max="17" width="16" customWidth="1"/>
    <col min="18" max="18" width="40" customWidth="1"/>
  </cols>
  <sheetData>
    <row r="1" spans="1:18" ht="17.5" customHeight="1" x14ac:dyDescent="0.35">
      <c r="A1" s="35" t="s">
        <v>3208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x14ac:dyDescent="0.35">
      <c r="A2" s="33" t="s">
        <v>3209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4" spans="1:18" ht="39" customHeight="1" x14ac:dyDescent="0.35">
      <c r="A4" s="15" t="s">
        <v>3210</v>
      </c>
      <c r="B4" s="15" t="s">
        <v>3211</v>
      </c>
      <c r="C4" s="15" t="s">
        <v>3212</v>
      </c>
      <c r="D4" s="15" t="s">
        <v>3213</v>
      </c>
      <c r="E4" s="15" t="s">
        <v>3214</v>
      </c>
      <c r="F4" s="15" t="s">
        <v>3215</v>
      </c>
      <c r="G4" s="15" t="s">
        <v>3216</v>
      </c>
      <c r="H4" s="15" t="s">
        <v>8</v>
      </c>
      <c r="I4" s="15" t="s">
        <v>12</v>
      </c>
      <c r="J4" s="15" t="s">
        <v>13</v>
      </c>
      <c r="K4" s="15" t="s">
        <v>14</v>
      </c>
      <c r="L4" s="15" t="s">
        <v>3199</v>
      </c>
      <c r="M4" s="15" t="s">
        <v>3200</v>
      </c>
      <c r="N4" s="15" t="s">
        <v>3217</v>
      </c>
      <c r="O4" s="15" t="s">
        <v>3203</v>
      </c>
      <c r="P4" s="15" t="s">
        <v>3202</v>
      </c>
      <c r="Q4" s="15" t="s">
        <v>3218</v>
      </c>
      <c r="R4" s="15" t="s">
        <v>3219</v>
      </c>
    </row>
    <row r="5" spans="1:18" x14ac:dyDescent="0.35">
      <c r="A5" s="28" t="s">
        <v>3220</v>
      </c>
      <c r="B5" s="28" t="s">
        <v>55</v>
      </c>
      <c r="C5" s="28">
        <v>6</v>
      </c>
      <c r="D5" s="28">
        <v>1</v>
      </c>
      <c r="E5" s="28">
        <v>5</v>
      </c>
      <c r="F5" s="28">
        <v>0</v>
      </c>
      <c r="G5" s="28">
        <v>0</v>
      </c>
      <c r="H5" s="29">
        <v>-3456429</v>
      </c>
      <c r="I5" s="29">
        <v>1283316</v>
      </c>
      <c r="J5" s="29">
        <v>4739745</v>
      </c>
      <c r="K5" s="29">
        <v>7432291</v>
      </c>
      <c r="L5" s="29">
        <v>7989815</v>
      </c>
      <c r="M5" s="29">
        <v>1151185</v>
      </c>
      <c r="N5" s="30">
        <v>14.408155883459131</v>
      </c>
      <c r="O5" s="29">
        <v>6747445</v>
      </c>
      <c r="P5" s="29">
        <v>3522134</v>
      </c>
      <c r="Q5" s="30">
        <v>52.199521448489023</v>
      </c>
      <c r="R5" s="28" t="s">
        <v>3221</v>
      </c>
    </row>
    <row r="6" spans="1:18" x14ac:dyDescent="0.35">
      <c r="A6" s="28" t="s">
        <v>3220</v>
      </c>
      <c r="B6" s="28" t="s">
        <v>20</v>
      </c>
      <c r="C6" s="28">
        <v>3</v>
      </c>
      <c r="D6" s="28">
        <v>1</v>
      </c>
      <c r="E6" s="28">
        <v>2</v>
      </c>
      <c r="F6" s="28">
        <v>0</v>
      </c>
      <c r="G6" s="28">
        <v>0</v>
      </c>
      <c r="H6" s="29">
        <v>-1116196</v>
      </c>
      <c r="I6" s="29">
        <v>5848721</v>
      </c>
      <c r="J6" s="29">
        <v>6964917</v>
      </c>
      <c r="K6" s="29">
        <v>19771419</v>
      </c>
      <c r="L6" s="29">
        <v>20720837</v>
      </c>
      <c r="M6" s="29">
        <v>2653072</v>
      </c>
      <c r="N6" s="30">
        <v>12.803884321854371</v>
      </c>
      <c r="O6" s="29">
        <v>17828308</v>
      </c>
      <c r="P6" s="29">
        <v>9508444</v>
      </c>
      <c r="Q6" s="30">
        <v>53.333406625014547</v>
      </c>
      <c r="R6" s="28" t="s">
        <v>3222</v>
      </c>
    </row>
    <row r="7" spans="1:18" x14ac:dyDescent="0.35">
      <c r="A7" s="28" t="s">
        <v>3220</v>
      </c>
      <c r="B7" s="28" t="s">
        <v>26</v>
      </c>
      <c r="C7" s="28">
        <v>5</v>
      </c>
      <c r="D7" s="28">
        <v>2</v>
      </c>
      <c r="E7" s="28">
        <v>3</v>
      </c>
      <c r="F7" s="28">
        <v>0</v>
      </c>
      <c r="G7" s="28">
        <v>0</v>
      </c>
      <c r="H7" s="29">
        <v>-411115</v>
      </c>
      <c r="I7" s="29">
        <v>9171158</v>
      </c>
      <c r="J7" s="29">
        <v>9582273</v>
      </c>
      <c r="K7" s="29">
        <v>23424868</v>
      </c>
      <c r="L7" s="29">
        <v>23286112</v>
      </c>
      <c r="M7" s="29">
        <v>2766919</v>
      </c>
      <c r="N7" s="30">
        <v>11.88227128685115</v>
      </c>
      <c r="O7" s="29">
        <v>19912978</v>
      </c>
      <c r="P7" s="29">
        <v>10948021</v>
      </c>
      <c r="Q7" s="30">
        <v>54.979325543371758</v>
      </c>
      <c r="R7" s="28" t="s">
        <v>3223</v>
      </c>
    </row>
    <row r="8" spans="1:18" x14ac:dyDescent="0.35">
      <c r="A8" s="28" t="s">
        <v>3220</v>
      </c>
      <c r="B8" s="28" t="s">
        <v>43</v>
      </c>
      <c r="C8" s="28">
        <v>7</v>
      </c>
      <c r="D8" s="28">
        <v>3</v>
      </c>
      <c r="E8" s="28">
        <v>1</v>
      </c>
      <c r="F8" s="28">
        <v>3</v>
      </c>
      <c r="G8" s="28">
        <v>0</v>
      </c>
      <c r="H8" s="29">
        <v>1186513</v>
      </c>
      <c r="I8" s="29">
        <v>2672306</v>
      </c>
      <c r="J8" s="29">
        <v>1485793</v>
      </c>
      <c r="K8" s="29">
        <v>11094397</v>
      </c>
      <c r="L8" s="29">
        <v>11141960</v>
      </c>
      <c r="M8" s="29">
        <v>1288828</v>
      </c>
      <c r="N8" s="30">
        <v>11.5673364470883</v>
      </c>
      <c r="O8" s="29">
        <v>9514694</v>
      </c>
      <c r="P8" s="29">
        <v>5049457</v>
      </c>
      <c r="Q8" s="30">
        <v>53.070093478571152</v>
      </c>
      <c r="R8" s="28" t="s">
        <v>3224</v>
      </c>
    </row>
    <row r="9" spans="1:18" x14ac:dyDescent="0.35">
      <c r="A9" s="28" t="s">
        <v>3220</v>
      </c>
      <c r="B9" s="28" t="s">
        <v>30</v>
      </c>
      <c r="C9" s="28">
        <v>9</v>
      </c>
      <c r="D9" s="28">
        <v>2</v>
      </c>
      <c r="E9" s="28">
        <v>7</v>
      </c>
      <c r="F9" s="28">
        <v>0</v>
      </c>
      <c r="G9" s="28">
        <v>1</v>
      </c>
      <c r="H9" s="29">
        <v>-3570986</v>
      </c>
      <c r="I9" s="29">
        <v>11206135</v>
      </c>
      <c r="J9" s="29">
        <v>14777121</v>
      </c>
      <c r="K9" s="29">
        <v>33588231</v>
      </c>
      <c r="L9" s="29">
        <v>33757482</v>
      </c>
      <c r="M9" s="29">
        <v>5097746</v>
      </c>
      <c r="N9" s="30">
        <v>15.10108484987121</v>
      </c>
      <c r="O9" s="29">
        <v>27421888</v>
      </c>
      <c r="P9" s="29">
        <v>15623366</v>
      </c>
      <c r="Q9" s="30">
        <v>56.974071223688171</v>
      </c>
      <c r="R9" s="28" t="s">
        <v>3225</v>
      </c>
    </row>
    <row r="10" spans="1:18" x14ac:dyDescent="0.35">
      <c r="A10" s="28" t="s">
        <v>3220</v>
      </c>
      <c r="B10" s="28" t="s">
        <v>46</v>
      </c>
      <c r="C10" s="28">
        <v>4</v>
      </c>
      <c r="D10" s="28">
        <v>2</v>
      </c>
      <c r="E10" s="28">
        <v>2</v>
      </c>
      <c r="F10" s="28">
        <v>0</v>
      </c>
      <c r="G10" s="28">
        <v>0</v>
      </c>
      <c r="H10" s="29">
        <v>435274</v>
      </c>
      <c r="I10" s="29">
        <v>3497140</v>
      </c>
      <c r="J10" s="29">
        <v>3061866</v>
      </c>
      <c r="K10" s="29">
        <v>10100681</v>
      </c>
      <c r="L10" s="29">
        <v>9184595</v>
      </c>
      <c r="M10" s="29">
        <v>913288</v>
      </c>
      <c r="N10" s="30">
        <v>9.9436937611293708</v>
      </c>
      <c r="O10" s="29">
        <v>7236812</v>
      </c>
      <c r="P10" s="29">
        <v>4082799</v>
      </c>
      <c r="Q10" s="30">
        <v>56.417093604200311</v>
      </c>
      <c r="R10" s="28" t="s">
        <v>3226</v>
      </c>
    </row>
    <row r="11" spans="1:18" x14ac:dyDescent="0.35">
      <c r="A11" s="28" t="s">
        <v>3220</v>
      </c>
      <c r="B11" s="28" t="s">
        <v>34</v>
      </c>
      <c r="C11" s="28">
        <v>4</v>
      </c>
      <c r="D11" s="28">
        <v>2</v>
      </c>
      <c r="E11" s="28">
        <v>1</v>
      </c>
      <c r="F11" s="28">
        <v>1</v>
      </c>
      <c r="G11" s="28">
        <v>1</v>
      </c>
      <c r="H11" s="29">
        <v>3552533</v>
      </c>
      <c r="I11" s="29">
        <v>7127237</v>
      </c>
      <c r="J11" s="29">
        <v>3574704</v>
      </c>
      <c r="K11" s="29">
        <v>19970037</v>
      </c>
      <c r="L11" s="29">
        <v>20436751</v>
      </c>
      <c r="M11" s="29">
        <v>2406246</v>
      </c>
      <c r="N11" s="30">
        <v>11.77411223535483</v>
      </c>
      <c r="O11" s="29">
        <v>15631190</v>
      </c>
      <c r="P11" s="29">
        <v>8425333</v>
      </c>
      <c r="Q11" s="30">
        <v>53.900777867839878</v>
      </c>
      <c r="R11" s="28" t="s">
        <v>3227</v>
      </c>
    </row>
    <row r="12" spans="1:18" x14ac:dyDescent="0.35">
      <c r="A12" s="28" t="s">
        <v>3220</v>
      </c>
      <c r="B12" s="28" t="s">
        <v>58</v>
      </c>
      <c r="C12" s="28">
        <v>8</v>
      </c>
      <c r="D12" s="28">
        <v>4</v>
      </c>
      <c r="E12" s="28">
        <v>4</v>
      </c>
      <c r="F12" s="28">
        <v>0</v>
      </c>
      <c r="G12" s="28">
        <v>0</v>
      </c>
      <c r="H12" s="29">
        <v>-2993057</v>
      </c>
      <c r="I12" s="29">
        <v>1178242</v>
      </c>
      <c r="J12" s="29">
        <v>4171299</v>
      </c>
      <c r="K12" s="29">
        <v>12276824</v>
      </c>
      <c r="L12" s="29">
        <v>12857587</v>
      </c>
      <c r="M12" s="29">
        <v>1982466</v>
      </c>
      <c r="N12" s="30">
        <v>15.418647371392471</v>
      </c>
      <c r="O12" s="29">
        <v>10012717</v>
      </c>
      <c r="P12" s="29">
        <v>5223845</v>
      </c>
      <c r="Q12" s="30">
        <v>52.172102736949419</v>
      </c>
      <c r="R12" s="28" t="s">
        <v>3228</v>
      </c>
    </row>
    <row r="13" spans="1:18" x14ac:dyDescent="0.35">
      <c r="A13" s="28" t="s">
        <v>3220</v>
      </c>
      <c r="B13" s="28" t="s">
        <v>39</v>
      </c>
      <c r="C13" s="28">
        <v>5</v>
      </c>
      <c r="D13" s="28">
        <v>2</v>
      </c>
      <c r="E13" s="28">
        <v>2</v>
      </c>
      <c r="F13" s="28">
        <v>1</v>
      </c>
      <c r="G13" s="28">
        <v>1</v>
      </c>
      <c r="H13" s="29">
        <v>-405717</v>
      </c>
      <c r="I13" s="29">
        <v>8955190</v>
      </c>
      <c r="J13" s="29">
        <v>9360907</v>
      </c>
      <c r="K13" s="29">
        <v>23024735</v>
      </c>
      <c r="L13" s="29">
        <v>25985311</v>
      </c>
      <c r="M13" s="29">
        <v>3766621</v>
      </c>
      <c r="N13" s="30">
        <v>14.495193072732519</v>
      </c>
      <c r="O13" s="29">
        <v>21442375</v>
      </c>
      <c r="P13" s="29">
        <v>11114452</v>
      </c>
      <c r="Q13" s="30">
        <v>51.834052897591803</v>
      </c>
      <c r="R13" s="28" t="s">
        <v>3229</v>
      </c>
    </row>
    <row r="15" spans="1:18" ht="39" customHeight="1" x14ac:dyDescent="0.35">
      <c r="A15" s="15" t="s">
        <v>3210</v>
      </c>
      <c r="B15" s="15" t="s">
        <v>3211</v>
      </c>
      <c r="C15" s="15" t="s">
        <v>3212</v>
      </c>
      <c r="D15" s="15" t="s">
        <v>3213</v>
      </c>
      <c r="E15" s="15" t="s">
        <v>3214</v>
      </c>
      <c r="F15" s="15" t="s">
        <v>3215</v>
      </c>
      <c r="G15" s="15" t="s">
        <v>3216</v>
      </c>
      <c r="H15" s="15" t="s">
        <v>8</v>
      </c>
      <c r="I15" s="15" t="s">
        <v>12</v>
      </c>
      <c r="J15" s="15" t="s">
        <v>13</v>
      </c>
      <c r="K15" s="15" t="s">
        <v>14</v>
      </c>
      <c r="L15" s="15" t="s">
        <v>3199</v>
      </c>
      <c r="M15" s="15" t="s">
        <v>3200</v>
      </c>
      <c r="N15" s="15" t="s">
        <v>3217</v>
      </c>
      <c r="O15" s="15" t="s">
        <v>3203</v>
      </c>
      <c r="P15" s="15" t="s">
        <v>3202</v>
      </c>
      <c r="Q15" s="15" t="s">
        <v>3218</v>
      </c>
      <c r="R15" s="15" t="s">
        <v>3219</v>
      </c>
    </row>
    <row r="16" spans="1:18" x14ac:dyDescent="0.35">
      <c r="A16" s="28" t="s">
        <v>3230</v>
      </c>
      <c r="B16" s="28" t="s">
        <v>21</v>
      </c>
      <c r="C16" s="28">
        <v>9</v>
      </c>
      <c r="D16" s="28">
        <v>2</v>
      </c>
      <c r="E16" s="28">
        <v>7</v>
      </c>
      <c r="F16" s="28">
        <v>0</v>
      </c>
      <c r="G16" s="28">
        <v>0</v>
      </c>
      <c r="H16" s="29">
        <v>-4572625</v>
      </c>
      <c r="I16" s="29">
        <v>7132037</v>
      </c>
      <c r="J16" s="29">
        <v>11704662</v>
      </c>
      <c r="K16" s="29">
        <v>27203710</v>
      </c>
      <c r="L16" s="29">
        <v>28710652</v>
      </c>
      <c r="M16" s="29">
        <v>3804257</v>
      </c>
      <c r="N16" s="30">
        <v>13.250333012291049</v>
      </c>
      <c r="O16" s="29">
        <v>24575753</v>
      </c>
      <c r="P16" s="29">
        <v>13030578</v>
      </c>
      <c r="Q16" s="30">
        <v>53.022090513360872</v>
      </c>
      <c r="R16" s="28" t="s">
        <v>3231</v>
      </c>
    </row>
    <row r="17" spans="1:18" ht="26" customHeight="1" x14ac:dyDescent="0.35">
      <c r="A17" s="28" t="s">
        <v>3230</v>
      </c>
      <c r="B17" s="28" t="s">
        <v>27</v>
      </c>
      <c r="C17" s="28">
        <v>12</v>
      </c>
      <c r="D17" s="28">
        <v>5</v>
      </c>
      <c r="E17" s="28">
        <v>4</v>
      </c>
      <c r="F17" s="28">
        <v>3</v>
      </c>
      <c r="G17" s="28">
        <v>0</v>
      </c>
      <c r="H17" s="29">
        <v>775398</v>
      </c>
      <c r="I17" s="29">
        <v>11843464</v>
      </c>
      <c r="J17" s="29">
        <v>11068066</v>
      </c>
      <c r="K17" s="29">
        <v>34519265</v>
      </c>
      <c r="L17" s="29">
        <v>34428072</v>
      </c>
      <c r="M17" s="29">
        <v>4055747</v>
      </c>
      <c r="N17" s="30">
        <v>11.780348896679429</v>
      </c>
      <c r="O17" s="29">
        <v>29427672</v>
      </c>
      <c r="P17" s="29">
        <v>15997478</v>
      </c>
      <c r="Q17" s="30">
        <v>54.362023608255527</v>
      </c>
      <c r="R17" s="28" t="s">
        <v>3232</v>
      </c>
    </row>
    <row r="18" spans="1:18" ht="26" customHeight="1" x14ac:dyDescent="0.35">
      <c r="A18" s="28" t="s">
        <v>3230</v>
      </c>
      <c r="B18" s="28" t="s">
        <v>31</v>
      </c>
      <c r="C18" s="28">
        <v>17</v>
      </c>
      <c r="D18" s="28">
        <v>6</v>
      </c>
      <c r="E18" s="28">
        <v>10</v>
      </c>
      <c r="F18" s="28">
        <v>1</v>
      </c>
      <c r="G18" s="28">
        <v>2</v>
      </c>
      <c r="H18" s="29">
        <v>416821</v>
      </c>
      <c r="I18" s="29">
        <v>21830512</v>
      </c>
      <c r="J18" s="29">
        <v>21413691</v>
      </c>
      <c r="K18" s="29">
        <v>63658949</v>
      </c>
      <c r="L18" s="29">
        <v>63378828</v>
      </c>
      <c r="M18" s="29">
        <v>8417280</v>
      </c>
      <c r="N18" s="30">
        <v>13.28090194410032</v>
      </c>
      <c r="O18" s="29">
        <v>50289890</v>
      </c>
      <c r="P18" s="29">
        <v>28131498</v>
      </c>
      <c r="Q18" s="30">
        <v>55.93867475152561</v>
      </c>
      <c r="R18" s="28" t="s">
        <v>3233</v>
      </c>
    </row>
    <row r="19" spans="1:18" ht="26" customHeight="1" x14ac:dyDescent="0.35">
      <c r="A19" s="28" t="s">
        <v>3230</v>
      </c>
      <c r="B19" s="28" t="s">
        <v>40</v>
      </c>
      <c r="C19" s="28">
        <v>13</v>
      </c>
      <c r="D19" s="28">
        <v>6</v>
      </c>
      <c r="E19" s="28">
        <v>6</v>
      </c>
      <c r="F19" s="28">
        <v>1</v>
      </c>
      <c r="G19" s="28">
        <v>1</v>
      </c>
      <c r="H19" s="29">
        <v>-3398774</v>
      </c>
      <c r="I19" s="29">
        <v>10133432</v>
      </c>
      <c r="J19" s="29">
        <v>13532206</v>
      </c>
      <c r="K19" s="29">
        <v>35301559</v>
      </c>
      <c r="L19" s="29">
        <v>38842898</v>
      </c>
      <c r="M19" s="29">
        <v>5749087</v>
      </c>
      <c r="N19" s="30">
        <v>14.800870419091799</v>
      </c>
      <c r="O19" s="29">
        <v>31455092</v>
      </c>
      <c r="P19" s="29">
        <v>16338297</v>
      </c>
      <c r="Q19" s="30">
        <v>51.941660192887049</v>
      </c>
      <c r="R19" s="28" t="s">
        <v>3234</v>
      </c>
    </row>
    <row r="21" spans="1:18" ht="52" customHeight="1" x14ac:dyDescent="0.35">
      <c r="A21" s="31" t="s">
        <v>3235</v>
      </c>
    </row>
    <row r="22" spans="1:18" ht="48" customHeight="1" x14ac:dyDescent="0.35">
      <c r="A22" s="39" t="s">
        <v>3175</v>
      </c>
      <c r="B22" s="40"/>
      <c r="C22" s="40"/>
      <c r="D22" s="40"/>
      <c r="E22" s="40"/>
      <c r="F22" s="40"/>
      <c r="G22" s="40"/>
      <c r="H22" s="41"/>
    </row>
  </sheetData>
  <mergeCells count="3">
    <mergeCell ref="A2:R2"/>
    <mergeCell ref="A1:R1"/>
    <mergeCell ref="A22:H2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P58"/>
  <sheetViews>
    <sheetView zoomScale="70" zoomScaleNormal="70" workbookViewId="0">
      <pane ySplit="4" topLeftCell="A5" activePane="bottomLeft" state="frozen"/>
      <selection pane="bottomLeft" activeCell="U14" sqref="U14"/>
    </sheetView>
  </sheetViews>
  <sheetFormatPr defaultRowHeight="14.5" x14ac:dyDescent="0.35"/>
  <cols>
    <col min="1" max="1" width="22" customWidth="1"/>
    <col min="2" max="16" width="14" customWidth="1"/>
  </cols>
  <sheetData>
    <row r="1" spans="1:16" ht="48" customHeight="1" x14ac:dyDescent="0.35">
      <c r="A1" s="35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6" ht="56" customHeight="1" x14ac:dyDescent="0.35">
      <c r="A2" s="33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4" spans="1:16" ht="39" customHeight="1" x14ac:dyDescent="0.3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</row>
    <row r="5" spans="1:16" x14ac:dyDescent="0.35">
      <c r="A5" s="28">
        <v>1</v>
      </c>
      <c r="B5" s="28" t="s">
        <v>18</v>
      </c>
      <c r="C5" s="28" t="s">
        <v>19</v>
      </c>
      <c r="D5" s="28" t="s">
        <v>20</v>
      </c>
      <c r="E5" s="28" t="s">
        <v>21</v>
      </c>
      <c r="F5" s="28" t="s">
        <v>22</v>
      </c>
      <c r="G5" s="29">
        <v>5536505</v>
      </c>
      <c r="H5" s="30">
        <v>59.74</v>
      </c>
      <c r="I5" s="30">
        <v>60.22</v>
      </c>
      <c r="J5" s="30">
        <v>0.48</v>
      </c>
      <c r="K5" s="29">
        <v>5580990</v>
      </c>
      <c r="L5" s="29">
        <v>44485</v>
      </c>
      <c r="M5" s="29">
        <v>9267668</v>
      </c>
      <c r="N5" s="30">
        <v>5.536505</v>
      </c>
      <c r="O5" s="30">
        <v>0</v>
      </c>
      <c r="P5" s="28" t="s">
        <v>23</v>
      </c>
    </row>
    <row r="6" spans="1:16" ht="26" customHeight="1" x14ac:dyDescent="0.35">
      <c r="A6" s="28">
        <v>2</v>
      </c>
      <c r="B6" s="28" t="s">
        <v>24</v>
      </c>
      <c r="C6" s="28" t="s">
        <v>25</v>
      </c>
      <c r="D6" s="28" t="s">
        <v>26</v>
      </c>
      <c r="E6" s="28" t="s">
        <v>27</v>
      </c>
      <c r="F6" s="28" t="s">
        <v>22</v>
      </c>
      <c r="G6" s="29">
        <v>4414828</v>
      </c>
      <c r="H6" s="30">
        <v>75.680000000000007</v>
      </c>
      <c r="I6" s="30">
        <v>77.349999999999994</v>
      </c>
      <c r="J6" s="30">
        <v>1.67</v>
      </c>
      <c r="K6" s="29">
        <v>4512248</v>
      </c>
      <c r="L6" s="29">
        <v>97420</v>
      </c>
      <c r="M6" s="29">
        <v>5833546</v>
      </c>
      <c r="N6" s="30">
        <v>4.414828</v>
      </c>
      <c r="O6" s="30">
        <v>0</v>
      </c>
      <c r="P6" s="28" t="s">
        <v>23</v>
      </c>
    </row>
    <row r="7" spans="1:16" x14ac:dyDescent="0.35">
      <c r="A7" s="28">
        <v>3</v>
      </c>
      <c r="B7" s="28" t="s">
        <v>28</v>
      </c>
      <c r="C7" s="28" t="s">
        <v>29</v>
      </c>
      <c r="D7" s="28" t="s">
        <v>30</v>
      </c>
      <c r="E7" s="28" t="s">
        <v>31</v>
      </c>
      <c r="F7" s="28" t="s">
        <v>22</v>
      </c>
      <c r="G7" s="29">
        <v>4363085</v>
      </c>
      <c r="H7" s="30">
        <v>78.95</v>
      </c>
      <c r="I7" s="30">
        <v>78.990000000000009</v>
      </c>
      <c r="J7" s="30">
        <v>0.04</v>
      </c>
      <c r="K7" s="29">
        <v>4365296</v>
      </c>
      <c r="L7" s="29">
        <v>2211</v>
      </c>
      <c r="M7" s="29">
        <v>5526391</v>
      </c>
      <c r="N7" s="30">
        <v>4.3630849999999999</v>
      </c>
      <c r="O7" s="30">
        <v>0</v>
      </c>
      <c r="P7" s="28" t="s">
        <v>23</v>
      </c>
    </row>
    <row r="8" spans="1:16" ht="26" customHeight="1" x14ac:dyDescent="0.35">
      <c r="A8" s="28">
        <v>4</v>
      </c>
      <c r="B8" s="28" t="s">
        <v>32</v>
      </c>
      <c r="C8" s="28" t="s">
        <v>33</v>
      </c>
      <c r="D8" s="28" t="s">
        <v>34</v>
      </c>
      <c r="E8" s="28" t="s">
        <v>31</v>
      </c>
      <c r="F8" s="28" t="s">
        <v>22</v>
      </c>
      <c r="G8" s="29">
        <v>3763060</v>
      </c>
      <c r="H8" s="30">
        <v>26.98</v>
      </c>
      <c r="I8" s="30">
        <v>48.82</v>
      </c>
      <c r="J8" s="30">
        <v>21.84</v>
      </c>
      <c r="K8" s="29">
        <v>6809213</v>
      </c>
      <c r="L8" s="29">
        <v>3046153</v>
      </c>
      <c r="M8" s="29">
        <v>13947589</v>
      </c>
      <c r="N8" s="30">
        <v>3.7630599999999998</v>
      </c>
      <c r="O8" s="30">
        <v>0</v>
      </c>
      <c r="P8" s="28" t="s">
        <v>23</v>
      </c>
    </row>
    <row r="9" spans="1:16" ht="26" customHeight="1" x14ac:dyDescent="0.35">
      <c r="A9" s="28">
        <v>5</v>
      </c>
      <c r="B9" s="28" t="s">
        <v>35</v>
      </c>
      <c r="C9" s="28" t="s">
        <v>36</v>
      </c>
      <c r="D9" s="28" t="s">
        <v>26</v>
      </c>
      <c r="E9" s="28" t="s">
        <v>27</v>
      </c>
      <c r="F9" s="28" t="s">
        <v>22</v>
      </c>
      <c r="G9" s="29">
        <v>2309762</v>
      </c>
      <c r="H9" s="30">
        <v>73.290000000000006</v>
      </c>
      <c r="I9" s="30">
        <v>74.53</v>
      </c>
      <c r="J9" s="30">
        <v>1.24</v>
      </c>
      <c r="K9" s="29">
        <v>2348841</v>
      </c>
      <c r="L9" s="29">
        <v>39079</v>
      </c>
      <c r="M9" s="29">
        <v>3151537</v>
      </c>
      <c r="N9" s="30">
        <v>2.3097620000000001</v>
      </c>
      <c r="O9" s="30">
        <v>0</v>
      </c>
      <c r="P9" s="28" t="s">
        <v>23</v>
      </c>
    </row>
    <row r="10" spans="1:16" x14ac:dyDescent="0.35">
      <c r="A10" s="28">
        <v>6</v>
      </c>
      <c r="B10" s="28" t="s">
        <v>37</v>
      </c>
      <c r="C10" s="28" t="s">
        <v>38</v>
      </c>
      <c r="D10" s="28" t="s">
        <v>39</v>
      </c>
      <c r="E10" s="28" t="s">
        <v>40</v>
      </c>
      <c r="F10" s="28" t="s">
        <v>22</v>
      </c>
      <c r="G10" s="29">
        <v>2159161</v>
      </c>
      <c r="H10" s="30">
        <v>13.26</v>
      </c>
      <c r="I10" s="30">
        <v>46.989999999999988</v>
      </c>
      <c r="J10" s="30">
        <v>33.729999999999997</v>
      </c>
      <c r="K10" s="29">
        <v>7651506</v>
      </c>
      <c r="L10" s="29">
        <v>5492345</v>
      </c>
      <c r="M10" s="29">
        <v>16283265</v>
      </c>
      <c r="N10" s="30">
        <v>2.1591610000000001</v>
      </c>
      <c r="O10" s="30">
        <v>0</v>
      </c>
      <c r="P10" s="28" t="s">
        <v>23</v>
      </c>
    </row>
    <row r="11" spans="1:16" ht="26" customHeight="1" x14ac:dyDescent="0.35">
      <c r="A11" s="28">
        <v>7</v>
      </c>
      <c r="B11" s="28" t="s">
        <v>41</v>
      </c>
      <c r="C11" s="28" t="s">
        <v>42</v>
      </c>
      <c r="D11" s="28" t="s">
        <v>43</v>
      </c>
      <c r="E11" s="28" t="s">
        <v>27</v>
      </c>
      <c r="F11" s="28" t="s">
        <v>22</v>
      </c>
      <c r="G11" s="29">
        <v>1399311</v>
      </c>
      <c r="H11" s="30">
        <v>44.55</v>
      </c>
      <c r="I11" s="30">
        <v>49.87</v>
      </c>
      <c r="J11" s="30">
        <v>5.3199999999999994</v>
      </c>
      <c r="K11" s="29">
        <v>1566412</v>
      </c>
      <c r="L11" s="29">
        <v>167101</v>
      </c>
      <c r="M11" s="29">
        <v>3140991</v>
      </c>
      <c r="N11" s="30">
        <v>1.399311</v>
      </c>
      <c r="O11" s="30">
        <v>0</v>
      </c>
      <c r="P11" s="28" t="s">
        <v>23</v>
      </c>
    </row>
    <row r="12" spans="1:16" ht="26" customHeight="1" x14ac:dyDescent="0.35">
      <c r="A12" s="28">
        <v>8</v>
      </c>
      <c r="B12" s="28" t="s">
        <v>44</v>
      </c>
      <c r="C12" s="28" t="s">
        <v>45</v>
      </c>
      <c r="D12" s="28" t="s">
        <v>46</v>
      </c>
      <c r="E12" s="28" t="s">
        <v>31</v>
      </c>
      <c r="F12" s="28" t="s">
        <v>22</v>
      </c>
      <c r="G12" s="29">
        <v>1254581</v>
      </c>
      <c r="H12" s="30">
        <v>55.07</v>
      </c>
      <c r="I12" s="30">
        <v>59.86</v>
      </c>
      <c r="J12" s="30">
        <v>4.79</v>
      </c>
      <c r="K12" s="29">
        <v>1363705</v>
      </c>
      <c r="L12" s="29">
        <v>109124</v>
      </c>
      <c r="M12" s="29">
        <v>2278158</v>
      </c>
      <c r="N12" s="30">
        <v>1.2545809999999999</v>
      </c>
      <c r="O12" s="30">
        <v>0</v>
      </c>
      <c r="P12" s="28" t="s">
        <v>23</v>
      </c>
    </row>
    <row r="13" spans="1:16" x14ac:dyDescent="0.35">
      <c r="A13" s="28">
        <v>9</v>
      </c>
      <c r="B13" s="28" t="s">
        <v>47</v>
      </c>
      <c r="C13" s="28" t="s">
        <v>48</v>
      </c>
      <c r="D13" s="28" t="s">
        <v>30</v>
      </c>
      <c r="E13" s="28" t="s">
        <v>31</v>
      </c>
      <c r="F13" s="28" t="s">
        <v>22</v>
      </c>
      <c r="G13" s="29">
        <v>1250624</v>
      </c>
      <c r="H13" s="30">
        <v>45.08</v>
      </c>
      <c r="I13" s="30">
        <v>59.86</v>
      </c>
      <c r="J13" s="30">
        <v>14.78</v>
      </c>
      <c r="K13" s="29">
        <v>1660655</v>
      </c>
      <c r="L13" s="29">
        <v>410031</v>
      </c>
      <c r="M13" s="29">
        <v>2774232</v>
      </c>
      <c r="N13" s="30">
        <v>1.250624</v>
      </c>
      <c r="O13" s="30">
        <v>0</v>
      </c>
      <c r="P13" s="28" t="s">
        <v>23</v>
      </c>
    </row>
    <row r="14" spans="1:16" ht="26" customHeight="1" x14ac:dyDescent="0.35">
      <c r="A14" s="28">
        <v>10</v>
      </c>
      <c r="B14" s="28" t="s">
        <v>49</v>
      </c>
      <c r="C14" s="28" t="s">
        <v>50</v>
      </c>
      <c r="D14" s="28" t="s">
        <v>46</v>
      </c>
      <c r="E14" s="28" t="s">
        <v>31</v>
      </c>
      <c r="F14" s="28" t="s">
        <v>22</v>
      </c>
      <c r="G14" s="29">
        <v>598939</v>
      </c>
      <c r="H14" s="30">
        <v>22.32</v>
      </c>
      <c r="I14" s="30">
        <v>42.01</v>
      </c>
      <c r="J14" s="30">
        <v>19.690000000000001</v>
      </c>
      <c r="K14" s="29">
        <v>1127304</v>
      </c>
      <c r="L14" s="29">
        <v>528365</v>
      </c>
      <c r="M14" s="29">
        <v>2683418</v>
      </c>
      <c r="N14" s="30">
        <v>0.598939</v>
      </c>
      <c r="O14" s="30">
        <v>0</v>
      </c>
      <c r="P14" s="28" t="s">
        <v>23</v>
      </c>
    </row>
    <row r="15" spans="1:16" x14ac:dyDescent="0.35">
      <c r="A15" s="28">
        <v>11</v>
      </c>
      <c r="B15" s="28" t="s">
        <v>51</v>
      </c>
      <c r="C15" s="28" t="s">
        <v>52</v>
      </c>
      <c r="D15" s="28" t="s">
        <v>39</v>
      </c>
      <c r="E15" s="28" t="s">
        <v>40</v>
      </c>
      <c r="F15" s="28" t="s">
        <v>22</v>
      </c>
      <c r="G15" s="29">
        <v>556913</v>
      </c>
      <c r="H15" s="30">
        <v>92.28</v>
      </c>
      <c r="I15" s="30">
        <v>92.28</v>
      </c>
      <c r="J15" s="30"/>
      <c r="K15" s="29">
        <v>556913</v>
      </c>
      <c r="L15" s="29"/>
      <c r="M15" s="29">
        <v>603504</v>
      </c>
      <c r="N15" s="30">
        <v>0.55691299999999999</v>
      </c>
      <c r="O15" s="30">
        <v>0</v>
      </c>
      <c r="P15" s="28" t="s">
        <v>23</v>
      </c>
    </row>
    <row r="16" spans="1:16" x14ac:dyDescent="0.35">
      <c r="A16" s="28">
        <v>12</v>
      </c>
      <c r="B16" s="28" t="s">
        <v>53</v>
      </c>
      <c r="C16" s="28" t="s">
        <v>54</v>
      </c>
      <c r="D16" s="28" t="s">
        <v>55</v>
      </c>
      <c r="E16" s="28" t="s">
        <v>21</v>
      </c>
      <c r="F16" s="28" t="s">
        <v>22</v>
      </c>
      <c r="G16" s="29">
        <v>528375</v>
      </c>
      <c r="H16" s="30">
        <v>64.709999999999994</v>
      </c>
      <c r="I16" s="30">
        <v>73.58</v>
      </c>
      <c r="J16" s="30">
        <v>8.870000000000001</v>
      </c>
      <c r="K16" s="29">
        <v>600801</v>
      </c>
      <c r="L16" s="29">
        <v>72426</v>
      </c>
      <c r="M16" s="29">
        <v>816527</v>
      </c>
      <c r="N16" s="30">
        <v>0.52837500000000004</v>
      </c>
      <c r="O16" s="30">
        <v>0</v>
      </c>
      <c r="P16" s="28" t="s">
        <v>23</v>
      </c>
    </row>
    <row r="17" spans="1:16" x14ac:dyDescent="0.35">
      <c r="A17" s="28">
        <v>13</v>
      </c>
      <c r="B17" s="28" t="s">
        <v>56</v>
      </c>
      <c r="C17" s="28" t="s">
        <v>57</v>
      </c>
      <c r="D17" s="28" t="s">
        <v>58</v>
      </c>
      <c r="E17" s="28" t="s">
        <v>40</v>
      </c>
      <c r="F17" s="28" t="s">
        <v>22</v>
      </c>
      <c r="G17" s="29">
        <v>335785</v>
      </c>
      <c r="H17" s="30">
        <v>54.43</v>
      </c>
      <c r="I17" s="30">
        <v>54.43</v>
      </c>
      <c r="J17" s="30"/>
      <c r="K17" s="29">
        <v>335785</v>
      </c>
      <c r="L17" s="29"/>
      <c r="M17" s="29">
        <v>616912</v>
      </c>
      <c r="N17" s="30">
        <v>0.335785</v>
      </c>
      <c r="O17" s="30">
        <v>0</v>
      </c>
      <c r="P17" s="28" t="s">
        <v>23</v>
      </c>
    </row>
    <row r="18" spans="1:16" ht="26" customHeight="1" x14ac:dyDescent="0.35">
      <c r="A18" s="28">
        <v>14</v>
      </c>
      <c r="B18" s="28" t="s">
        <v>59</v>
      </c>
      <c r="C18" s="28" t="s">
        <v>60</v>
      </c>
      <c r="D18" s="28" t="s">
        <v>43</v>
      </c>
      <c r="E18" s="28" t="s">
        <v>27</v>
      </c>
      <c r="F18" s="28" t="s">
        <v>22</v>
      </c>
      <c r="G18" s="29">
        <v>312736</v>
      </c>
      <c r="H18" s="30">
        <v>31.31</v>
      </c>
      <c r="I18" s="30">
        <v>31.31</v>
      </c>
      <c r="J18" s="30"/>
      <c r="K18" s="29">
        <v>312736</v>
      </c>
      <c r="L18" s="29"/>
      <c r="M18" s="29">
        <v>998839</v>
      </c>
      <c r="N18" s="30">
        <v>0.31273600000000001</v>
      </c>
      <c r="O18" s="30">
        <v>0</v>
      </c>
      <c r="P18" s="28" t="s">
        <v>23</v>
      </c>
    </row>
    <row r="19" spans="1:16" x14ac:dyDescent="0.35">
      <c r="A19" s="28">
        <v>15</v>
      </c>
      <c r="B19" s="28" t="s">
        <v>61</v>
      </c>
      <c r="C19" s="28" t="s">
        <v>62</v>
      </c>
      <c r="D19" s="28" t="s">
        <v>58</v>
      </c>
      <c r="E19" s="28" t="s">
        <v>40</v>
      </c>
      <c r="F19" s="28" t="s">
        <v>22</v>
      </c>
      <c r="G19" s="29">
        <v>307579</v>
      </c>
      <c r="H19" s="30">
        <v>21.15</v>
      </c>
      <c r="I19" s="30">
        <v>21.15</v>
      </c>
      <c r="J19" s="30"/>
      <c r="K19" s="29">
        <v>307579</v>
      </c>
      <c r="L19" s="29"/>
      <c r="M19" s="29">
        <v>1454275</v>
      </c>
      <c r="N19" s="30">
        <v>0.30757899999999999</v>
      </c>
      <c r="O19" s="30">
        <v>0</v>
      </c>
      <c r="P19" s="28" t="s">
        <v>23</v>
      </c>
    </row>
    <row r="20" spans="1:16" ht="26" customHeight="1" x14ac:dyDescent="0.35">
      <c r="A20" s="28">
        <v>16</v>
      </c>
      <c r="B20" s="28" t="s">
        <v>63</v>
      </c>
      <c r="C20" s="28" t="s">
        <v>64</v>
      </c>
      <c r="D20" s="28" t="s">
        <v>43</v>
      </c>
      <c r="E20" s="28" t="s">
        <v>27</v>
      </c>
      <c r="F20" s="28" t="s">
        <v>22</v>
      </c>
      <c r="G20" s="29">
        <v>229341</v>
      </c>
      <c r="H20" s="30">
        <v>15.42</v>
      </c>
      <c r="I20" s="30">
        <v>19.940000000000001</v>
      </c>
      <c r="J20" s="30">
        <v>4.5199999999999996</v>
      </c>
      <c r="K20" s="29">
        <v>296567</v>
      </c>
      <c r="L20" s="29">
        <v>67226</v>
      </c>
      <c r="M20" s="29">
        <v>1487297</v>
      </c>
      <c r="N20" s="30">
        <v>0.22934099999999999</v>
      </c>
      <c r="O20" s="30">
        <v>0</v>
      </c>
      <c r="P20" s="28" t="s">
        <v>23</v>
      </c>
    </row>
    <row r="21" spans="1:16" x14ac:dyDescent="0.35">
      <c r="A21" s="28">
        <v>17</v>
      </c>
      <c r="B21" s="28" t="s">
        <v>65</v>
      </c>
      <c r="C21" s="28" t="s">
        <v>66</v>
      </c>
      <c r="D21" s="28" t="s">
        <v>58</v>
      </c>
      <c r="E21" s="28" t="s">
        <v>40</v>
      </c>
      <c r="F21" s="28" t="s">
        <v>22</v>
      </c>
      <c r="G21" s="29">
        <v>161029</v>
      </c>
      <c r="H21" s="30">
        <v>51.72</v>
      </c>
      <c r="I21" s="30">
        <v>51.72</v>
      </c>
      <c r="J21" s="30"/>
      <c r="K21" s="29">
        <v>161029</v>
      </c>
      <c r="L21" s="29"/>
      <c r="M21" s="29">
        <v>311347</v>
      </c>
      <c r="N21" s="30">
        <v>0.16102900000000001</v>
      </c>
      <c r="O21" s="30">
        <v>0</v>
      </c>
      <c r="P21" s="28" t="s">
        <v>23</v>
      </c>
    </row>
    <row r="22" spans="1:16" x14ac:dyDescent="0.35">
      <c r="A22" s="28">
        <v>18</v>
      </c>
      <c r="B22" s="28" t="s">
        <v>67</v>
      </c>
      <c r="C22" s="28" t="s">
        <v>68</v>
      </c>
      <c r="D22" s="28" t="s">
        <v>58</v>
      </c>
      <c r="E22" s="28" t="s">
        <v>40</v>
      </c>
      <c r="F22" s="28" t="s">
        <v>22</v>
      </c>
      <c r="G22" s="29">
        <v>80612</v>
      </c>
      <c r="H22" s="30">
        <v>8.7799999999999994</v>
      </c>
      <c r="I22" s="30">
        <v>9.0399999999999991</v>
      </c>
      <c r="J22" s="30">
        <v>0.26</v>
      </c>
      <c r="K22" s="29">
        <v>82999</v>
      </c>
      <c r="L22" s="29">
        <v>2387</v>
      </c>
      <c r="M22" s="29">
        <v>918136</v>
      </c>
      <c r="N22" s="30">
        <v>8.0612000000000003E-2</v>
      </c>
      <c r="O22" s="30">
        <v>0</v>
      </c>
      <c r="P22" s="28" t="s">
        <v>23</v>
      </c>
    </row>
    <row r="23" spans="1:16" ht="26" customHeight="1" x14ac:dyDescent="0.35">
      <c r="A23" s="28">
        <v>19</v>
      </c>
      <c r="B23" s="28" t="s">
        <v>69</v>
      </c>
      <c r="C23" s="28" t="s">
        <v>70</v>
      </c>
      <c r="D23" s="28" t="s">
        <v>34</v>
      </c>
      <c r="E23" s="28" t="s">
        <v>31</v>
      </c>
      <c r="F23" s="28" t="s">
        <v>22</v>
      </c>
      <c r="G23" s="29">
        <v>51865</v>
      </c>
      <c r="H23" s="30">
        <v>2.2000000000000002</v>
      </c>
      <c r="I23" s="30">
        <v>13.49</v>
      </c>
      <c r="J23" s="30">
        <v>11.29</v>
      </c>
      <c r="K23" s="29">
        <v>318024</v>
      </c>
      <c r="L23" s="29">
        <v>266159</v>
      </c>
      <c r="M23" s="29">
        <v>2357476</v>
      </c>
      <c r="N23" s="30">
        <v>5.1865000000000001E-2</v>
      </c>
      <c r="O23" s="30">
        <v>0</v>
      </c>
      <c r="P23" s="28" t="s">
        <v>23</v>
      </c>
    </row>
    <row r="24" spans="1:16" x14ac:dyDescent="0.35">
      <c r="A24" s="28">
        <v>20</v>
      </c>
      <c r="B24" s="28" t="s">
        <v>71</v>
      </c>
      <c r="C24" s="28" t="s">
        <v>72</v>
      </c>
      <c r="D24" s="28" t="s">
        <v>39</v>
      </c>
      <c r="E24" s="28" t="s">
        <v>40</v>
      </c>
      <c r="F24" s="28" t="s">
        <v>73</v>
      </c>
      <c r="G24" s="29">
        <v>0</v>
      </c>
      <c r="H24" s="30">
        <v>0</v>
      </c>
      <c r="I24" s="30"/>
      <c r="J24" s="30"/>
      <c r="K24" s="29"/>
      <c r="L24" s="29"/>
      <c r="M24" s="29">
        <v>383830</v>
      </c>
      <c r="N24" s="30">
        <v>0</v>
      </c>
      <c r="O24" s="30">
        <v>0</v>
      </c>
      <c r="P24" s="28" t="s">
        <v>23</v>
      </c>
    </row>
    <row r="25" spans="1:16" ht="26" customHeight="1" x14ac:dyDescent="0.35">
      <c r="A25" s="28">
        <v>21</v>
      </c>
      <c r="B25" s="28" t="s">
        <v>74</v>
      </c>
      <c r="C25" s="28" t="s">
        <v>75</v>
      </c>
      <c r="D25" s="28" t="s">
        <v>43</v>
      </c>
      <c r="E25" s="28" t="s">
        <v>27</v>
      </c>
      <c r="F25" s="28" t="s">
        <v>73</v>
      </c>
      <c r="G25" s="29">
        <v>0</v>
      </c>
      <c r="H25" s="30">
        <v>0</v>
      </c>
      <c r="I25" s="30"/>
      <c r="J25" s="30"/>
      <c r="K25" s="29"/>
      <c r="L25" s="29"/>
      <c r="M25" s="29">
        <v>1661913</v>
      </c>
      <c r="N25" s="30">
        <v>0</v>
      </c>
      <c r="O25" s="30">
        <v>0</v>
      </c>
      <c r="P25" s="28" t="s">
        <v>23</v>
      </c>
    </row>
    <row r="26" spans="1:16" ht="26" customHeight="1" x14ac:dyDescent="0.35">
      <c r="A26" s="28">
        <v>22</v>
      </c>
      <c r="B26" s="28" t="s">
        <v>76</v>
      </c>
      <c r="C26" s="28" t="s">
        <v>77</v>
      </c>
      <c r="D26" s="28" t="s">
        <v>43</v>
      </c>
      <c r="E26" s="28" t="s">
        <v>27</v>
      </c>
      <c r="F26" s="28" t="s">
        <v>73</v>
      </c>
      <c r="G26" s="29">
        <v>0</v>
      </c>
      <c r="H26" s="30">
        <v>0</v>
      </c>
      <c r="I26" s="30"/>
      <c r="J26" s="30"/>
      <c r="K26" s="29"/>
      <c r="L26" s="29"/>
      <c r="M26" s="29">
        <v>452871</v>
      </c>
      <c r="N26" s="30">
        <v>0</v>
      </c>
      <c r="O26" s="30">
        <v>0</v>
      </c>
      <c r="P26" s="28" t="s">
        <v>23</v>
      </c>
    </row>
    <row r="27" spans="1:16" ht="26" customHeight="1" x14ac:dyDescent="0.35">
      <c r="A27" s="28">
        <v>23</v>
      </c>
      <c r="B27" s="28" t="s">
        <v>78</v>
      </c>
      <c r="C27" s="28" t="s">
        <v>79</v>
      </c>
      <c r="D27" s="28" t="s">
        <v>34</v>
      </c>
      <c r="E27" s="28" t="s">
        <v>31</v>
      </c>
      <c r="F27" s="28" t="s">
        <v>73</v>
      </c>
      <c r="G27" s="29">
        <v>0</v>
      </c>
      <c r="H27" s="30">
        <v>0</v>
      </c>
      <c r="I27" s="30"/>
      <c r="J27" s="30"/>
      <c r="K27" s="29"/>
      <c r="L27" s="29"/>
      <c r="M27" s="29">
        <v>2056192</v>
      </c>
      <c r="N27" s="30">
        <v>0</v>
      </c>
      <c r="O27" s="30">
        <v>0</v>
      </c>
      <c r="P27" s="28" t="s">
        <v>23</v>
      </c>
    </row>
    <row r="28" spans="1:16" ht="26" customHeight="1" x14ac:dyDescent="0.35">
      <c r="A28" s="28">
        <v>24</v>
      </c>
      <c r="B28" s="28" t="s">
        <v>80</v>
      </c>
      <c r="C28" s="28" t="s">
        <v>81</v>
      </c>
      <c r="D28" s="28" t="s">
        <v>43</v>
      </c>
      <c r="E28" s="28" t="s">
        <v>27</v>
      </c>
      <c r="F28" s="28" t="s">
        <v>73</v>
      </c>
      <c r="G28" s="29">
        <v>0</v>
      </c>
      <c r="H28" s="30">
        <v>0</v>
      </c>
      <c r="I28" s="30"/>
      <c r="J28" s="30"/>
      <c r="K28" s="29"/>
      <c r="L28" s="29"/>
      <c r="M28" s="29">
        <v>498516</v>
      </c>
      <c r="N28" s="30">
        <v>0</v>
      </c>
      <c r="O28" s="30">
        <v>0</v>
      </c>
      <c r="P28" s="28" t="s">
        <v>23</v>
      </c>
    </row>
    <row r="29" spans="1:16" x14ac:dyDescent="0.35">
      <c r="A29" s="28">
        <v>25</v>
      </c>
      <c r="B29" s="28" t="s">
        <v>82</v>
      </c>
      <c r="C29" s="28" t="s">
        <v>83</v>
      </c>
      <c r="D29" s="28" t="s">
        <v>55</v>
      </c>
      <c r="E29" s="28" t="s">
        <v>21</v>
      </c>
      <c r="F29" s="28" t="s">
        <v>84</v>
      </c>
      <c r="G29" s="29">
        <v>-159</v>
      </c>
      <c r="H29" s="30">
        <v>-0.03</v>
      </c>
      <c r="I29" s="30">
        <v>0.02</v>
      </c>
      <c r="J29" s="30">
        <v>0.05</v>
      </c>
      <c r="K29" s="29">
        <v>106</v>
      </c>
      <c r="L29" s="29">
        <v>265</v>
      </c>
      <c r="M29" s="29">
        <v>530201</v>
      </c>
      <c r="N29" s="30">
        <v>0</v>
      </c>
      <c r="O29" s="30">
        <v>1.5899999999999999E-4</v>
      </c>
      <c r="P29" s="28" t="s">
        <v>23</v>
      </c>
    </row>
    <row r="30" spans="1:16" x14ac:dyDescent="0.35">
      <c r="A30" s="28">
        <v>26</v>
      </c>
      <c r="B30" s="28" t="s">
        <v>85</v>
      </c>
      <c r="C30" s="28" t="s">
        <v>86</v>
      </c>
      <c r="D30" s="28" t="s">
        <v>58</v>
      </c>
      <c r="E30" s="28" t="s">
        <v>40</v>
      </c>
      <c r="F30" s="28" t="s">
        <v>84</v>
      </c>
      <c r="G30" s="29">
        <v>-91307</v>
      </c>
      <c r="H30" s="30">
        <v>-2.54</v>
      </c>
      <c r="I30" s="30">
        <v>2.64</v>
      </c>
      <c r="J30" s="30">
        <v>5.18</v>
      </c>
      <c r="K30" s="29">
        <v>94903</v>
      </c>
      <c r="L30" s="29">
        <v>186210</v>
      </c>
      <c r="M30" s="29">
        <v>3594796</v>
      </c>
      <c r="N30" s="30">
        <v>0</v>
      </c>
      <c r="O30" s="30">
        <v>9.1306999999999999E-2</v>
      </c>
      <c r="P30" s="28" t="s">
        <v>23</v>
      </c>
    </row>
    <row r="31" spans="1:16" x14ac:dyDescent="0.35">
      <c r="A31" s="28">
        <v>27</v>
      </c>
      <c r="B31" s="28" t="s">
        <v>87</v>
      </c>
      <c r="C31" s="28" t="s">
        <v>88</v>
      </c>
      <c r="D31" s="28" t="s">
        <v>55</v>
      </c>
      <c r="E31" s="28" t="s">
        <v>21</v>
      </c>
      <c r="F31" s="28" t="s">
        <v>84</v>
      </c>
      <c r="G31" s="29">
        <v>-224439</v>
      </c>
      <c r="H31" s="30">
        <v>-59.94</v>
      </c>
      <c r="I31" s="30">
        <v>5.8999999999999986</v>
      </c>
      <c r="J31" s="30">
        <v>65.84</v>
      </c>
      <c r="K31" s="29">
        <v>22092</v>
      </c>
      <c r="L31" s="29">
        <v>246531</v>
      </c>
      <c r="M31" s="29">
        <v>374439</v>
      </c>
      <c r="N31" s="30">
        <v>0</v>
      </c>
      <c r="O31" s="30">
        <v>0.224439</v>
      </c>
      <c r="P31" s="28" t="s">
        <v>23</v>
      </c>
    </row>
    <row r="32" spans="1:16" x14ac:dyDescent="0.35">
      <c r="A32" s="28">
        <v>28</v>
      </c>
      <c r="B32" s="28" t="s">
        <v>89</v>
      </c>
      <c r="C32" s="28" t="s">
        <v>90</v>
      </c>
      <c r="D32" s="28" t="s">
        <v>30</v>
      </c>
      <c r="E32" s="28" t="s">
        <v>31</v>
      </c>
      <c r="F32" s="28" t="s">
        <v>84</v>
      </c>
      <c r="G32" s="29">
        <v>-255567</v>
      </c>
      <c r="H32" s="30">
        <v>-25.65</v>
      </c>
      <c r="I32" s="30">
        <v>3.35</v>
      </c>
      <c r="J32" s="30">
        <v>29</v>
      </c>
      <c r="K32" s="29">
        <v>33378</v>
      </c>
      <c r="L32" s="29">
        <v>288945</v>
      </c>
      <c r="M32" s="29">
        <v>996362</v>
      </c>
      <c r="N32" s="30">
        <v>0</v>
      </c>
      <c r="O32" s="30">
        <v>0.25556699999999999</v>
      </c>
      <c r="P32" s="28" t="s">
        <v>23</v>
      </c>
    </row>
    <row r="33" spans="1:16" ht="26" customHeight="1" x14ac:dyDescent="0.35">
      <c r="A33" s="28">
        <v>29</v>
      </c>
      <c r="B33" s="28" t="s">
        <v>91</v>
      </c>
      <c r="C33" s="28" t="s">
        <v>92</v>
      </c>
      <c r="D33" s="28" t="s">
        <v>34</v>
      </c>
      <c r="E33" s="28" t="s">
        <v>31</v>
      </c>
      <c r="F33" s="28" t="s">
        <v>84</v>
      </c>
      <c r="G33" s="29">
        <v>-262392</v>
      </c>
      <c r="H33" s="30">
        <v>-16.309999999999999</v>
      </c>
      <c r="I33" s="30"/>
      <c r="J33" s="30">
        <v>16.309999999999999</v>
      </c>
      <c r="K33" s="29"/>
      <c r="L33" s="29">
        <v>262392</v>
      </c>
      <c r="M33" s="29">
        <v>1608780</v>
      </c>
      <c r="N33" s="30">
        <v>0</v>
      </c>
      <c r="O33" s="30">
        <v>0.26239200000000001</v>
      </c>
      <c r="P33" s="28" t="s">
        <v>23</v>
      </c>
    </row>
    <row r="34" spans="1:16" ht="26" customHeight="1" x14ac:dyDescent="0.35">
      <c r="A34" s="28">
        <v>30</v>
      </c>
      <c r="B34" s="28" t="s">
        <v>93</v>
      </c>
      <c r="C34" s="28" t="s">
        <v>94</v>
      </c>
      <c r="D34" s="28" t="s">
        <v>30</v>
      </c>
      <c r="E34" s="28" t="s">
        <v>31</v>
      </c>
      <c r="F34" s="28" t="s">
        <v>84</v>
      </c>
      <c r="G34" s="29">
        <v>-380427</v>
      </c>
      <c r="H34" s="30">
        <v>-98.64</v>
      </c>
      <c r="I34" s="30"/>
      <c r="J34" s="30">
        <v>98.64</v>
      </c>
      <c r="K34" s="29"/>
      <c r="L34" s="29">
        <v>380427</v>
      </c>
      <c r="M34" s="29">
        <v>385672</v>
      </c>
      <c r="N34" s="30">
        <v>0</v>
      </c>
      <c r="O34" s="30">
        <v>0.38042700000000002</v>
      </c>
      <c r="P34" s="28" t="s">
        <v>23</v>
      </c>
    </row>
    <row r="35" spans="1:16" ht="26" customHeight="1" x14ac:dyDescent="0.35">
      <c r="A35" s="28">
        <v>31</v>
      </c>
      <c r="B35" s="28" t="s">
        <v>95</v>
      </c>
      <c r="C35" s="28" t="s">
        <v>96</v>
      </c>
      <c r="D35" s="28" t="s">
        <v>55</v>
      </c>
      <c r="E35" s="28" t="s">
        <v>21</v>
      </c>
      <c r="F35" s="28" t="s">
        <v>84</v>
      </c>
      <c r="G35" s="29">
        <v>-404144</v>
      </c>
      <c r="H35" s="30">
        <v>-56.29</v>
      </c>
      <c r="I35" s="30">
        <v>13.9</v>
      </c>
      <c r="J35" s="30">
        <v>70.19</v>
      </c>
      <c r="K35" s="29">
        <v>99798</v>
      </c>
      <c r="L35" s="29">
        <v>503942</v>
      </c>
      <c r="M35" s="29">
        <v>717969</v>
      </c>
      <c r="N35" s="30">
        <v>0</v>
      </c>
      <c r="O35" s="30">
        <v>0.404144</v>
      </c>
      <c r="P35" s="28" t="s">
        <v>23</v>
      </c>
    </row>
    <row r="36" spans="1:16" x14ac:dyDescent="0.35">
      <c r="A36" s="28">
        <v>32</v>
      </c>
      <c r="B36" s="28" t="s">
        <v>97</v>
      </c>
      <c r="C36" s="28" t="s">
        <v>98</v>
      </c>
      <c r="D36" s="28" t="s">
        <v>30</v>
      </c>
      <c r="E36" s="28" t="s">
        <v>31</v>
      </c>
      <c r="F36" s="28" t="s">
        <v>84</v>
      </c>
      <c r="G36" s="29">
        <v>-419605</v>
      </c>
      <c r="H36" s="30">
        <v>-82.08</v>
      </c>
      <c r="I36" s="30"/>
      <c r="J36" s="30">
        <v>82.08</v>
      </c>
      <c r="K36" s="29"/>
      <c r="L36" s="29">
        <v>419605</v>
      </c>
      <c r="M36" s="29">
        <v>511215</v>
      </c>
      <c r="N36" s="30">
        <v>0</v>
      </c>
      <c r="O36" s="30">
        <v>0.41960500000000001</v>
      </c>
      <c r="P36" s="28" t="s">
        <v>23</v>
      </c>
    </row>
    <row r="37" spans="1:16" ht="26" customHeight="1" x14ac:dyDescent="0.35">
      <c r="A37" s="28">
        <v>33</v>
      </c>
      <c r="B37" s="28" t="s">
        <v>99</v>
      </c>
      <c r="C37" s="28" t="s">
        <v>100</v>
      </c>
      <c r="D37" s="28" t="s">
        <v>46</v>
      </c>
      <c r="E37" s="28" t="s">
        <v>31</v>
      </c>
      <c r="F37" s="28" t="s">
        <v>84</v>
      </c>
      <c r="G37" s="29">
        <v>-452425</v>
      </c>
      <c r="H37" s="30">
        <v>-28.05</v>
      </c>
      <c r="I37" s="30">
        <v>1.1000000000000001</v>
      </c>
      <c r="J37" s="30">
        <v>29.15</v>
      </c>
      <c r="K37" s="29">
        <v>17742</v>
      </c>
      <c r="L37" s="29">
        <v>470167</v>
      </c>
      <c r="M37" s="29">
        <v>1612924</v>
      </c>
      <c r="N37" s="30">
        <v>0</v>
      </c>
      <c r="O37" s="30">
        <v>0.45242500000000002</v>
      </c>
      <c r="P37" s="28" t="s">
        <v>23</v>
      </c>
    </row>
    <row r="38" spans="1:16" x14ac:dyDescent="0.35">
      <c r="A38" s="28">
        <v>34</v>
      </c>
      <c r="B38" s="28" t="s">
        <v>101</v>
      </c>
      <c r="C38" s="28" t="s">
        <v>102</v>
      </c>
      <c r="D38" s="28" t="s">
        <v>58</v>
      </c>
      <c r="E38" s="28" t="s">
        <v>40</v>
      </c>
      <c r="F38" s="28" t="s">
        <v>84</v>
      </c>
      <c r="G38" s="29">
        <v>-614811</v>
      </c>
      <c r="H38" s="30">
        <v>-56.86</v>
      </c>
      <c r="I38" s="30">
        <v>1.31</v>
      </c>
      <c r="J38" s="30">
        <v>58.17</v>
      </c>
      <c r="K38" s="29">
        <v>14165</v>
      </c>
      <c r="L38" s="29">
        <v>628976</v>
      </c>
      <c r="M38" s="29">
        <v>1081272</v>
      </c>
      <c r="N38" s="30">
        <v>0</v>
      </c>
      <c r="O38" s="30">
        <v>0.614811</v>
      </c>
      <c r="P38" s="28" t="s">
        <v>23</v>
      </c>
    </row>
    <row r="39" spans="1:16" ht="26" customHeight="1" x14ac:dyDescent="0.35">
      <c r="A39" s="28">
        <v>35</v>
      </c>
      <c r="B39" s="28" t="s">
        <v>103</v>
      </c>
      <c r="C39" s="28" t="s">
        <v>104</v>
      </c>
      <c r="D39" s="28" t="s">
        <v>43</v>
      </c>
      <c r="E39" s="28" t="s">
        <v>27</v>
      </c>
      <c r="F39" s="28" t="s">
        <v>84</v>
      </c>
      <c r="G39" s="29">
        <v>-754875</v>
      </c>
      <c r="H39" s="30">
        <v>-26.45</v>
      </c>
      <c r="I39" s="30">
        <v>17.399999999999999</v>
      </c>
      <c r="J39" s="30">
        <v>43.85</v>
      </c>
      <c r="K39" s="29">
        <v>496591</v>
      </c>
      <c r="L39" s="29">
        <v>1251466</v>
      </c>
      <c r="M39" s="29">
        <v>2853970</v>
      </c>
      <c r="N39" s="30">
        <v>0</v>
      </c>
      <c r="O39" s="30">
        <v>0.75487499999999996</v>
      </c>
      <c r="P39" s="28" t="s">
        <v>23</v>
      </c>
    </row>
    <row r="40" spans="1:16" x14ac:dyDescent="0.35">
      <c r="A40" s="28">
        <v>36</v>
      </c>
      <c r="B40" s="28" t="s">
        <v>105</v>
      </c>
      <c r="C40" s="28" t="s">
        <v>106</v>
      </c>
      <c r="D40" s="28" t="s">
        <v>39</v>
      </c>
      <c r="E40" s="28" t="s">
        <v>40</v>
      </c>
      <c r="F40" s="28" t="s">
        <v>84</v>
      </c>
      <c r="G40" s="29">
        <v>-772253</v>
      </c>
      <c r="H40" s="30">
        <v>-37.270000000000003</v>
      </c>
      <c r="I40" s="30">
        <v>20.74</v>
      </c>
      <c r="J40" s="30">
        <v>58.01</v>
      </c>
      <c r="K40" s="29">
        <v>429744</v>
      </c>
      <c r="L40" s="29">
        <v>1201997</v>
      </c>
      <c r="M40" s="29">
        <v>2072052</v>
      </c>
      <c r="N40" s="30">
        <v>0</v>
      </c>
      <c r="O40" s="30">
        <v>0.77225299999999997</v>
      </c>
      <c r="P40" s="28" t="s">
        <v>23</v>
      </c>
    </row>
    <row r="41" spans="1:16" x14ac:dyDescent="0.35">
      <c r="A41" s="28">
        <v>37</v>
      </c>
      <c r="B41" s="28" t="s">
        <v>107</v>
      </c>
      <c r="C41" s="28" t="s">
        <v>108</v>
      </c>
      <c r="D41" s="28" t="s">
        <v>55</v>
      </c>
      <c r="E41" s="28" t="s">
        <v>21</v>
      </c>
      <c r="F41" s="28" t="s">
        <v>84</v>
      </c>
      <c r="G41" s="29">
        <v>-906842</v>
      </c>
      <c r="H41" s="30">
        <v>-54.6</v>
      </c>
      <c r="I41" s="30">
        <v>8.93</v>
      </c>
      <c r="J41" s="30">
        <v>63.53</v>
      </c>
      <c r="K41" s="29">
        <v>148317</v>
      </c>
      <c r="L41" s="29">
        <v>1055159</v>
      </c>
      <c r="M41" s="29">
        <v>1660883</v>
      </c>
      <c r="N41" s="30">
        <v>0</v>
      </c>
      <c r="O41" s="30">
        <v>0.90684200000000004</v>
      </c>
      <c r="P41" s="28" t="s">
        <v>23</v>
      </c>
    </row>
    <row r="42" spans="1:16" ht="26" customHeight="1" x14ac:dyDescent="0.35">
      <c r="A42" s="28">
        <v>38</v>
      </c>
      <c r="B42" s="28" t="s">
        <v>109</v>
      </c>
      <c r="C42" s="28" t="s">
        <v>110</v>
      </c>
      <c r="D42" s="28" t="s">
        <v>46</v>
      </c>
      <c r="E42" s="28" t="s">
        <v>31</v>
      </c>
      <c r="F42" s="28" t="s">
        <v>84</v>
      </c>
      <c r="G42" s="29">
        <v>-965821</v>
      </c>
      <c r="H42" s="30">
        <v>-27.39</v>
      </c>
      <c r="I42" s="30">
        <v>28.03</v>
      </c>
      <c r="J42" s="30">
        <v>55.42</v>
      </c>
      <c r="K42" s="29">
        <v>988389</v>
      </c>
      <c r="L42" s="29">
        <v>1954210</v>
      </c>
      <c r="M42" s="29">
        <v>3526181</v>
      </c>
      <c r="N42" s="30">
        <v>0</v>
      </c>
      <c r="O42" s="30">
        <v>0.96582100000000004</v>
      </c>
      <c r="P42" s="28" t="s">
        <v>23</v>
      </c>
    </row>
    <row r="43" spans="1:16" x14ac:dyDescent="0.35">
      <c r="A43" s="28">
        <v>39</v>
      </c>
      <c r="B43" s="28" t="s">
        <v>111</v>
      </c>
      <c r="C43" s="28" t="s">
        <v>112</v>
      </c>
      <c r="D43" s="28" t="s">
        <v>58</v>
      </c>
      <c r="E43" s="28" t="s">
        <v>40</v>
      </c>
      <c r="F43" s="28" t="s">
        <v>84</v>
      </c>
      <c r="G43" s="29">
        <v>-1078558</v>
      </c>
      <c r="H43" s="30">
        <v>-76.739999999999995</v>
      </c>
      <c r="I43" s="30"/>
      <c r="J43" s="30">
        <v>76.739999999999995</v>
      </c>
      <c r="K43" s="29"/>
      <c r="L43" s="29">
        <v>1078558</v>
      </c>
      <c r="M43" s="29">
        <v>1405470</v>
      </c>
      <c r="N43" s="30">
        <v>0</v>
      </c>
      <c r="O43" s="30">
        <v>1.0785579999999999</v>
      </c>
      <c r="P43" s="28" t="s">
        <v>23</v>
      </c>
    </row>
    <row r="44" spans="1:16" ht="26" customHeight="1" x14ac:dyDescent="0.35">
      <c r="A44" s="28">
        <v>40</v>
      </c>
      <c r="B44" s="28" t="s">
        <v>113</v>
      </c>
      <c r="C44" s="28" t="s">
        <v>114</v>
      </c>
      <c r="D44" s="28" t="s">
        <v>26</v>
      </c>
      <c r="E44" s="28" t="s">
        <v>27</v>
      </c>
      <c r="F44" s="28" t="s">
        <v>84</v>
      </c>
      <c r="G44" s="29">
        <v>-1236684</v>
      </c>
      <c r="H44" s="30">
        <v>-37.229999999999997</v>
      </c>
      <c r="I44" s="30">
        <v>21.06</v>
      </c>
      <c r="J44" s="30">
        <v>58.29</v>
      </c>
      <c r="K44" s="29">
        <v>699558</v>
      </c>
      <c r="L44" s="29">
        <v>1936242</v>
      </c>
      <c r="M44" s="29">
        <v>3321739</v>
      </c>
      <c r="N44" s="30">
        <v>0</v>
      </c>
      <c r="O44" s="30">
        <v>1.2366839999999999</v>
      </c>
      <c r="P44" s="28" t="s">
        <v>23</v>
      </c>
    </row>
    <row r="45" spans="1:16" ht="26" customHeight="1" x14ac:dyDescent="0.35">
      <c r="A45" s="28">
        <v>41</v>
      </c>
      <c r="B45" s="28" t="s">
        <v>115</v>
      </c>
      <c r="C45" s="28" t="s">
        <v>116</v>
      </c>
      <c r="D45" s="28" t="s">
        <v>26</v>
      </c>
      <c r="E45" s="28" t="s">
        <v>27</v>
      </c>
      <c r="F45" s="28" t="s">
        <v>84</v>
      </c>
      <c r="G45" s="29">
        <v>-1632460</v>
      </c>
      <c r="H45" s="30">
        <v>-32.25</v>
      </c>
      <c r="I45" s="30">
        <v>25.93</v>
      </c>
      <c r="J45" s="30">
        <v>58.18</v>
      </c>
      <c r="K45" s="29">
        <v>1312548</v>
      </c>
      <c r="L45" s="29">
        <v>2945008</v>
      </c>
      <c r="M45" s="29">
        <v>5061891</v>
      </c>
      <c r="N45" s="30">
        <v>0</v>
      </c>
      <c r="O45" s="30">
        <v>1.63246</v>
      </c>
      <c r="P45" s="28" t="s">
        <v>23</v>
      </c>
    </row>
    <row r="46" spans="1:16" x14ac:dyDescent="0.35">
      <c r="A46" s="28">
        <v>42</v>
      </c>
      <c r="B46" s="28" t="s">
        <v>117</v>
      </c>
      <c r="C46" s="28" t="s">
        <v>118</v>
      </c>
      <c r="D46" s="28" t="s">
        <v>30</v>
      </c>
      <c r="E46" s="28" t="s">
        <v>31</v>
      </c>
      <c r="F46" s="28" t="s">
        <v>84</v>
      </c>
      <c r="G46" s="29">
        <v>-1757747</v>
      </c>
      <c r="H46" s="30">
        <v>-43.04</v>
      </c>
      <c r="I46" s="30">
        <v>3.27</v>
      </c>
      <c r="J46" s="30">
        <v>46.31</v>
      </c>
      <c r="K46" s="29">
        <v>133546</v>
      </c>
      <c r="L46" s="29">
        <v>1891293</v>
      </c>
      <c r="M46" s="29">
        <v>4083985</v>
      </c>
      <c r="N46" s="30">
        <v>0</v>
      </c>
      <c r="O46" s="30">
        <v>1.7577469999999999</v>
      </c>
      <c r="P46" s="28" t="s">
        <v>23</v>
      </c>
    </row>
    <row r="47" spans="1:16" x14ac:dyDescent="0.35">
      <c r="A47" s="28">
        <v>43</v>
      </c>
      <c r="B47" s="28" t="s">
        <v>119</v>
      </c>
      <c r="C47" s="28" t="s">
        <v>120</v>
      </c>
      <c r="D47" s="28" t="s">
        <v>30</v>
      </c>
      <c r="E47" s="28" t="s">
        <v>31</v>
      </c>
      <c r="F47" s="28" t="s">
        <v>84</v>
      </c>
      <c r="G47" s="29">
        <v>-1855857</v>
      </c>
      <c r="H47" s="30">
        <v>-16.170000000000002</v>
      </c>
      <c r="I47" s="30">
        <v>36.15</v>
      </c>
      <c r="J47" s="30">
        <v>52.32</v>
      </c>
      <c r="K47" s="29">
        <v>4148992</v>
      </c>
      <c r="L47" s="29">
        <v>6004849</v>
      </c>
      <c r="M47" s="29">
        <v>11477157</v>
      </c>
      <c r="N47" s="30">
        <v>0</v>
      </c>
      <c r="O47" s="30">
        <v>1.8558570000000001</v>
      </c>
      <c r="P47" s="28" t="s">
        <v>23</v>
      </c>
    </row>
    <row r="48" spans="1:16" x14ac:dyDescent="0.35">
      <c r="A48" s="28">
        <v>44</v>
      </c>
      <c r="B48" s="28" t="s">
        <v>121</v>
      </c>
      <c r="C48" s="28" t="s">
        <v>122</v>
      </c>
      <c r="D48" s="28" t="s">
        <v>30</v>
      </c>
      <c r="E48" s="28" t="s">
        <v>31</v>
      </c>
      <c r="F48" s="28" t="s">
        <v>84</v>
      </c>
      <c r="G48" s="29">
        <v>-2056453</v>
      </c>
      <c r="H48" s="30">
        <v>-40.49</v>
      </c>
      <c r="I48" s="30">
        <v>16.93</v>
      </c>
      <c r="J48" s="30">
        <v>57.42</v>
      </c>
      <c r="K48" s="29">
        <v>859861</v>
      </c>
      <c r="L48" s="29">
        <v>2916314</v>
      </c>
      <c r="M48" s="29">
        <v>5078917</v>
      </c>
      <c r="N48" s="30">
        <v>0</v>
      </c>
      <c r="O48" s="30">
        <v>2.0564529999999999</v>
      </c>
      <c r="P48" s="28" t="s">
        <v>23</v>
      </c>
    </row>
    <row r="49" spans="1:16" x14ac:dyDescent="0.35">
      <c r="A49" s="28">
        <v>45</v>
      </c>
      <c r="B49" s="28" t="s">
        <v>123</v>
      </c>
      <c r="C49" s="28" t="s">
        <v>124</v>
      </c>
      <c r="D49" s="28" t="s">
        <v>58</v>
      </c>
      <c r="E49" s="28" t="s">
        <v>40</v>
      </c>
      <c r="F49" s="28" t="s">
        <v>84</v>
      </c>
      <c r="G49" s="29">
        <v>-2093386</v>
      </c>
      <c r="H49" s="30">
        <v>-72.319999999999993</v>
      </c>
      <c r="I49" s="30">
        <v>6.2799999999999994</v>
      </c>
      <c r="J49" s="30">
        <v>78.600000000000009</v>
      </c>
      <c r="K49" s="29">
        <v>181782</v>
      </c>
      <c r="L49" s="29">
        <v>2275168</v>
      </c>
      <c r="M49" s="29">
        <v>2894616</v>
      </c>
      <c r="N49" s="30">
        <v>0</v>
      </c>
      <c r="O49" s="30">
        <v>2.0933860000000002</v>
      </c>
      <c r="P49" s="28" t="s">
        <v>23</v>
      </c>
    </row>
    <row r="50" spans="1:16" x14ac:dyDescent="0.35">
      <c r="A50" s="28">
        <v>46</v>
      </c>
      <c r="B50" s="28" t="s">
        <v>125</v>
      </c>
      <c r="C50" s="28" t="s">
        <v>126</v>
      </c>
      <c r="D50" s="28" t="s">
        <v>20</v>
      </c>
      <c r="E50" s="28" t="s">
        <v>21</v>
      </c>
      <c r="F50" s="28" t="s">
        <v>84</v>
      </c>
      <c r="G50" s="29">
        <v>-2295763</v>
      </c>
      <c r="H50" s="30">
        <v>-55.36</v>
      </c>
      <c r="I50" s="30">
        <v>2.21</v>
      </c>
      <c r="J50" s="30">
        <v>57.57</v>
      </c>
      <c r="K50" s="29">
        <v>91648</v>
      </c>
      <c r="L50" s="29">
        <v>2387411</v>
      </c>
      <c r="M50" s="29">
        <v>4146970</v>
      </c>
      <c r="N50" s="30">
        <v>0</v>
      </c>
      <c r="O50" s="30">
        <v>2.295763</v>
      </c>
      <c r="P50" s="28" t="s">
        <v>23</v>
      </c>
    </row>
    <row r="51" spans="1:16" x14ac:dyDescent="0.35">
      <c r="A51" s="28">
        <v>47</v>
      </c>
      <c r="B51" s="28" t="s">
        <v>127</v>
      </c>
      <c r="C51" s="28" t="s">
        <v>128</v>
      </c>
      <c r="D51" s="28" t="s">
        <v>39</v>
      </c>
      <c r="E51" s="28" t="s">
        <v>40</v>
      </c>
      <c r="F51" s="28" t="s">
        <v>84</v>
      </c>
      <c r="G51" s="29">
        <v>-2349538</v>
      </c>
      <c r="H51" s="30">
        <v>-63.81</v>
      </c>
      <c r="I51" s="30">
        <v>8.61</v>
      </c>
      <c r="J51" s="30">
        <v>72.42</v>
      </c>
      <c r="K51" s="29">
        <v>317027</v>
      </c>
      <c r="L51" s="29">
        <v>2666565</v>
      </c>
      <c r="M51" s="29">
        <v>3682084</v>
      </c>
      <c r="N51" s="30">
        <v>0</v>
      </c>
      <c r="O51" s="30">
        <v>2.3495379999999999</v>
      </c>
      <c r="P51" s="28" t="s">
        <v>23</v>
      </c>
    </row>
    <row r="52" spans="1:16" x14ac:dyDescent="0.35">
      <c r="A52" s="28">
        <v>48</v>
      </c>
      <c r="B52" s="28" t="s">
        <v>129</v>
      </c>
      <c r="C52" s="28" t="s">
        <v>130</v>
      </c>
      <c r="D52" s="28" t="s">
        <v>55</v>
      </c>
      <c r="E52" s="28" t="s">
        <v>21</v>
      </c>
      <c r="F52" s="28" t="s">
        <v>84</v>
      </c>
      <c r="G52" s="29">
        <v>-2449220</v>
      </c>
      <c r="H52" s="30">
        <v>-73.5</v>
      </c>
      <c r="I52" s="30">
        <v>12.37</v>
      </c>
      <c r="J52" s="30">
        <v>85.87</v>
      </c>
      <c r="K52" s="29">
        <v>412202</v>
      </c>
      <c r="L52" s="29">
        <v>2861422</v>
      </c>
      <c r="M52" s="29">
        <v>3332272</v>
      </c>
      <c r="N52" s="30">
        <v>0</v>
      </c>
      <c r="O52" s="30">
        <v>2.44922</v>
      </c>
      <c r="P52" s="28" t="s">
        <v>23</v>
      </c>
    </row>
    <row r="53" spans="1:16" x14ac:dyDescent="0.35">
      <c r="A53" s="28">
        <v>49</v>
      </c>
      <c r="B53" s="28" t="s">
        <v>131</v>
      </c>
      <c r="C53" s="28" t="s">
        <v>132</v>
      </c>
      <c r="D53" s="28" t="s">
        <v>30</v>
      </c>
      <c r="E53" s="28" t="s">
        <v>31</v>
      </c>
      <c r="F53" s="28" t="s">
        <v>84</v>
      </c>
      <c r="G53" s="29">
        <v>-2459039</v>
      </c>
      <c r="H53" s="30">
        <v>-89.28</v>
      </c>
      <c r="I53" s="30">
        <v>0.16</v>
      </c>
      <c r="J53" s="30">
        <v>89.44</v>
      </c>
      <c r="K53" s="29">
        <v>4407</v>
      </c>
      <c r="L53" s="29">
        <v>2463446</v>
      </c>
      <c r="M53" s="29">
        <v>2754300</v>
      </c>
      <c r="N53" s="30">
        <v>0</v>
      </c>
      <c r="O53" s="30">
        <v>2.4590390000000002</v>
      </c>
      <c r="P53" s="28" t="s">
        <v>23</v>
      </c>
    </row>
    <row r="54" spans="1:16" ht="26" customHeight="1" x14ac:dyDescent="0.35">
      <c r="A54" s="28">
        <v>50</v>
      </c>
      <c r="B54" s="28" t="s">
        <v>133</v>
      </c>
      <c r="C54" s="28" t="s">
        <v>134</v>
      </c>
      <c r="D54" s="28" t="s">
        <v>26</v>
      </c>
      <c r="E54" s="28" t="s">
        <v>27</v>
      </c>
      <c r="F54" s="28" t="s">
        <v>84</v>
      </c>
      <c r="G54" s="29">
        <v>-4266561</v>
      </c>
      <c r="H54" s="30">
        <v>-70.45</v>
      </c>
      <c r="I54" s="30">
        <v>4.92</v>
      </c>
      <c r="J54" s="30">
        <v>75.37</v>
      </c>
      <c r="K54" s="29">
        <v>297963</v>
      </c>
      <c r="L54" s="29">
        <v>4564524</v>
      </c>
      <c r="M54" s="29">
        <v>6056155</v>
      </c>
      <c r="N54" s="30">
        <v>0</v>
      </c>
      <c r="O54" s="30">
        <v>4.2665610000000003</v>
      </c>
      <c r="P54" s="28" t="s">
        <v>23</v>
      </c>
    </row>
    <row r="55" spans="1:16" x14ac:dyDescent="0.35">
      <c r="A55" s="28">
        <v>51</v>
      </c>
      <c r="B55" s="28" t="s">
        <v>135</v>
      </c>
      <c r="C55" s="28" t="s">
        <v>136</v>
      </c>
      <c r="D55" s="28" t="s">
        <v>20</v>
      </c>
      <c r="E55" s="28" t="s">
        <v>21</v>
      </c>
      <c r="F55" s="28" t="s">
        <v>84</v>
      </c>
      <c r="G55" s="29">
        <v>-4356938</v>
      </c>
      <c r="H55" s="30">
        <v>-68.540000000000006</v>
      </c>
      <c r="I55" s="30">
        <v>2.77</v>
      </c>
      <c r="J55" s="30">
        <v>71.31</v>
      </c>
      <c r="K55" s="29">
        <v>176083</v>
      </c>
      <c r="L55" s="29">
        <v>4533021</v>
      </c>
      <c r="M55" s="29">
        <v>6356781</v>
      </c>
      <c r="N55" s="30">
        <v>0</v>
      </c>
      <c r="O55" s="30">
        <v>4.3569380000000004</v>
      </c>
      <c r="P55" s="28" t="s">
        <v>23</v>
      </c>
    </row>
    <row r="57" spans="1:16" ht="32" customHeight="1" x14ac:dyDescent="0.35">
      <c r="A57" s="33" t="s">
        <v>137</v>
      </c>
      <c r="B57" s="34"/>
      <c r="C57" s="34"/>
      <c r="D57" s="34"/>
      <c r="E57" s="34"/>
      <c r="F57" s="34"/>
      <c r="G57" s="34"/>
      <c r="H57" s="34"/>
    </row>
    <row r="58" spans="1:16" ht="32" customHeight="1" x14ac:dyDescent="0.35">
      <c r="A58" s="33" t="s">
        <v>138</v>
      </c>
      <c r="B58" s="34"/>
      <c r="C58" s="34"/>
      <c r="D58" s="34"/>
      <c r="E58" s="34"/>
      <c r="F58" s="34"/>
      <c r="G58" s="34"/>
      <c r="H58" s="34"/>
    </row>
  </sheetData>
  <autoFilter ref="A4:P55" xr:uid="{00000000-0009-0000-0000-000021000000}"/>
  <mergeCells count="4">
    <mergeCell ref="A57:H57"/>
    <mergeCell ref="A2:L2"/>
    <mergeCell ref="A1:L1"/>
    <mergeCell ref="A58:H5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L59"/>
  <sheetViews>
    <sheetView zoomScale="85" zoomScaleNormal="85" workbookViewId="0">
      <pane ySplit="4" topLeftCell="A5" activePane="bottomLeft" state="frozen"/>
      <selection pane="bottomLeft" sqref="A1:L1"/>
    </sheetView>
  </sheetViews>
  <sheetFormatPr defaultRowHeight="14.5" x14ac:dyDescent="0.35"/>
  <cols>
    <col min="1" max="1" width="22" customWidth="1"/>
    <col min="2" max="12" width="14" customWidth="1"/>
  </cols>
  <sheetData>
    <row r="1" spans="1:12" ht="48" customHeight="1" x14ac:dyDescent="0.35">
      <c r="A1" s="35" t="s">
        <v>3184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2" ht="56" customHeight="1" x14ac:dyDescent="0.35">
      <c r="A2" s="33" t="s">
        <v>3190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4" spans="1:12" ht="26" customHeight="1" x14ac:dyDescent="0.3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3198</v>
      </c>
      <c r="G4" s="15" t="s">
        <v>3199</v>
      </c>
      <c r="H4" s="15" t="s">
        <v>3200</v>
      </c>
      <c r="I4" s="15" t="s">
        <v>3236</v>
      </c>
      <c r="J4" s="15" t="s">
        <v>3237</v>
      </c>
      <c r="K4" s="15" t="s">
        <v>7</v>
      </c>
      <c r="L4" s="15" t="s">
        <v>17</v>
      </c>
    </row>
    <row r="5" spans="1:12" ht="26" customHeight="1" x14ac:dyDescent="0.35">
      <c r="A5" s="28">
        <v>1</v>
      </c>
      <c r="B5" s="28" t="s">
        <v>93</v>
      </c>
      <c r="C5" s="28" t="s">
        <v>94</v>
      </c>
      <c r="D5" s="28" t="s">
        <v>30</v>
      </c>
      <c r="E5" s="28" t="s">
        <v>31</v>
      </c>
      <c r="F5" s="30">
        <v>22.859513160335549</v>
      </c>
      <c r="G5" s="29">
        <v>388136</v>
      </c>
      <c r="H5" s="29">
        <v>88726</v>
      </c>
      <c r="I5" s="28" t="s">
        <v>2209</v>
      </c>
      <c r="J5" s="28" t="s">
        <v>2209</v>
      </c>
      <c r="K5" s="28" t="s">
        <v>84</v>
      </c>
      <c r="L5" s="28" t="s">
        <v>23</v>
      </c>
    </row>
    <row r="6" spans="1:12" x14ac:dyDescent="0.35">
      <c r="A6" s="28">
        <v>2</v>
      </c>
      <c r="B6" s="28" t="s">
        <v>123</v>
      </c>
      <c r="C6" s="28" t="s">
        <v>124</v>
      </c>
      <c r="D6" s="28" t="s">
        <v>58</v>
      </c>
      <c r="E6" s="28" t="s">
        <v>40</v>
      </c>
      <c r="F6" s="30">
        <v>19.872057567148939</v>
      </c>
      <c r="G6" s="29">
        <v>3167362</v>
      </c>
      <c r="H6" s="29">
        <v>629420</v>
      </c>
      <c r="I6" s="28" t="s">
        <v>2209</v>
      </c>
      <c r="J6" s="28" t="s">
        <v>2209</v>
      </c>
      <c r="K6" s="28" t="s">
        <v>84</v>
      </c>
      <c r="L6" s="28" t="s">
        <v>23</v>
      </c>
    </row>
    <row r="7" spans="1:12" x14ac:dyDescent="0.35">
      <c r="A7" s="28">
        <v>3</v>
      </c>
      <c r="B7" s="28" t="s">
        <v>105</v>
      </c>
      <c r="C7" s="28" t="s">
        <v>106</v>
      </c>
      <c r="D7" s="28" t="s">
        <v>39</v>
      </c>
      <c r="E7" s="28" t="s">
        <v>40</v>
      </c>
      <c r="F7" s="30">
        <v>17.062588785024261</v>
      </c>
      <c r="G7" s="29">
        <v>2080165</v>
      </c>
      <c r="H7" s="29">
        <v>354930</v>
      </c>
      <c r="I7" s="28" t="s">
        <v>2209</v>
      </c>
      <c r="J7" s="28" t="s">
        <v>2209</v>
      </c>
      <c r="K7" s="28" t="s">
        <v>84</v>
      </c>
      <c r="L7" s="28" t="s">
        <v>23</v>
      </c>
    </row>
    <row r="8" spans="1:12" x14ac:dyDescent="0.35">
      <c r="A8" s="28">
        <v>4</v>
      </c>
      <c r="B8" s="28" t="s">
        <v>127</v>
      </c>
      <c r="C8" s="28" t="s">
        <v>128</v>
      </c>
      <c r="D8" s="28" t="s">
        <v>39</v>
      </c>
      <c r="E8" s="28" t="s">
        <v>40</v>
      </c>
      <c r="F8" s="30">
        <v>16.413535851546541</v>
      </c>
      <c r="G8" s="29">
        <v>3932815</v>
      </c>
      <c r="H8" s="29">
        <v>645514</v>
      </c>
      <c r="I8" s="28" t="s">
        <v>2209</v>
      </c>
      <c r="J8" s="28" t="s">
        <v>2209</v>
      </c>
      <c r="K8" s="28" t="s">
        <v>84</v>
      </c>
      <c r="L8" s="28" t="s">
        <v>23</v>
      </c>
    </row>
    <row r="9" spans="1:12" x14ac:dyDescent="0.35">
      <c r="A9" s="28">
        <v>5</v>
      </c>
      <c r="B9" s="28" t="s">
        <v>85</v>
      </c>
      <c r="C9" s="28" t="s">
        <v>86</v>
      </c>
      <c r="D9" s="28" t="s">
        <v>58</v>
      </c>
      <c r="E9" s="28" t="s">
        <v>40</v>
      </c>
      <c r="F9" s="30">
        <v>16.302054243219601</v>
      </c>
      <c r="G9" s="29">
        <v>3571875</v>
      </c>
      <c r="H9" s="29">
        <v>582289</v>
      </c>
      <c r="I9" s="28" t="s">
        <v>2209</v>
      </c>
      <c r="J9" s="28" t="s">
        <v>2209</v>
      </c>
      <c r="K9" s="28" t="s">
        <v>84</v>
      </c>
      <c r="L9" s="28" t="s">
        <v>23</v>
      </c>
    </row>
    <row r="10" spans="1:12" ht="26" customHeight="1" x14ac:dyDescent="0.35">
      <c r="A10" s="28">
        <v>6</v>
      </c>
      <c r="B10" s="28" t="s">
        <v>95</v>
      </c>
      <c r="C10" s="28" t="s">
        <v>96</v>
      </c>
      <c r="D10" s="28" t="s">
        <v>55</v>
      </c>
      <c r="E10" s="28" t="s">
        <v>21</v>
      </c>
      <c r="F10" s="30">
        <v>16.039093217698031</v>
      </c>
      <c r="G10" s="29">
        <v>754095</v>
      </c>
      <c r="H10" s="29">
        <v>120950</v>
      </c>
      <c r="I10" s="28" t="s">
        <v>2209</v>
      </c>
      <c r="J10" s="28" t="s">
        <v>2209</v>
      </c>
      <c r="K10" s="28" t="s">
        <v>84</v>
      </c>
      <c r="L10" s="28" t="s">
        <v>23</v>
      </c>
    </row>
    <row r="11" spans="1:12" x14ac:dyDescent="0.35">
      <c r="A11" s="28">
        <v>7</v>
      </c>
      <c r="B11" s="28" t="s">
        <v>87</v>
      </c>
      <c r="C11" s="28" t="s">
        <v>88</v>
      </c>
      <c r="D11" s="28" t="s">
        <v>55</v>
      </c>
      <c r="E11" s="28" t="s">
        <v>21</v>
      </c>
      <c r="F11" s="30">
        <v>15.960829797542321</v>
      </c>
      <c r="G11" s="29">
        <v>340565</v>
      </c>
      <c r="H11" s="29">
        <v>54357</v>
      </c>
      <c r="I11" s="28" t="s">
        <v>2209</v>
      </c>
      <c r="J11" s="28" t="s">
        <v>2209</v>
      </c>
      <c r="K11" s="28" t="s">
        <v>84</v>
      </c>
      <c r="L11" s="28" t="s">
        <v>23</v>
      </c>
    </row>
    <row r="12" spans="1:12" x14ac:dyDescent="0.35">
      <c r="A12" s="28">
        <v>8</v>
      </c>
      <c r="B12" s="28" t="s">
        <v>117</v>
      </c>
      <c r="C12" s="28" t="s">
        <v>118</v>
      </c>
      <c r="D12" s="28" t="s">
        <v>30</v>
      </c>
      <c r="E12" s="28" t="s">
        <v>31</v>
      </c>
      <c r="F12" s="30">
        <v>15.818022097670219</v>
      </c>
      <c r="G12" s="29">
        <v>4445265</v>
      </c>
      <c r="H12" s="29">
        <v>703153</v>
      </c>
      <c r="I12" s="28" t="s">
        <v>2209</v>
      </c>
      <c r="J12" s="28" t="s">
        <v>2209</v>
      </c>
      <c r="K12" s="28" t="s">
        <v>84</v>
      </c>
      <c r="L12" s="28" t="s">
        <v>23</v>
      </c>
    </row>
    <row r="13" spans="1:12" x14ac:dyDescent="0.35">
      <c r="A13" s="28">
        <v>9</v>
      </c>
      <c r="B13" s="28" t="s">
        <v>111</v>
      </c>
      <c r="C13" s="28" t="s">
        <v>112</v>
      </c>
      <c r="D13" s="28" t="s">
        <v>58</v>
      </c>
      <c r="E13" s="28" t="s">
        <v>40</v>
      </c>
      <c r="F13" s="30">
        <v>15.692970758635949</v>
      </c>
      <c r="G13" s="29">
        <v>1771258</v>
      </c>
      <c r="H13" s="29">
        <v>277963</v>
      </c>
      <c r="I13" s="28" t="s">
        <v>2209</v>
      </c>
      <c r="J13" s="28" t="s">
        <v>2209</v>
      </c>
      <c r="K13" s="28" t="s">
        <v>84</v>
      </c>
      <c r="L13" s="28" t="s">
        <v>23</v>
      </c>
    </row>
    <row r="14" spans="1:12" x14ac:dyDescent="0.35">
      <c r="A14" s="28">
        <v>10</v>
      </c>
      <c r="B14" s="28" t="s">
        <v>131</v>
      </c>
      <c r="C14" s="28" t="s">
        <v>132</v>
      </c>
      <c r="D14" s="28" t="s">
        <v>30</v>
      </c>
      <c r="E14" s="28" t="s">
        <v>31</v>
      </c>
      <c r="F14" s="30">
        <v>15.62963339308274</v>
      </c>
      <c r="G14" s="29">
        <v>3227926</v>
      </c>
      <c r="H14" s="29">
        <v>504513</v>
      </c>
      <c r="I14" s="28" t="s">
        <v>2209</v>
      </c>
      <c r="J14" s="28" t="s">
        <v>2209</v>
      </c>
      <c r="K14" s="28" t="s">
        <v>84</v>
      </c>
      <c r="L14" s="28" t="s">
        <v>23</v>
      </c>
    </row>
    <row r="15" spans="1:12" x14ac:dyDescent="0.35">
      <c r="A15" s="28">
        <v>11</v>
      </c>
      <c r="B15" s="28" t="s">
        <v>119</v>
      </c>
      <c r="C15" s="28" t="s">
        <v>120</v>
      </c>
      <c r="D15" s="28" t="s">
        <v>30</v>
      </c>
      <c r="E15" s="28" t="s">
        <v>31</v>
      </c>
      <c r="F15" s="30">
        <v>15.52614873632195</v>
      </c>
      <c r="G15" s="29">
        <v>11086922</v>
      </c>
      <c r="H15" s="29">
        <v>1721372</v>
      </c>
      <c r="I15" s="28" t="s">
        <v>2209</v>
      </c>
      <c r="J15" s="28" t="s">
        <v>2209</v>
      </c>
      <c r="K15" s="28" t="s">
        <v>84</v>
      </c>
      <c r="L15" s="28" t="s">
        <v>23</v>
      </c>
    </row>
    <row r="16" spans="1:12" x14ac:dyDescent="0.35">
      <c r="A16" s="28">
        <v>12</v>
      </c>
      <c r="B16" s="28" t="s">
        <v>28</v>
      </c>
      <c r="C16" s="28" t="s">
        <v>29</v>
      </c>
      <c r="D16" s="28" t="s">
        <v>30</v>
      </c>
      <c r="E16" s="28" t="s">
        <v>31</v>
      </c>
      <c r="F16" s="30">
        <v>15.40536171715129</v>
      </c>
      <c r="G16" s="29">
        <v>5375927</v>
      </c>
      <c r="H16" s="29">
        <v>828181</v>
      </c>
      <c r="I16" s="28" t="s">
        <v>2209</v>
      </c>
      <c r="J16" s="28" t="s">
        <v>2209</v>
      </c>
      <c r="K16" s="28" t="s">
        <v>22</v>
      </c>
      <c r="L16" s="28" t="s">
        <v>23</v>
      </c>
    </row>
    <row r="17" spans="1:12" x14ac:dyDescent="0.35">
      <c r="A17" s="28">
        <v>13</v>
      </c>
      <c r="B17" s="28" t="s">
        <v>121</v>
      </c>
      <c r="C17" s="28" t="s">
        <v>122</v>
      </c>
      <c r="D17" s="28" t="s">
        <v>30</v>
      </c>
      <c r="E17" s="28" t="s">
        <v>31</v>
      </c>
      <c r="F17" s="30">
        <v>14.8755035751685</v>
      </c>
      <c r="G17" s="29">
        <v>5402123</v>
      </c>
      <c r="H17" s="29">
        <v>803593</v>
      </c>
      <c r="I17" s="28" t="s">
        <v>2209</v>
      </c>
      <c r="J17" s="28" t="s">
        <v>2209</v>
      </c>
      <c r="K17" s="28" t="s">
        <v>84</v>
      </c>
      <c r="L17" s="28" t="s">
        <v>23</v>
      </c>
    </row>
    <row r="18" spans="1:12" x14ac:dyDescent="0.35">
      <c r="A18" s="28">
        <v>14</v>
      </c>
      <c r="B18" s="28" t="s">
        <v>129</v>
      </c>
      <c r="C18" s="28" t="s">
        <v>130</v>
      </c>
      <c r="D18" s="28" t="s">
        <v>55</v>
      </c>
      <c r="E18" s="28" t="s">
        <v>21</v>
      </c>
      <c r="F18" s="30">
        <v>14.835228237253</v>
      </c>
      <c r="G18" s="29">
        <v>3752433</v>
      </c>
      <c r="H18" s="29">
        <v>556682</v>
      </c>
      <c r="I18" s="28" t="s">
        <v>2209</v>
      </c>
      <c r="J18" s="28" t="s">
        <v>2209</v>
      </c>
      <c r="K18" s="28" t="s">
        <v>84</v>
      </c>
      <c r="L18" s="28" t="s">
        <v>23</v>
      </c>
    </row>
    <row r="19" spans="1:12" ht="26" customHeight="1" x14ac:dyDescent="0.35">
      <c r="A19" s="28">
        <v>15</v>
      </c>
      <c r="B19" s="28" t="s">
        <v>103</v>
      </c>
      <c r="C19" s="28" t="s">
        <v>104</v>
      </c>
      <c r="D19" s="28" t="s">
        <v>43</v>
      </c>
      <c r="E19" s="28" t="s">
        <v>27</v>
      </c>
      <c r="F19" s="30">
        <v>14.733057671613381</v>
      </c>
      <c r="G19" s="29">
        <v>3009002</v>
      </c>
      <c r="H19" s="29">
        <v>443318</v>
      </c>
      <c r="I19" s="28" t="s">
        <v>2209</v>
      </c>
      <c r="J19" s="28" t="s">
        <v>2209</v>
      </c>
      <c r="K19" s="28" t="s">
        <v>84</v>
      </c>
      <c r="L19" s="28" t="s">
        <v>23</v>
      </c>
    </row>
    <row r="20" spans="1:12" x14ac:dyDescent="0.35">
      <c r="A20" s="28">
        <v>16</v>
      </c>
      <c r="B20" s="28" t="s">
        <v>53</v>
      </c>
      <c r="C20" s="28" t="s">
        <v>54</v>
      </c>
      <c r="D20" s="28" t="s">
        <v>55</v>
      </c>
      <c r="E20" s="28" t="s">
        <v>21</v>
      </c>
      <c r="F20" s="30">
        <v>14.672324724297811</v>
      </c>
      <c r="G20" s="29">
        <v>702479</v>
      </c>
      <c r="H20" s="29">
        <v>103070</v>
      </c>
      <c r="I20" s="28" t="s">
        <v>2209</v>
      </c>
      <c r="J20" s="28" t="s">
        <v>2209</v>
      </c>
      <c r="K20" s="28" t="s">
        <v>22</v>
      </c>
      <c r="L20" s="28" t="s">
        <v>23</v>
      </c>
    </row>
    <row r="21" spans="1:12" x14ac:dyDescent="0.35">
      <c r="A21" s="28">
        <v>17</v>
      </c>
      <c r="B21" s="28" t="s">
        <v>37</v>
      </c>
      <c r="C21" s="28" t="s">
        <v>38</v>
      </c>
      <c r="D21" s="28" t="s">
        <v>39</v>
      </c>
      <c r="E21" s="28" t="s">
        <v>40</v>
      </c>
      <c r="F21" s="30">
        <v>14.14278886638294</v>
      </c>
      <c r="G21" s="29">
        <v>18893770</v>
      </c>
      <c r="H21" s="29">
        <v>2672106</v>
      </c>
      <c r="I21" s="28" t="s">
        <v>2209</v>
      </c>
      <c r="J21" s="28" t="s">
        <v>2209</v>
      </c>
      <c r="K21" s="28" t="s">
        <v>22</v>
      </c>
      <c r="L21" s="28" t="s">
        <v>23</v>
      </c>
    </row>
    <row r="22" spans="1:12" x14ac:dyDescent="0.35">
      <c r="A22" s="28">
        <v>18</v>
      </c>
      <c r="B22" s="28" t="s">
        <v>135</v>
      </c>
      <c r="C22" s="28" t="s">
        <v>136</v>
      </c>
      <c r="D22" s="28" t="s">
        <v>20</v>
      </c>
      <c r="E22" s="28" t="s">
        <v>21</v>
      </c>
      <c r="F22" s="30">
        <v>13.82743087606819</v>
      </c>
      <c r="G22" s="29">
        <v>6390587</v>
      </c>
      <c r="H22" s="29">
        <v>883654</v>
      </c>
      <c r="I22" s="28" t="s">
        <v>2209</v>
      </c>
      <c r="J22" s="28" t="s">
        <v>2209</v>
      </c>
      <c r="K22" s="28" t="s">
        <v>84</v>
      </c>
      <c r="L22" s="28" t="s">
        <v>23</v>
      </c>
    </row>
    <row r="23" spans="1:12" ht="26" customHeight="1" x14ac:dyDescent="0.35">
      <c r="A23" s="28">
        <v>19</v>
      </c>
      <c r="B23" s="28" t="s">
        <v>133</v>
      </c>
      <c r="C23" s="28" t="s">
        <v>134</v>
      </c>
      <c r="D23" s="28" t="s">
        <v>26</v>
      </c>
      <c r="E23" s="28" t="s">
        <v>27</v>
      </c>
      <c r="F23" s="30">
        <v>13.57742472678494</v>
      </c>
      <c r="G23" s="29">
        <v>6314165</v>
      </c>
      <c r="H23" s="29">
        <v>857301</v>
      </c>
      <c r="I23" s="28" t="s">
        <v>2209</v>
      </c>
      <c r="J23" s="28" t="s">
        <v>2209</v>
      </c>
      <c r="K23" s="28" t="s">
        <v>84</v>
      </c>
      <c r="L23" s="28" t="s">
        <v>23</v>
      </c>
    </row>
    <row r="24" spans="1:12" x14ac:dyDescent="0.35">
      <c r="A24" s="28">
        <v>20</v>
      </c>
      <c r="B24" s="28" t="s">
        <v>125</v>
      </c>
      <c r="C24" s="28" t="s">
        <v>126</v>
      </c>
      <c r="D24" s="28" t="s">
        <v>20</v>
      </c>
      <c r="E24" s="28" t="s">
        <v>21</v>
      </c>
      <c r="F24" s="30">
        <v>13.50596040089432</v>
      </c>
      <c r="G24" s="29">
        <v>4772330</v>
      </c>
      <c r="H24" s="29">
        <v>644549</v>
      </c>
      <c r="I24" s="28" t="s">
        <v>2209</v>
      </c>
      <c r="J24" s="28" t="s">
        <v>2209</v>
      </c>
      <c r="K24" s="28" t="s">
        <v>84</v>
      </c>
      <c r="L24" s="28" t="s">
        <v>23</v>
      </c>
    </row>
    <row r="25" spans="1:12" x14ac:dyDescent="0.35">
      <c r="A25" s="28">
        <v>21</v>
      </c>
      <c r="B25" s="28" t="s">
        <v>107</v>
      </c>
      <c r="C25" s="28" t="s">
        <v>108</v>
      </c>
      <c r="D25" s="28" t="s">
        <v>55</v>
      </c>
      <c r="E25" s="28" t="s">
        <v>21</v>
      </c>
      <c r="F25" s="30">
        <v>13.37001730698233</v>
      </c>
      <c r="G25" s="29">
        <v>1874388</v>
      </c>
      <c r="H25" s="29">
        <v>250606</v>
      </c>
      <c r="I25" s="28" t="s">
        <v>2209</v>
      </c>
      <c r="J25" s="28" t="s">
        <v>2209</v>
      </c>
      <c r="K25" s="28" t="s">
        <v>84</v>
      </c>
      <c r="L25" s="28" t="s">
        <v>23</v>
      </c>
    </row>
    <row r="26" spans="1:12" ht="26" customHeight="1" x14ac:dyDescent="0.35">
      <c r="A26" s="28">
        <v>22</v>
      </c>
      <c r="B26" s="28" t="s">
        <v>32</v>
      </c>
      <c r="C26" s="28" t="s">
        <v>33</v>
      </c>
      <c r="D26" s="28" t="s">
        <v>34</v>
      </c>
      <c r="E26" s="28" t="s">
        <v>31</v>
      </c>
      <c r="F26" s="30">
        <v>12.929749065519729</v>
      </c>
      <c r="G26" s="29">
        <v>15130603</v>
      </c>
      <c r="H26" s="29">
        <v>1956349</v>
      </c>
      <c r="I26" s="28" t="s">
        <v>2205</v>
      </c>
      <c r="J26" s="28" t="s">
        <v>2209</v>
      </c>
      <c r="K26" s="28" t="s">
        <v>22</v>
      </c>
      <c r="L26" s="28" t="s">
        <v>23</v>
      </c>
    </row>
    <row r="27" spans="1:12" x14ac:dyDescent="0.35">
      <c r="A27" s="28">
        <v>23</v>
      </c>
      <c r="B27" s="28" t="s">
        <v>97</v>
      </c>
      <c r="C27" s="28" t="s">
        <v>98</v>
      </c>
      <c r="D27" s="28" t="s">
        <v>30</v>
      </c>
      <c r="E27" s="28" t="s">
        <v>31</v>
      </c>
      <c r="F27" s="30">
        <v>12.88963504816725</v>
      </c>
      <c r="G27" s="29">
        <v>500340</v>
      </c>
      <c r="H27" s="29">
        <v>64492</v>
      </c>
      <c r="I27" s="28" t="s">
        <v>2205</v>
      </c>
      <c r="J27" s="28" t="s">
        <v>2209</v>
      </c>
      <c r="K27" s="28" t="s">
        <v>84</v>
      </c>
      <c r="L27" s="28" t="s">
        <v>23</v>
      </c>
    </row>
    <row r="28" spans="1:12" x14ac:dyDescent="0.35">
      <c r="A28" s="28">
        <v>24</v>
      </c>
      <c r="B28" s="28" t="s">
        <v>67</v>
      </c>
      <c r="C28" s="28" t="s">
        <v>68</v>
      </c>
      <c r="D28" s="28" t="s">
        <v>58</v>
      </c>
      <c r="E28" s="28" t="s">
        <v>40</v>
      </c>
      <c r="F28" s="30">
        <v>12.706975728012569</v>
      </c>
      <c r="G28" s="29">
        <v>952044</v>
      </c>
      <c r="H28" s="29">
        <v>120976</v>
      </c>
      <c r="I28" s="28" t="s">
        <v>2205</v>
      </c>
      <c r="J28" s="28" t="s">
        <v>2209</v>
      </c>
      <c r="K28" s="28" t="s">
        <v>22</v>
      </c>
      <c r="L28" s="28" t="s">
        <v>23</v>
      </c>
    </row>
    <row r="29" spans="1:12" ht="26" customHeight="1" x14ac:dyDescent="0.35">
      <c r="A29" s="28">
        <v>25</v>
      </c>
      <c r="B29" s="28" t="s">
        <v>109</v>
      </c>
      <c r="C29" s="28" t="s">
        <v>110</v>
      </c>
      <c r="D29" s="28" t="s">
        <v>46</v>
      </c>
      <c r="E29" s="28" t="s">
        <v>31</v>
      </c>
      <c r="F29" s="30">
        <v>12.67718356972178</v>
      </c>
      <c r="G29" s="29">
        <v>3479795</v>
      </c>
      <c r="H29" s="29">
        <v>441140</v>
      </c>
      <c r="I29" s="28" t="s">
        <v>2205</v>
      </c>
      <c r="J29" s="28" t="s">
        <v>2209</v>
      </c>
      <c r="K29" s="28" t="s">
        <v>84</v>
      </c>
      <c r="L29" s="28" t="s">
        <v>23</v>
      </c>
    </row>
    <row r="30" spans="1:12" x14ac:dyDescent="0.35">
      <c r="A30" s="28">
        <v>26</v>
      </c>
      <c r="B30" s="28" t="s">
        <v>47</v>
      </c>
      <c r="C30" s="28" t="s">
        <v>48</v>
      </c>
      <c r="D30" s="28" t="s">
        <v>30</v>
      </c>
      <c r="E30" s="28" t="s">
        <v>31</v>
      </c>
      <c r="F30" s="30">
        <v>12.3202859790688</v>
      </c>
      <c r="G30" s="29">
        <v>2571377</v>
      </c>
      <c r="H30" s="29">
        <v>316801</v>
      </c>
      <c r="I30" s="28" t="s">
        <v>2205</v>
      </c>
      <c r="J30" s="28" t="s">
        <v>2205</v>
      </c>
      <c r="K30" s="28" t="s">
        <v>22</v>
      </c>
      <c r="L30" s="28" t="s">
        <v>23</v>
      </c>
    </row>
    <row r="31" spans="1:12" ht="26" customHeight="1" x14ac:dyDescent="0.35">
      <c r="A31" s="28">
        <v>27</v>
      </c>
      <c r="B31" s="28" t="s">
        <v>24</v>
      </c>
      <c r="C31" s="28" t="s">
        <v>25</v>
      </c>
      <c r="D31" s="28" t="s">
        <v>26</v>
      </c>
      <c r="E31" s="28" t="s">
        <v>27</v>
      </c>
      <c r="F31" s="30">
        <v>11.915789824216411</v>
      </c>
      <c r="G31" s="29">
        <v>5765669</v>
      </c>
      <c r="H31" s="29">
        <v>687025</v>
      </c>
      <c r="I31" s="28" t="s">
        <v>2205</v>
      </c>
      <c r="J31" s="28" t="s">
        <v>2205</v>
      </c>
      <c r="K31" s="28" t="s">
        <v>22</v>
      </c>
      <c r="L31" s="28" t="s">
        <v>23</v>
      </c>
    </row>
    <row r="32" spans="1:12" ht="26" customHeight="1" x14ac:dyDescent="0.35">
      <c r="A32" s="28">
        <v>28</v>
      </c>
      <c r="B32" s="28" t="s">
        <v>35</v>
      </c>
      <c r="C32" s="28" t="s">
        <v>36</v>
      </c>
      <c r="D32" s="28" t="s">
        <v>26</v>
      </c>
      <c r="E32" s="28" t="s">
        <v>27</v>
      </c>
      <c r="F32" s="30">
        <v>11.805267357293509</v>
      </c>
      <c r="G32" s="29">
        <v>3050562</v>
      </c>
      <c r="H32" s="29">
        <v>360127</v>
      </c>
      <c r="I32" s="28" t="s">
        <v>2205</v>
      </c>
      <c r="J32" s="28" t="s">
        <v>2205</v>
      </c>
      <c r="K32" s="28" t="s">
        <v>22</v>
      </c>
      <c r="L32" s="28" t="s">
        <v>23</v>
      </c>
    </row>
    <row r="33" spans="1:12" ht="26" customHeight="1" x14ac:dyDescent="0.35">
      <c r="A33" s="28">
        <v>29</v>
      </c>
      <c r="B33" s="28" t="s">
        <v>41</v>
      </c>
      <c r="C33" s="28" t="s">
        <v>42</v>
      </c>
      <c r="D33" s="28" t="s">
        <v>43</v>
      </c>
      <c r="E33" s="28" t="s">
        <v>27</v>
      </c>
      <c r="F33" s="30">
        <v>11.789929886475219</v>
      </c>
      <c r="G33" s="29">
        <v>3054047</v>
      </c>
      <c r="H33" s="29">
        <v>360070</v>
      </c>
      <c r="I33" s="28" t="s">
        <v>2205</v>
      </c>
      <c r="J33" s="28" t="s">
        <v>2205</v>
      </c>
      <c r="K33" s="28" t="s">
        <v>22</v>
      </c>
      <c r="L33" s="28" t="s">
        <v>23</v>
      </c>
    </row>
    <row r="34" spans="1:12" x14ac:dyDescent="0.35">
      <c r="A34" s="28">
        <v>30</v>
      </c>
      <c r="B34" s="28" t="s">
        <v>18</v>
      </c>
      <c r="C34" s="28" t="s">
        <v>19</v>
      </c>
      <c r="D34" s="28" t="s">
        <v>20</v>
      </c>
      <c r="E34" s="28" t="s">
        <v>21</v>
      </c>
      <c r="F34" s="30">
        <v>11.768972747208601</v>
      </c>
      <c r="G34" s="29">
        <v>9557920</v>
      </c>
      <c r="H34" s="29">
        <v>1124869</v>
      </c>
      <c r="I34" s="28" t="s">
        <v>2205</v>
      </c>
      <c r="J34" s="28" t="s">
        <v>2205</v>
      </c>
      <c r="K34" s="28" t="s">
        <v>22</v>
      </c>
      <c r="L34" s="28" t="s">
        <v>23</v>
      </c>
    </row>
    <row r="35" spans="1:12" x14ac:dyDescent="0.35">
      <c r="A35" s="28">
        <v>31</v>
      </c>
      <c r="B35" s="28" t="s">
        <v>56</v>
      </c>
      <c r="C35" s="28" t="s">
        <v>57</v>
      </c>
      <c r="D35" s="28" t="s">
        <v>58</v>
      </c>
      <c r="E35" s="28" t="s">
        <v>40</v>
      </c>
      <c r="F35" s="30">
        <v>11.685121640012101</v>
      </c>
      <c r="G35" s="29">
        <v>565069</v>
      </c>
      <c r="H35" s="29">
        <v>66029</v>
      </c>
      <c r="I35" s="28" t="s">
        <v>2205</v>
      </c>
      <c r="J35" s="28" t="s">
        <v>2205</v>
      </c>
      <c r="K35" s="28" t="s">
        <v>22</v>
      </c>
      <c r="L35" s="28" t="s">
        <v>23</v>
      </c>
    </row>
    <row r="36" spans="1:12" x14ac:dyDescent="0.35">
      <c r="A36" s="28">
        <v>32</v>
      </c>
      <c r="B36" s="28" t="s">
        <v>82</v>
      </c>
      <c r="C36" s="28" t="s">
        <v>83</v>
      </c>
      <c r="D36" s="28" t="s">
        <v>55</v>
      </c>
      <c r="E36" s="28" t="s">
        <v>21</v>
      </c>
      <c r="F36" s="30">
        <v>11.57893806717269</v>
      </c>
      <c r="G36" s="29">
        <v>565855</v>
      </c>
      <c r="H36" s="29">
        <v>65520</v>
      </c>
      <c r="I36" s="28" t="s">
        <v>2205</v>
      </c>
      <c r="J36" s="28" t="s">
        <v>2205</v>
      </c>
      <c r="K36" s="28" t="s">
        <v>84</v>
      </c>
      <c r="L36" s="28" t="s">
        <v>23</v>
      </c>
    </row>
    <row r="37" spans="1:12" x14ac:dyDescent="0.35">
      <c r="A37" s="28">
        <v>33</v>
      </c>
      <c r="B37" s="28" t="s">
        <v>61</v>
      </c>
      <c r="C37" s="28" t="s">
        <v>62</v>
      </c>
      <c r="D37" s="28" t="s">
        <v>58</v>
      </c>
      <c r="E37" s="28" t="s">
        <v>40</v>
      </c>
      <c r="F37" s="30">
        <v>11.33208478254407</v>
      </c>
      <c r="G37" s="29">
        <v>1581033</v>
      </c>
      <c r="H37" s="29">
        <v>179164</v>
      </c>
      <c r="I37" s="28" t="s">
        <v>2205</v>
      </c>
      <c r="J37" s="28" t="s">
        <v>2205</v>
      </c>
      <c r="K37" s="28" t="s">
        <v>22</v>
      </c>
      <c r="L37" s="28" t="s">
        <v>23</v>
      </c>
    </row>
    <row r="38" spans="1:12" ht="26" customHeight="1" x14ac:dyDescent="0.35">
      <c r="A38" s="28">
        <v>34</v>
      </c>
      <c r="B38" s="28" t="s">
        <v>115</v>
      </c>
      <c r="C38" s="28" t="s">
        <v>116</v>
      </c>
      <c r="D38" s="28" t="s">
        <v>26</v>
      </c>
      <c r="E38" s="28" t="s">
        <v>27</v>
      </c>
      <c r="F38" s="30">
        <v>11.231139081759981</v>
      </c>
      <c r="G38" s="29">
        <v>4800270</v>
      </c>
      <c r="H38" s="29">
        <v>539125</v>
      </c>
      <c r="I38" s="28" t="s">
        <v>2205</v>
      </c>
      <c r="J38" s="28" t="s">
        <v>2205</v>
      </c>
      <c r="K38" s="28" t="s">
        <v>84</v>
      </c>
      <c r="L38" s="28" t="s">
        <v>23</v>
      </c>
    </row>
    <row r="39" spans="1:12" ht="26" customHeight="1" x14ac:dyDescent="0.35">
      <c r="A39" s="28">
        <v>35</v>
      </c>
      <c r="B39" s="28" t="s">
        <v>63</v>
      </c>
      <c r="C39" s="28" t="s">
        <v>64</v>
      </c>
      <c r="D39" s="28" t="s">
        <v>43</v>
      </c>
      <c r="E39" s="28" t="s">
        <v>27</v>
      </c>
      <c r="F39" s="30">
        <v>10.27245533620532</v>
      </c>
      <c r="G39" s="29">
        <v>1494667</v>
      </c>
      <c r="H39" s="29">
        <v>153539</v>
      </c>
      <c r="I39" s="28" t="s">
        <v>2205</v>
      </c>
      <c r="J39" s="28" t="s">
        <v>2205</v>
      </c>
      <c r="K39" s="28" t="s">
        <v>22</v>
      </c>
      <c r="L39" s="28" t="s">
        <v>23</v>
      </c>
    </row>
    <row r="40" spans="1:12" x14ac:dyDescent="0.35">
      <c r="A40" s="28">
        <v>36</v>
      </c>
      <c r="B40" s="28" t="s">
        <v>101</v>
      </c>
      <c r="C40" s="28" t="s">
        <v>102</v>
      </c>
      <c r="D40" s="28" t="s">
        <v>58</v>
      </c>
      <c r="E40" s="28" t="s">
        <v>40</v>
      </c>
      <c r="F40" s="30">
        <v>10.26659650785199</v>
      </c>
      <c r="G40" s="29">
        <v>954026</v>
      </c>
      <c r="H40" s="29">
        <v>97946</v>
      </c>
      <c r="I40" s="28" t="s">
        <v>2205</v>
      </c>
      <c r="J40" s="28" t="s">
        <v>2205</v>
      </c>
      <c r="K40" s="28" t="s">
        <v>84</v>
      </c>
      <c r="L40" s="28" t="s">
        <v>23</v>
      </c>
    </row>
    <row r="41" spans="1:12" ht="26" customHeight="1" x14ac:dyDescent="0.35">
      <c r="A41" s="28">
        <v>37</v>
      </c>
      <c r="B41" s="28" t="s">
        <v>74</v>
      </c>
      <c r="C41" s="28" t="s">
        <v>75</v>
      </c>
      <c r="D41" s="28" t="s">
        <v>43</v>
      </c>
      <c r="E41" s="28" t="s">
        <v>27</v>
      </c>
      <c r="F41" s="30">
        <v>9.866779653619826</v>
      </c>
      <c r="G41" s="29">
        <v>1649748</v>
      </c>
      <c r="H41" s="29">
        <v>162777</v>
      </c>
      <c r="I41" s="28" t="s">
        <v>2205</v>
      </c>
      <c r="J41" s="28" t="s">
        <v>2205</v>
      </c>
      <c r="K41" s="28" t="s">
        <v>73</v>
      </c>
      <c r="L41" s="28" t="s">
        <v>23</v>
      </c>
    </row>
    <row r="42" spans="1:12" ht="26" customHeight="1" x14ac:dyDescent="0.35">
      <c r="A42" s="28">
        <v>38</v>
      </c>
      <c r="B42" s="28" t="s">
        <v>59</v>
      </c>
      <c r="C42" s="28" t="s">
        <v>60</v>
      </c>
      <c r="D42" s="28" t="s">
        <v>43</v>
      </c>
      <c r="E42" s="28" t="s">
        <v>27</v>
      </c>
      <c r="F42" s="30">
        <v>9.7395490509841469</v>
      </c>
      <c r="G42" s="29">
        <v>1036126</v>
      </c>
      <c r="H42" s="29">
        <v>100914</v>
      </c>
      <c r="I42" s="28" t="s">
        <v>2205</v>
      </c>
      <c r="J42" s="28" t="s">
        <v>2205</v>
      </c>
      <c r="K42" s="28" t="s">
        <v>22</v>
      </c>
      <c r="L42" s="28" t="s">
        <v>23</v>
      </c>
    </row>
    <row r="43" spans="1:12" x14ac:dyDescent="0.35">
      <c r="A43" s="28">
        <v>39</v>
      </c>
      <c r="B43" s="28" t="s">
        <v>65</v>
      </c>
      <c r="C43" s="28" t="s">
        <v>66</v>
      </c>
      <c r="D43" s="28" t="s">
        <v>58</v>
      </c>
      <c r="E43" s="28" t="s">
        <v>40</v>
      </c>
      <c r="F43" s="30">
        <v>9.7243320222433205</v>
      </c>
      <c r="G43" s="29">
        <v>294920</v>
      </c>
      <c r="H43" s="29">
        <v>28679</v>
      </c>
      <c r="I43" s="28" t="s">
        <v>2205</v>
      </c>
      <c r="J43" s="28" t="s">
        <v>2205</v>
      </c>
      <c r="K43" s="28" t="s">
        <v>22</v>
      </c>
      <c r="L43" s="28" t="s">
        <v>23</v>
      </c>
    </row>
    <row r="44" spans="1:12" ht="26" customHeight="1" x14ac:dyDescent="0.35">
      <c r="A44" s="28">
        <v>40</v>
      </c>
      <c r="B44" s="28" t="s">
        <v>113</v>
      </c>
      <c r="C44" s="28" t="s">
        <v>114</v>
      </c>
      <c r="D44" s="28" t="s">
        <v>26</v>
      </c>
      <c r="E44" s="28" t="s">
        <v>27</v>
      </c>
      <c r="F44" s="30">
        <v>9.636304682000544</v>
      </c>
      <c r="G44" s="29">
        <v>3355446</v>
      </c>
      <c r="H44" s="29">
        <v>323341</v>
      </c>
      <c r="I44" s="28" t="s">
        <v>2205</v>
      </c>
      <c r="J44" s="28" t="s">
        <v>2205</v>
      </c>
      <c r="K44" s="28" t="s">
        <v>84</v>
      </c>
      <c r="L44" s="28" t="s">
        <v>23</v>
      </c>
    </row>
    <row r="45" spans="1:12" ht="26" customHeight="1" x14ac:dyDescent="0.35">
      <c r="A45" s="28">
        <v>41</v>
      </c>
      <c r="B45" s="28" t="s">
        <v>44</v>
      </c>
      <c r="C45" s="28" t="s">
        <v>45</v>
      </c>
      <c r="D45" s="28" t="s">
        <v>46</v>
      </c>
      <c r="E45" s="28" t="s">
        <v>31</v>
      </c>
      <c r="F45" s="30">
        <v>9.4831882724898833</v>
      </c>
      <c r="G45" s="29">
        <v>2078668</v>
      </c>
      <c r="H45" s="29">
        <v>197124</v>
      </c>
      <c r="I45" s="28" t="s">
        <v>2205</v>
      </c>
      <c r="J45" s="28" t="s">
        <v>2205</v>
      </c>
      <c r="K45" s="28" t="s">
        <v>22</v>
      </c>
      <c r="L45" s="28" t="s">
        <v>23</v>
      </c>
    </row>
    <row r="46" spans="1:12" ht="26" customHeight="1" x14ac:dyDescent="0.35">
      <c r="A46" s="28">
        <v>42</v>
      </c>
      <c r="B46" s="28" t="s">
        <v>78</v>
      </c>
      <c r="C46" s="28" t="s">
        <v>79</v>
      </c>
      <c r="D46" s="28" t="s">
        <v>34</v>
      </c>
      <c r="E46" s="28" t="s">
        <v>31</v>
      </c>
      <c r="F46" s="30">
        <v>8.9270828225371446</v>
      </c>
      <c r="G46" s="29">
        <v>1876156</v>
      </c>
      <c r="H46" s="29">
        <v>167486</v>
      </c>
      <c r="I46" s="28" t="s">
        <v>2205</v>
      </c>
      <c r="J46" s="28" t="s">
        <v>2205</v>
      </c>
      <c r="K46" s="28" t="s">
        <v>73</v>
      </c>
      <c r="L46" s="28" t="s">
        <v>23</v>
      </c>
    </row>
    <row r="47" spans="1:12" x14ac:dyDescent="0.35">
      <c r="A47" s="28">
        <v>43</v>
      </c>
      <c r="B47" s="28" t="s">
        <v>51</v>
      </c>
      <c r="C47" s="28" t="s">
        <v>52</v>
      </c>
      <c r="D47" s="28" t="s">
        <v>39</v>
      </c>
      <c r="E47" s="28" t="s">
        <v>40</v>
      </c>
      <c r="F47" s="30">
        <v>8.874679378937115</v>
      </c>
      <c r="G47" s="29">
        <v>716578</v>
      </c>
      <c r="H47" s="29">
        <v>63594</v>
      </c>
      <c r="I47" s="28" t="s">
        <v>2205</v>
      </c>
      <c r="J47" s="28" t="s">
        <v>2205</v>
      </c>
      <c r="K47" s="28" t="s">
        <v>22</v>
      </c>
      <c r="L47" s="28" t="s">
        <v>23</v>
      </c>
    </row>
    <row r="48" spans="1:12" x14ac:dyDescent="0.35">
      <c r="A48" s="28">
        <v>44</v>
      </c>
      <c r="B48" s="28" t="s">
        <v>89</v>
      </c>
      <c r="C48" s="28" t="s">
        <v>90</v>
      </c>
      <c r="D48" s="28" t="s">
        <v>30</v>
      </c>
      <c r="E48" s="28" t="s">
        <v>31</v>
      </c>
      <c r="F48" s="30">
        <v>8.810796006667843</v>
      </c>
      <c r="G48" s="29">
        <v>759466</v>
      </c>
      <c r="H48" s="29">
        <v>66915</v>
      </c>
      <c r="I48" s="28" t="s">
        <v>2205</v>
      </c>
      <c r="J48" s="28" t="s">
        <v>2205</v>
      </c>
      <c r="K48" s="28" t="s">
        <v>84</v>
      </c>
      <c r="L48" s="28" t="s">
        <v>23</v>
      </c>
    </row>
    <row r="49" spans="1:12" ht="26" customHeight="1" x14ac:dyDescent="0.35">
      <c r="A49" s="28">
        <v>45</v>
      </c>
      <c r="B49" s="28" t="s">
        <v>91</v>
      </c>
      <c r="C49" s="28" t="s">
        <v>92</v>
      </c>
      <c r="D49" s="28" t="s">
        <v>34</v>
      </c>
      <c r="E49" s="28" t="s">
        <v>31</v>
      </c>
      <c r="F49" s="30">
        <v>8.5860166588540725</v>
      </c>
      <c r="G49" s="29">
        <v>1386650</v>
      </c>
      <c r="H49" s="29">
        <v>119058</v>
      </c>
      <c r="I49" s="28" t="s">
        <v>2205</v>
      </c>
      <c r="J49" s="28" t="s">
        <v>2205</v>
      </c>
      <c r="K49" s="28" t="s">
        <v>84</v>
      </c>
      <c r="L49" s="28" t="s">
        <v>23</v>
      </c>
    </row>
    <row r="50" spans="1:12" x14ac:dyDescent="0.35">
      <c r="A50" s="28">
        <v>46</v>
      </c>
      <c r="B50" s="28" t="s">
        <v>71</v>
      </c>
      <c r="C50" s="28" t="s">
        <v>72</v>
      </c>
      <c r="D50" s="28" t="s">
        <v>39</v>
      </c>
      <c r="E50" s="28" t="s">
        <v>40</v>
      </c>
      <c r="F50" s="30">
        <v>8.4194561623059645</v>
      </c>
      <c r="G50" s="29">
        <v>361983</v>
      </c>
      <c r="H50" s="29">
        <v>30477</v>
      </c>
      <c r="I50" s="28" t="s">
        <v>2205</v>
      </c>
      <c r="J50" s="28" t="s">
        <v>2205</v>
      </c>
      <c r="K50" s="28" t="s">
        <v>73</v>
      </c>
      <c r="L50" s="28" t="s">
        <v>23</v>
      </c>
    </row>
    <row r="51" spans="1:12" ht="26" customHeight="1" x14ac:dyDescent="0.35">
      <c r="A51" s="28">
        <v>47</v>
      </c>
      <c r="B51" s="28" t="s">
        <v>49</v>
      </c>
      <c r="C51" s="28" t="s">
        <v>50</v>
      </c>
      <c r="D51" s="28" t="s">
        <v>46</v>
      </c>
      <c r="E51" s="28" t="s">
        <v>31</v>
      </c>
      <c r="F51" s="30">
        <v>8.3375181431407199</v>
      </c>
      <c r="G51" s="29">
        <v>2323881</v>
      </c>
      <c r="H51" s="29">
        <v>193754</v>
      </c>
      <c r="I51" s="28" t="s">
        <v>2205</v>
      </c>
      <c r="J51" s="28" t="s">
        <v>2205</v>
      </c>
      <c r="K51" s="28" t="s">
        <v>22</v>
      </c>
      <c r="L51" s="28" t="s">
        <v>23</v>
      </c>
    </row>
    <row r="52" spans="1:12" ht="26" customHeight="1" x14ac:dyDescent="0.35">
      <c r="A52" s="28">
        <v>48</v>
      </c>
      <c r="B52" s="28" t="s">
        <v>80</v>
      </c>
      <c r="C52" s="28" t="s">
        <v>81</v>
      </c>
      <c r="D52" s="28" t="s">
        <v>43</v>
      </c>
      <c r="E52" s="28" t="s">
        <v>27</v>
      </c>
      <c r="F52" s="30">
        <v>8.0386541237579134</v>
      </c>
      <c r="G52" s="29">
        <v>475913</v>
      </c>
      <c r="H52" s="29">
        <v>38257</v>
      </c>
      <c r="I52" s="28" t="s">
        <v>2205</v>
      </c>
      <c r="J52" s="28" t="s">
        <v>2205</v>
      </c>
      <c r="K52" s="28" t="s">
        <v>73</v>
      </c>
      <c r="L52" s="28" t="s">
        <v>23</v>
      </c>
    </row>
    <row r="53" spans="1:12" ht="26" customHeight="1" x14ac:dyDescent="0.35">
      <c r="A53" s="28">
        <v>49</v>
      </c>
      <c r="B53" s="28" t="s">
        <v>69</v>
      </c>
      <c r="C53" s="28" t="s">
        <v>70</v>
      </c>
      <c r="D53" s="28" t="s">
        <v>34</v>
      </c>
      <c r="E53" s="28" t="s">
        <v>31</v>
      </c>
      <c r="F53" s="30">
        <v>7.994403286380841</v>
      </c>
      <c r="G53" s="29">
        <v>2043342</v>
      </c>
      <c r="H53" s="29">
        <v>163353</v>
      </c>
      <c r="I53" s="28" t="s">
        <v>2205</v>
      </c>
      <c r="J53" s="28" t="s">
        <v>2205</v>
      </c>
      <c r="K53" s="28" t="s">
        <v>22</v>
      </c>
      <c r="L53" s="28" t="s">
        <v>23</v>
      </c>
    </row>
    <row r="54" spans="1:12" ht="26" customHeight="1" x14ac:dyDescent="0.35">
      <c r="A54" s="28">
        <v>50</v>
      </c>
      <c r="B54" s="28" t="s">
        <v>76</v>
      </c>
      <c r="C54" s="28" t="s">
        <v>77</v>
      </c>
      <c r="D54" s="28" t="s">
        <v>43</v>
      </c>
      <c r="E54" s="28" t="s">
        <v>27</v>
      </c>
      <c r="F54" s="30">
        <v>7.0901890606617952</v>
      </c>
      <c r="G54" s="29">
        <v>422457</v>
      </c>
      <c r="H54" s="29">
        <v>29953</v>
      </c>
      <c r="I54" s="28" t="s">
        <v>2205</v>
      </c>
      <c r="J54" s="28" t="s">
        <v>2205</v>
      </c>
      <c r="K54" s="28" t="s">
        <v>73</v>
      </c>
      <c r="L54" s="28" t="s">
        <v>23</v>
      </c>
    </row>
    <row r="55" spans="1:12" ht="26" customHeight="1" x14ac:dyDescent="0.35">
      <c r="A55" s="28">
        <v>51</v>
      </c>
      <c r="B55" s="28" t="s">
        <v>99</v>
      </c>
      <c r="C55" s="28" t="s">
        <v>100</v>
      </c>
      <c r="D55" s="28" t="s">
        <v>46</v>
      </c>
      <c r="E55" s="28" t="s">
        <v>31</v>
      </c>
      <c r="F55" s="30">
        <v>6.2407323933711707</v>
      </c>
      <c r="G55" s="29">
        <v>1302251</v>
      </c>
      <c r="H55" s="29">
        <v>81270</v>
      </c>
      <c r="I55" s="28" t="s">
        <v>2205</v>
      </c>
      <c r="J55" s="28" t="s">
        <v>2205</v>
      </c>
      <c r="K55" s="28" t="s">
        <v>84</v>
      </c>
      <c r="L55" s="28" t="s">
        <v>23</v>
      </c>
    </row>
    <row r="57" spans="1:12" ht="32" customHeight="1" x14ac:dyDescent="0.35">
      <c r="A57" s="33" t="s">
        <v>3238</v>
      </c>
      <c r="B57" s="34"/>
      <c r="C57" s="34"/>
      <c r="D57" s="34"/>
      <c r="E57" s="34"/>
      <c r="F57" s="34"/>
      <c r="G57" s="34"/>
      <c r="H57" s="34"/>
    </row>
    <row r="58" spans="1:12" ht="32" customHeight="1" x14ac:dyDescent="0.35">
      <c r="A58" s="33" t="s">
        <v>3239</v>
      </c>
      <c r="B58" s="34"/>
      <c r="C58" s="34"/>
      <c r="D58" s="34"/>
      <c r="E58" s="34"/>
      <c r="F58" s="34"/>
      <c r="G58" s="34"/>
      <c r="H58" s="34"/>
    </row>
    <row r="59" spans="1:12" ht="32" customHeight="1" x14ac:dyDescent="0.35">
      <c r="A59" s="33" t="s">
        <v>3240</v>
      </c>
      <c r="B59" s="34"/>
      <c r="C59" s="34"/>
      <c r="D59" s="34"/>
      <c r="E59" s="34"/>
      <c r="F59" s="34"/>
      <c r="G59" s="34"/>
      <c r="H59" s="34"/>
    </row>
  </sheetData>
  <autoFilter ref="A4:L55" xr:uid="{00000000-0009-0000-0000-000022000000}"/>
  <mergeCells count="5">
    <mergeCell ref="A2:L2"/>
    <mergeCell ref="A59:H59"/>
    <mergeCell ref="A57:H57"/>
    <mergeCell ref="A1:L1"/>
    <mergeCell ref="A58:H58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M58"/>
  <sheetViews>
    <sheetView zoomScale="70" zoomScaleNormal="70" workbookViewId="0">
      <pane ySplit="4" topLeftCell="A5" activePane="bottomLeft" state="frozen"/>
      <selection pane="bottomLeft" activeCell="S11" sqref="S11"/>
    </sheetView>
  </sheetViews>
  <sheetFormatPr defaultRowHeight="14.5" x14ac:dyDescent="0.35"/>
  <cols>
    <col min="1" max="1" width="22" customWidth="1"/>
    <col min="2" max="13" width="14" customWidth="1"/>
  </cols>
  <sheetData>
    <row r="1" spans="1:13" ht="48" customHeight="1" x14ac:dyDescent="0.35">
      <c r="A1" s="35" t="s">
        <v>3186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spans="1:13" ht="56" customHeight="1" x14ac:dyDescent="0.35">
      <c r="A2" s="33" t="s">
        <v>3192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</row>
    <row r="4" spans="1:13" ht="26" customHeight="1" x14ac:dyDescent="0.3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3201</v>
      </c>
      <c r="G4" s="15" t="s">
        <v>3202</v>
      </c>
      <c r="H4" s="15" t="s">
        <v>3203</v>
      </c>
      <c r="I4" s="15" t="s">
        <v>3241</v>
      </c>
      <c r="J4" s="15" t="s">
        <v>3242</v>
      </c>
      <c r="K4" s="15" t="s">
        <v>3237</v>
      </c>
      <c r="L4" s="15" t="s">
        <v>7</v>
      </c>
      <c r="M4" s="15" t="s">
        <v>17</v>
      </c>
    </row>
    <row r="5" spans="1:13" x14ac:dyDescent="0.35">
      <c r="A5" s="28">
        <v>1</v>
      </c>
      <c r="B5" s="28" t="s">
        <v>119</v>
      </c>
      <c r="C5" s="28" t="s">
        <v>120</v>
      </c>
      <c r="D5" s="28" t="s">
        <v>30</v>
      </c>
      <c r="E5" s="28" t="s">
        <v>31</v>
      </c>
      <c r="F5" s="30">
        <v>60.399546488699031</v>
      </c>
      <c r="G5" s="29">
        <v>5815792</v>
      </c>
      <c r="H5" s="29">
        <v>9628867</v>
      </c>
      <c r="I5" s="30">
        <v>39.600453511300969</v>
      </c>
      <c r="J5" s="28" t="s">
        <v>2209</v>
      </c>
      <c r="K5" s="28" t="s">
        <v>2209</v>
      </c>
      <c r="L5" s="28" t="s">
        <v>84</v>
      </c>
      <c r="M5" s="28" t="s">
        <v>23</v>
      </c>
    </row>
    <row r="6" spans="1:13" ht="26" customHeight="1" x14ac:dyDescent="0.35">
      <c r="A6" s="28">
        <v>2</v>
      </c>
      <c r="B6" s="28" t="s">
        <v>109</v>
      </c>
      <c r="C6" s="28" t="s">
        <v>110</v>
      </c>
      <c r="D6" s="28" t="s">
        <v>46</v>
      </c>
      <c r="E6" s="28" t="s">
        <v>31</v>
      </c>
      <c r="F6" s="30">
        <v>58.465527712609003</v>
      </c>
      <c r="G6" s="29">
        <v>1664444</v>
      </c>
      <c r="H6" s="29">
        <v>2846881</v>
      </c>
      <c r="I6" s="30">
        <v>41.534472287390997</v>
      </c>
      <c r="J6" s="28" t="s">
        <v>2209</v>
      </c>
      <c r="K6" s="28" t="s">
        <v>2209</v>
      </c>
      <c r="L6" s="28" t="s">
        <v>84</v>
      </c>
      <c r="M6" s="28" t="s">
        <v>23</v>
      </c>
    </row>
    <row r="7" spans="1:13" x14ac:dyDescent="0.35">
      <c r="A7" s="28">
        <v>3</v>
      </c>
      <c r="B7" s="28" t="s">
        <v>121</v>
      </c>
      <c r="C7" s="28" t="s">
        <v>122</v>
      </c>
      <c r="D7" s="28" t="s">
        <v>30</v>
      </c>
      <c r="E7" s="28" t="s">
        <v>31</v>
      </c>
      <c r="F7" s="30">
        <v>57.484629457316181</v>
      </c>
      <c r="G7" s="29">
        <v>2442730</v>
      </c>
      <c r="H7" s="29">
        <v>4249362</v>
      </c>
      <c r="I7" s="30">
        <v>42.515370542683819</v>
      </c>
      <c r="J7" s="28" t="s">
        <v>2209</v>
      </c>
      <c r="K7" s="28" t="s">
        <v>2209</v>
      </c>
      <c r="L7" s="28" t="s">
        <v>84</v>
      </c>
      <c r="M7" s="28" t="s">
        <v>23</v>
      </c>
    </row>
    <row r="8" spans="1:13" x14ac:dyDescent="0.35">
      <c r="A8" s="28">
        <v>4</v>
      </c>
      <c r="B8" s="28" t="s">
        <v>85</v>
      </c>
      <c r="C8" s="28" t="s">
        <v>86</v>
      </c>
      <c r="D8" s="28" t="s">
        <v>58</v>
      </c>
      <c r="E8" s="28" t="s">
        <v>40</v>
      </c>
      <c r="F8" s="30">
        <v>57.442028395441262</v>
      </c>
      <c r="G8" s="29">
        <v>1601312</v>
      </c>
      <c r="H8" s="29">
        <v>2787701</v>
      </c>
      <c r="I8" s="30">
        <v>42.557971604558738</v>
      </c>
      <c r="J8" s="28" t="s">
        <v>2209</v>
      </c>
      <c r="K8" s="28" t="s">
        <v>2209</v>
      </c>
      <c r="L8" s="28" t="s">
        <v>84</v>
      </c>
      <c r="M8" s="28" t="s">
        <v>23</v>
      </c>
    </row>
    <row r="9" spans="1:13" ht="26" customHeight="1" x14ac:dyDescent="0.35">
      <c r="A9" s="28">
        <v>5</v>
      </c>
      <c r="B9" s="28" t="s">
        <v>44</v>
      </c>
      <c r="C9" s="28" t="s">
        <v>45</v>
      </c>
      <c r="D9" s="28" t="s">
        <v>46</v>
      </c>
      <c r="E9" s="28" t="s">
        <v>31</v>
      </c>
      <c r="F9" s="30">
        <v>57.389485121371187</v>
      </c>
      <c r="G9" s="29">
        <v>957081</v>
      </c>
      <c r="H9" s="29">
        <v>1667694</v>
      </c>
      <c r="I9" s="30">
        <v>42.610514878628813</v>
      </c>
      <c r="J9" s="28" t="s">
        <v>2209</v>
      </c>
      <c r="K9" s="28" t="s">
        <v>2209</v>
      </c>
      <c r="L9" s="28" t="s">
        <v>22</v>
      </c>
      <c r="M9" s="28" t="s">
        <v>23</v>
      </c>
    </row>
    <row r="10" spans="1:13" x14ac:dyDescent="0.35">
      <c r="A10" s="28">
        <v>6</v>
      </c>
      <c r="B10" s="28" t="s">
        <v>47</v>
      </c>
      <c r="C10" s="28" t="s">
        <v>48</v>
      </c>
      <c r="D10" s="28" t="s">
        <v>30</v>
      </c>
      <c r="E10" s="28" t="s">
        <v>31</v>
      </c>
      <c r="F10" s="30">
        <v>57.119179065372293</v>
      </c>
      <c r="G10" s="29">
        <v>1149989</v>
      </c>
      <c r="H10" s="29">
        <v>2013315</v>
      </c>
      <c r="I10" s="30">
        <v>42.880820934627707</v>
      </c>
      <c r="J10" s="28" t="s">
        <v>2209</v>
      </c>
      <c r="K10" s="28" t="s">
        <v>2209</v>
      </c>
      <c r="L10" s="28" t="s">
        <v>22</v>
      </c>
      <c r="M10" s="28" t="s">
        <v>23</v>
      </c>
    </row>
    <row r="11" spans="1:13" ht="26" customHeight="1" x14ac:dyDescent="0.35">
      <c r="A11" s="28">
        <v>7</v>
      </c>
      <c r="B11" s="28" t="s">
        <v>113</v>
      </c>
      <c r="C11" s="28" t="s">
        <v>114</v>
      </c>
      <c r="D11" s="28" t="s">
        <v>26</v>
      </c>
      <c r="E11" s="28" t="s">
        <v>27</v>
      </c>
      <c r="F11" s="30">
        <v>56.819272382843963</v>
      </c>
      <c r="G11" s="29">
        <v>1634070</v>
      </c>
      <c r="H11" s="29">
        <v>2875908</v>
      </c>
      <c r="I11" s="30">
        <v>43.180727617156037</v>
      </c>
      <c r="J11" s="28" t="s">
        <v>2209</v>
      </c>
      <c r="K11" s="28" t="s">
        <v>2209</v>
      </c>
      <c r="L11" s="28" t="s">
        <v>84</v>
      </c>
      <c r="M11" s="28" t="s">
        <v>23</v>
      </c>
    </row>
    <row r="12" spans="1:13" ht="26" customHeight="1" x14ac:dyDescent="0.35">
      <c r="A12" s="28">
        <v>8</v>
      </c>
      <c r="B12" s="28" t="s">
        <v>133</v>
      </c>
      <c r="C12" s="28" t="s">
        <v>134</v>
      </c>
      <c r="D12" s="28" t="s">
        <v>26</v>
      </c>
      <c r="E12" s="28" t="s">
        <v>27</v>
      </c>
      <c r="F12" s="30">
        <v>56.251857872672772</v>
      </c>
      <c r="G12" s="29">
        <v>3112912</v>
      </c>
      <c r="H12" s="29">
        <v>5533883</v>
      </c>
      <c r="I12" s="30">
        <v>43.748142127327228</v>
      </c>
      <c r="J12" s="28" t="s">
        <v>2209</v>
      </c>
      <c r="K12" s="28" t="s">
        <v>2209</v>
      </c>
      <c r="L12" s="28" t="s">
        <v>84</v>
      </c>
      <c r="M12" s="28" t="s">
        <v>23</v>
      </c>
    </row>
    <row r="13" spans="1:13" ht="26" customHeight="1" x14ac:dyDescent="0.35">
      <c r="A13" s="28">
        <v>9</v>
      </c>
      <c r="B13" s="28" t="s">
        <v>24</v>
      </c>
      <c r="C13" s="28" t="s">
        <v>25</v>
      </c>
      <c r="D13" s="28" t="s">
        <v>26</v>
      </c>
      <c r="E13" s="28" t="s">
        <v>27</v>
      </c>
      <c r="F13" s="30">
        <v>56.182249595471873</v>
      </c>
      <c r="G13" s="29">
        <v>2788779</v>
      </c>
      <c r="H13" s="29">
        <v>4963808</v>
      </c>
      <c r="I13" s="30">
        <v>43.817750404528127</v>
      </c>
      <c r="J13" s="28" t="s">
        <v>2209</v>
      </c>
      <c r="K13" s="28" t="s">
        <v>2209</v>
      </c>
      <c r="L13" s="28" t="s">
        <v>22</v>
      </c>
      <c r="M13" s="28" t="s">
        <v>23</v>
      </c>
    </row>
    <row r="14" spans="1:13" x14ac:dyDescent="0.35">
      <c r="A14" s="28">
        <v>10</v>
      </c>
      <c r="B14" s="28" t="s">
        <v>28</v>
      </c>
      <c r="C14" s="28" t="s">
        <v>29</v>
      </c>
      <c r="D14" s="28" t="s">
        <v>30</v>
      </c>
      <c r="E14" s="28" t="s">
        <v>31</v>
      </c>
      <c r="F14" s="30">
        <v>55.790731430438733</v>
      </c>
      <c r="G14" s="29">
        <v>2291192</v>
      </c>
      <c r="H14" s="29">
        <v>4106761</v>
      </c>
      <c r="I14" s="30">
        <v>44.209268569561267</v>
      </c>
      <c r="J14" s="28" t="s">
        <v>2209</v>
      </c>
      <c r="K14" s="28" t="s">
        <v>2209</v>
      </c>
      <c r="L14" s="28" t="s">
        <v>22</v>
      </c>
      <c r="M14" s="28" t="s">
        <v>23</v>
      </c>
    </row>
    <row r="15" spans="1:13" ht="26" customHeight="1" x14ac:dyDescent="0.35">
      <c r="A15" s="28">
        <v>11</v>
      </c>
      <c r="B15" s="28" t="s">
        <v>32</v>
      </c>
      <c r="C15" s="28" t="s">
        <v>33</v>
      </c>
      <c r="D15" s="28" t="s">
        <v>34</v>
      </c>
      <c r="E15" s="28" t="s">
        <v>31</v>
      </c>
      <c r="F15" s="30">
        <v>55.612035897536607</v>
      </c>
      <c r="G15" s="29">
        <v>6399634</v>
      </c>
      <c r="H15" s="29">
        <v>11507642</v>
      </c>
      <c r="I15" s="30">
        <v>44.387964102463393</v>
      </c>
      <c r="J15" s="28" t="s">
        <v>2209</v>
      </c>
      <c r="K15" s="28" t="s">
        <v>2209</v>
      </c>
      <c r="L15" s="28" t="s">
        <v>22</v>
      </c>
      <c r="M15" s="28" t="s">
        <v>23</v>
      </c>
    </row>
    <row r="16" spans="1:13" ht="26" customHeight="1" x14ac:dyDescent="0.35">
      <c r="A16" s="28">
        <v>12</v>
      </c>
      <c r="B16" s="28" t="s">
        <v>41</v>
      </c>
      <c r="C16" s="28" t="s">
        <v>42</v>
      </c>
      <c r="D16" s="28" t="s">
        <v>43</v>
      </c>
      <c r="E16" s="28" t="s">
        <v>27</v>
      </c>
      <c r="F16" s="30">
        <v>55.582648925687003</v>
      </c>
      <c r="G16" s="29">
        <v>1425352</v>
      </c>
      <c r="H16" s="29">
        <v>2564383</v>
      </c>
      <c r="I16" s="30">
        <v>44.417351074312997</v>
      </c>
      <c r="J16" s="28" t="s">
        <v>2209</v>
      </c>
      <c r="K16" s="28" t="s">
        <v>2209</v>
      </c>
      <c r="L16" s="28" t="s">
        <v>22</v>
      </c>
      <c r="M16" s="28" t="s">
        <v>23</v>
      </c>
    </row>
    <row r="17" spans="1:13" x14ac:dyDescent="0.35">
      <c r="A17" s="28">
        <v>13</v>
      </c>
      <c r="B17" s="28" t="s">
        <v>129</v>
      </c>
      <c r="C17" s="28" t="s">
        <v>130</v>
      </c>
      <c r="D17" s="28" t="s">
        <v>55</v>
      </c>
      <c r="E17" s="28" t="s">
        <v>21</v>
      </c>
      <c r="F17" s="30">
        <v>55.346683273872593</v>
      </c>
      <c r="G17" s="29">
        <v>1880082</v>
      </c>
      <c r="H17" s="29">
        <v>3396919</v>
      </c>
      <c r="I17" s="30">
        <v>44.653316726127407</v>
      </c>
      <c r="J17" s="28" t="s">
        <v>2209</v>
      </c>
      <c r="K17" s="28" t="s">
        <v>2209</v>
      </c>
      <c r="L17" s="28" t="s">
        <v>84</v>
      </c>
      <c r="M17" s="28" t="s">
        <v>23</v>
      </c>
    </row>
    <row r="18" spans="1:13" x14ac:dyDescent="0.35">
      <c r="A18" s="28">
        <v>14</v>
      </c>
      <c r="B18" s="28" t="s">
        <v>61</v>
      </c>
      <c r="C18" s="28" t="s">
        <v>62</v>
      </c>
      <c r="D18" s="28" t="s">
        <v>58</v>
      </c>
      <c r="E18" s="28" t="s">
        <v>40</v>
      </c>
      <c r="F18" s="30">
        <v>55.015008806306341</v>
      </c>
      <c r="G18" s="29">
        <v>707811</v>
      </c>
      <c r="H18" s="29">
        <v>1286578</v>
      </c>
      <c r="I18" s="30">
        <v>44.984991193693659</v>
      </c>
      <c r="J18" s="28" t="s">
        <v>2209</v>
      </c>
      <c r="K18" s="28" t="s">
        <v>2209</v>
      </c>
      <c r="L18" s="28" t="s">
        <v>22</v>
      </c>
      <c r="M18" s="28" t="s">
        <v>23</v>
      </c>
    </row>
    <row r="19" spans="1:13" x14ac:dyDescent="0.35">
      <c r="A19" s="28">
        <v>15</v>
      </c>
      <c r="B19" s="28" t="s">
        <v>135</v>
      </c>
      <c r="C19" s="28" t="s">
        <v>136</v>
      </c>
      <c r="D19" s="28" t="s">
        <v>20</v>
      </c>
      <c r="E19" s="28" t="s">
        <v>21</v>
      </c>
      <c r="F19" s="30">
        <v>54.76198917424523</v>
      </c>
      <c r="G19" s="29">
        <v>3058364</v>
      </c>
      <c r="H19" s="29">
        <v>5584830</v>
      </c>
      <c r="I19" s="30">
        <v>45.23801082575477</v>
      </c>
      <c r="J19" s="28" t="s">
        <v>2209</v>
      </c>
      <c r="K19" s="28" t="s">
        <v>2209</v>
      </c>
      <c r="L19" s="28" t="s">
        <v>84</v>
      </c>
      <c r="M19" s="28" t="s">
        <v>23</v>
      </c>
    </row>
    <row r="20" spans="1:13" x14ac:dyDescent="0.35">
      <c r="A20" s="28">
        <v>16</v>
      </c>
      <c r="B20" s="28" t="s">
        <v>111</v>
      </c>
      <c r="C20" s="28" t="s">
        <v>112</v>
      </c>
      <c r="D20" s="28" t="s">
        <v>58</v>
      </c>
      <c r="E20" s="28" t="s">
        <v>40</v>
      </c>
      <c r="F20" s="30">
        <v>54.649654320338577</v>
      </c>
      <c r="G20" s="29">
        <v>831571</v>
      </c>
      <c r="H20" s="29">
        <v>1521640</v>
      </c>
      <c r="I20" s="30">
        <v>45.350345679661423</v>
      </c>
      <c r="J20" s="28" t="s">
        <v>2209</v>
      </c>
      <c r="K20" s="28" t="s">
        <v>2209</v>
      </c>
      <c r="L20" s="28" t="s">
        <v>84</v>
      </c>
      <c r="M20" s="28" t="s">
        <v>23</v>
      </c>
    </row>
    <row r="21" spans="1:13" ht="26" customHeight="1" x14ac:dyDescent="0.35">
      <c r="A21" s="28">
        <v>17</v>
      </c>
      <c r="B21" s="28" t="s">
        <v>103</v>
      </c>
      <c r="C21" s="28" t="s">
        <v>104</v>
      </c>
      <c r="D21" s="28" t="s">
        <v>43</v>
      </c>
      <c r="E21" s="28" t="s">
        <v>27</v>
      </c>
      <c r="F21" s="30">
        <v>54.15070766127409</v>
      </c>
      <c r="G21" s="29">
        <v>1479680</v>
      </c>
      <c r="H21" s="29">
        <v>2732522</v>
      </c>
      <c r="I21" s="30">
        <v>45.84929233872591</v>
      </c>
      <c r="J21" s="28" t="s">
        <v>2209</v>
      </c>
      <c r="K21" s="28" t="s">
        <v>2209</v>
      </c>
      <c r="L21" s="28" t="s">
        <v>84</v>
      </c>
      <c r="M21" s="28" t="s">
        <v>23</v>
      </c>
    </row>
    <row r="22" spans="1:13" x14ac:dyDescent="0.35">
      <c r="A22" s="28">
        <v>18</v>
      </c>
      <c r="B22" s="28" t="s">
        <v>117</v>
      </c>
      <c r="C22" s="28" t="s">
        <v>118</v>
      </c>
      <c r="D22" s="28" t="s">
        <v>30</v>
      </c>
      <c r="E22" s="28" t="s">
        <v>31</v>
      </c>
      <c r="F22" s="30">
        <v>54.137677269756757</v>
      </c>
      <c r="G22" s="29">
        <v>1892088</v>
      </c>
      <c r="H22" s="29">
        <v>3494956</v>
      </c>
      <c r="I22" s="30">
        <v>45.862322730243243</v>
      </c>
      <c r="J22" s="28" t="s">
        <v>2205</v>
      </c>
      <c r="K22" s="28" t="s">
        <v>2209</v>
      </c>
      <c r="L22" s="28" t="s">
        <v>84</v>
      </c>
      <c r="M22" s="28" t="s">
        <v>23</v>
      </c>
    </row>
    <row r="23" spans="1:13" ht="26" customHeight="1" x14ac:dyDescent="0.35">
      <c r="A23" s="28">
        <v>19</v>
      </c>
      <c r="B23" s="28" t="s">
        <v>49</v>
      </c>
      <c r="C23" s="28" t="s">
        <v>50</v>
      </c>
      <c r="D23" s="28" t="s">
        <v>46</v>
      </c>
      <c r="E23" s="28" t="s">
        <v>31</v>
      </c>
      <c r="F23" s="30">
        <v>54.049065708401557</v>
      </c>
      <c r="G23" s="29">
        <v>960807</v>
      </c>
      <c r="H23" s="29">
        <v>1777657</v>
      </c>
      <c r="I23" s="30">
        <v>45.950934291598443</v>
      </c>
      <c r="J23" s="28" t="s">
        <v>2205</v>
      </c>
      <c r="K23" s="28" t="s">
        <v>2209</v>
      </c>
      <c r="L23" s="28" t="s">
        <v>22</v>
      </c>
      <c r="M23" s="28" t="s">
        <v>23</v>
      </c>
    </row>
    <row r="24" spans="1:13" ht="26" customHeight="1" x14ac:dyDescent="0.35">
      <c r="A24" s="28">
        <v>20</v>
      </c>
      <c r="B24" s="28" t="s">
        <v>74</v>
      </c>
      <c r="C24" s="28" t="s">
        <v>75</v>
      </c>
      <c r="D24" s="28" t="s">
        <v>43</v>
      </c>
      <c r="E24" s="28" t="s">
        <v>27</v>
      </c>
      <c r="F24" s="30">
        <v>54.010137784128823</v>
      </c>
      <c r="G24" s="29">
        <v>748742</v>
      </c>
      <c r="H24" s="29">
        <v>1386299</v>
      </c>
      <c r="I24" s="30">
        <v>45.989862215871177</v>
      </c>
      <c r="J24" s="28" t="s">
        <v>2205</v>
      </c>
      <c r="K24" s="28" t="s">
        <v>2209</v>
      </c>
      <c r="L24" s="28" t="s">
        <v>73</v>
      </c>
      <c r="M24" s="28" t="s">
        <v>23</v>
      </c>
    </row>
    <row r="25" spans="1:13" ht="26" customHeight="1" x14ac:dyDescent="0.35">
      <c r="A25" s="28">
        <v>21</v>
      </c>
      <c r="B25" s="28" t="s">
        <v>91</v>
      </c>
      <c r="C25" s="28" t="s">
        <v>92</v>
      </c>
      <c r="D25" s="28" t="s">
        <v>34</v>
      </c>
      <c r="E25" s="28" t="s">
        <v>31</v>
      </c>
      <c r="F25" s="30">
        <v>53.949335380388668</v>
      </c>
      <c r="G25" s="29">
        <v>587532</v>
      </c>
      <c r="H25" s="29">
        <v>1089044</v>
      </c>
      <c r="I25" s="30">
        <v>46.050664619611332</v>
      </c>
      <c r="J25" s="28" t="s">
        <v>2205</v>
      </c>
      <c r="K25" s="28" t="s">
        <v>2209</v>
      </c>
      <c r="L25" s="28" t="s">
        <v>84</v>
      </c>
      <c r="M25" s="28" t="s">
        <v>23</v>
      </c>
    </row>
    <row r="26" spans="1:13" x14ac:dyDescent="0.35">
      <c r="A26" s="28">
        <v>22</v>
      </c>
      <c r="B26" s="28" t="s">
        <v>18</v>
      </c>
      <c r="C26" s="28" t="s">
        <v>19</v>
      </c>
      <c r="D26" s="28" t="s">
        <v>20</v>
      </c>
      <c r="E26" s="28" t="s">
        <v>21</v>
      </c>
      <c r="F26" s="30">
        <v>53.351204112659687</v>
      </c>
      <c r="G26" s="29">
        <v>4497387</v>
      </c>
      <c r="H26" s="29">
        <v>8429776</v>
      </c>
      <c r="I26" s="30">
        <v>46.648795887340313</v>
      </c>
      <c r="J26" s="28" t="s">
        <v>2205</v>
      </c>
      <c r="K26" s="28" t="s">
        <v>2209</v>
      </c>
      <c r="L26" s="28" t="s">
        <v>22</v>
      </c>
      <c r="M26" s="28" t="s">
        <v>23</v>
      </c>
    </row>
    <row r="27" spans="1:13" ht="26" customHeight="1" x14ac:dyDescent="0.35">
      <c r="A27" s="28">
        <v>23</v>
      </c>
      <c r="B27" s="28" t="s">
        <v>99</v>
      </c>
      <c r="C27" s="28" t="s">
        <v>100</v>
      </c>
      <c r="D27" s="28" t="s">
        <v>46</v>
      </c>
      <c r="E27" s="28" t="s">
        <v>31</v>
      </c>
      <c r="F27" s="30">
        <v>52.983018907874403</v>
      </c>
      <c r="G27" s="29">
        <v>500467</v>
      </c>
      <c r="H27" s="29">
        <v>944580</v>
      </c>
      <c r="I27" s="30">
        <v>47.016981092125597</v>
      </c>
      <c r="J27" s="28" t="s">
        <v>2205</v>
      </c>
      <c r="K27" s="28" t="s">
        <v>2209</v>
      </c>
      <c r="L27" s="28" t="s">
        <v>84</v>
      </c>
      <c r="M27" s="28" t="s">
        <v>23</v>
      </c>
    </row>
    <row r="28" spans="1:13" x14ac:dyDescent="0.35">
      <c r="A28" s="28">
        <v>24</v>
      </c>
      <c r="B28" s="28" t="s">
        <v>37</v>
      </c>
      <c r="C28" s="28" t="s">
        <v>38</v>
      </c>
      <c r="D28" s="28" t="s">
        <v>39</v>
      </c>
      <c r="E28" s="28" t="s">
        <v>40</v>
      </c>
      <c r="F28" s="30">
        <v>52.623006853604323</v>
      </c>
      <c r="G28" s="29">
        <v>8436752</v>
      </c>
      <c r="H28" s="29">
        <v>16032440</v>
      </c>
      <c r="I28" s="30">
        <v>47.376993146395677</v>
      </c>
      <c r="J28" s="28" t="s">
        <v>2205</v>
      </c>
      <c r="K28" s="28" t="s">
        <v>2209</v>
      </c>
      <c r="L28" s="28" t="s">
        <v>22</v>
      </c>
      <c r="M28" s="28" t="s">
        <v>23</v>
      </c>
    </row>
    <row r="29" spans="1:13" x14ac:dyDescent="0.35">
      <c r="A29" s="28">
        <v>25</v>
      </c>
      <c r="B29" s="28" t="s">
        <v>89</v>
      </c>
      <c r="C29" s="28" t="s">
        <v>90</v>
      </c>
      <c r="D29" s="28" t="s">
        <v>30</v>
      </c>
      <c r="E29" s="28" t="s">
        <v>31</v>
      </c>
      <c r="F29" s="30">
        <v>52.581651457625611</v>
      </c>
      <c r="G29" s="29">
        <v>284187</v>
      </c>
      <c r="H29" s="29">
        <v>540468</v>
      </c>
      <c r="I29" s="30">
        <v>47.418348542374389</v>
      </c>
      <c r="J29" s="28" t="s">
        <v>2205</v>
      </c>
      <c r="K29" s="28" t="s">
        <v>2209</v>
      </c>
      <c r="L29" s="28" t="s">
        <v>84</v>
      </c>
      <c r="M29" s="28" t="s">
        <v>23</v>
      </c>
    </row>
    <row r="30" spans="1:13" ht="26" customHeight="1" x14ac:dyDescent="0.35">
      <c r="A30" s="28">
        <v>26</v>
      </c>
      <c r="B30" s="28" t="s">
        <v>59</v>
      </c>
      <c r="C30" s="28" t="s">
        <v>60</v>
      </c>
      <c r="D30" s="28" t="s">
        <v>43</v>
      </c>
      <c r="E30" s="28" t="s">
        <v>27</v>
      </c>
      <c r="F30" s="30">
        <v>52.501994269984827</v>
      </c>
      <c r="G30" s="29">
        <v>467294</v>
      </c>
      <c r="H30" s="29">
        <v>890050</v>
      </c>
      <c r="I30" s="30">
        <v>47.498005730015173</v>
      </c>
      <c r="J30" s="28" t="s">
        <v>2205</v>
      </c>
      <c r="K30" s="28" t="s">
        <v>2205</v>
      </c>
      <c r="L30" s="28" t="s">
        <v>22</v>
      </c>
      <c r="M30" s="28" t="s">
        <v>23</v>
      </c>
    </row>
    <row r="31" spans="1:13" ht="26" customHeight="1" x14ac:dyDescent="0.35">
      <c r="A31" s="28">
        <v>27</v>
      </c>
      <c r="B31" s="28" t="s">
        <v>115</v>
      </c>
      <c r="C31" s="28" t="s">
        <v>116</v>
      </c>
      <c r="D31" s="28" t="s">
        <v>26</v>
      </c>
      <c r="E31" s="28" t="s">
        <v>27</v>
      </c>
      <c r="F31" s="30">
        <v>52.292263464832871</v>
      </c>
      <c r="G31" s="29">
        <v>2059832</v>
      </c>
      <c r="H31" s="29">
        <v>3939076</v>
      </c>
      <c r="I31" s="30">
        <v>47.707736535167129</v>
      </c>
      <c r="J31" s="28" t="s">
        <v>2205</v>
      </c>
      <c r="K31" s="28" t="s">
        <v>2205</v>
      </c>
      <c r="L31" s="28" t="s">
        <v>84</v>
      </c>
      <c r="M31" s="28" t="s">
        <v>23</v>
      </c>
    </row>
    <row r="32" spans="1:13" x14ac:dyDescent="0.35">
      <c r="A32" s="28">
        <v>28</v>
      </c>
      <c r="B32" s="28" t="s">
        <v>131</v>
      </c>
      <c r="C32" s="28" t="s">
        <v>132</v>
      </c>
      <c r="D32" s="28" t="s">
        <v>30</v>
      </c>
      <c r="E32" s="28" t="s">
        <v>31</v>
      </c>
      <c r="F32" s="30">
        <v>52.101353539358293</v>
      </c>
      <c r="G32" s="29">
        <v>1269450</v>
      </c>
      <c r="H32" s="29">
        <v>2436501</v>
      </c>
      <c r="I32" s="30">
        <v>47.898646460641707</v>
      </c>
      <c r="J32" s="28" t="s">
        <v>2205</v>
      </c>
      <c r="K32" s="28" t="s">
        <v>2205</v>
      </c>
      <c r="L32" s="28" t="s">
        <v>84</v>
      </c>
      <c r="M32" s="28" t="s">
        <v>23</v>
      </c>
    </row>
    <row r="33" spans="1:13" ht="26" customHeight="1" x14ac:dyDescent="0.35">
      <c r="A33" s="28">
        <v>29</v>
      </c>
      <c r="B33" s="28" t="s">
        <v>35</v>
      </c>
      <c r="C33" s="28" t="s">
        <v>36</v>
      </c>
      <c r="D33" s="28" t="s">
        <v>26</v>
      </c>
      <c r="E33" s="28" t="s">
        <v>27</v>
      </c>
      <c r="F33" s="30">
        <v>52.0104003264235</v>
      </c>
      <c r="G33" s="29">
        <v>1352428</v>
      </c>
      <c r="H33" s="29">
        <v>2600303</v>
      </c>
      <c r="I33" s="30">
        <v>47.9895996735765</v>
      </c>
      <c r="J33" s="28" t="s">
        <v>2205</v>
      </c>
      <c r="K33" s="28" t="s">
        <v>2205</v>
      </c>
      <c r="L33" s="28" t="s">
        <v>22</v>
      </c>
      <c r="M33" s="28" t="s">
        <v>23</v>
      </c>
    </row>
    <row r="34" spans="1:13" x14ac:dyDescent="0.35">
      <c r="A34" s="28">
        <v>30</v>
      </c>
      <c r="B34" s="28" t="s">
        <v>107</v>
      </c>
      <c r="C34" s="28" t="s">
        <v>108</v>
      </c>
      <c r="D34" s="28" t="s">
        <v>55</v>
      </c>
      <c r="E34" s="28" t="s">
        <v>21</v>
      </c>
      <c r="F34" s="30">
        <v>51.870566353403142</v>
      </c>
      <c r="G34" s="29">
        <v>782537</v>
      </c>
      <c r="H34" s="29">
        <v>1508634</v>
      </c>
      <c r="I34" s="30">
        <v>48.129433646596858</v>
      </c>
      <c r="J34" s="28" t="s">
        <v>2205</v>
      </c>
      <c r="K34" s="28" t="s">
        <v>2205</v>
      </c>
      <c r="L34" s="28" t="s">
        <v>84</v>
      </c>
      <c r="M34" s="28" t="s">
        <v>23</v>
      </c>
    </row>
    <row r="35" spans="1:13" x14ac:dyDescent="0.35">
      <c r="A35" s="28">
        <v>31</v>
      </c>
      <c r="B35" s="28" t="s">
        <v>123</v>
      </c>
      <c r="C35" s="28" t="s">
        <v>124</v>
      </c>
      <c r="D35" s="28" t="s">
        <v>58</v>
      </c>
      <c r="E35" s="28" t="s">
        <v>40</v>
      </c>
      <c r="F35" s="30">
        <v>51.367808105445917</v>
      </c>
      <c r="G35" s="29">
        <v>1274536</v>
      </c>
      <c r="H35" s="29">
        <v>2481196</v>
      </c>
      <c r="I35" s="30">
        <v>48.632191894554083</v>
      </c>
      <c r="J35" s="28" t="s">
        <v>2205</v>
      </c>
      <c r="K35" s="28" t="s">
        <v>2205</v>
      </c>
      <c r="L35" s="28" t="s">
        <v>84</v>
      </c>
      <c r="M35" s="28" t="s">
        <v>23</v>
      </c>
    </row>
    <row r="36" spans="1:13" x14ac:dyDescent="0.35">
      <c r="A36" s="28">
        <v>32</v>
      </c>
      <c r="B36" s="28" t="s">
        <v>127</v>
      </c>
      <c r="C36" s="28" t="s">
        <v>128</v>
      </c>
      <c r="D36" s="28" t="s">
        <v>39</v>
      </c>
      <c r="E36" s="28" t="s">
        <v>40</v>
      </c>
      <c r="F36" s="30">
        <v>51.259839162038993</v>
      </c>
      <c r="G36" s="29">
        <v>1526660</v>
      </c>
      <c r="H36" s="29">
        <v>2978277</v>
      </c>
      <c r="I36" s="30">
        <v>48.740160837961007</v>
      </c>
      <c r="J36" s="28" t="s">
        <v>2205</v>
      </c>
      <c r="K36" s="28" t="s">
        <v>2205</v>
      </c>
      <c r="L36" s="28" t="s">
        <v>84</v>
      </c>
      <c r="M36" s="28" t="s">
        <v>23</v>
      </c>
    </row>
    <row r="37" spans="1:13" x14ac:dyDescent="0.35">
      <c r="A37" s="28">
        <v>33</v>
      </c>
      <c r="B37" s="28" t="s">
        <v>125</v>
      </c>
      <c r="C37" s="28" t="s">
        <v>126</v>
      </c>
      <c r="D37" s="28" t="s">
        <v>20</v>
      </c>
      <c r="E37" s="28" t="s">
        <v>21</v>
      </c>
      <c r="F37" s="30">
        <v>51.202034139007189</v>
      </c>
      <c r="G37" s="29">
        <v>1952693</v>
      </c>
      <c r="H37" s="29">
        <v>3813702</v>
      </c>
      <c r="I37" s="30">
        <v>48.797965860992811</v>
      </c>
      <c r="J37" s="28" t="s">
        <v>2205</v>
      </c>
      <c r="K37" s="28" t="s">
        <v>2205</v>
      </c>
      <c r="L37" s="28" t="s">
        <v>84</v>
      </c>
      <c r="M37" s="28" t="s">
        <v>23</v>
      </c>
    </row>
    <row r="38" spans="1:13" ht="26" customHeight="1" x14ac:dyDescent="0.35">
      <c r="A38" s="28">
        <v>34</v>
      </c>
      <c r="B38" s="28" t="s">
        <v>63</v>
      </c>
      <c r="C38" s="28" t="s">
        <v>64</v>
      </c>
      <c r="D38" s="28" t="s">
        <v>43</v>
      </c>
      <c r="E38" s="28" t="s">
        <v>27</v>
      </c>
      <c r="F38" s="30">
        <v>51.100363033286747</v>
      </c>
      <c r="G38" s="29">
        <v>626098</v>
      </c>
      <c r="H38" s="29">
        <v>1225232</v>
      </c>
      <c r="I38" s="30">
        <v>48.899636966713253</v>
      </c>
      <c r="J38" s="28" t="s">
        <v>2205</v>
      </c>
      <c r="K38" s="28" t="s">
        <v>2205</v>
      </c>
      <c r="L38" s="28" t="s">
        <v>22</v>
      </c>
      <c r="M38" s="28" t="s">
        <v>23</v>
      </c>
    </row>
    <row r="39" spans="1:13" ht="26" customHeight="1" x14ac:dyDescent="0.35">
      <c r="A39" s="28">
        <v>35</v>
      </c>
      <c r="B39" s="28" t="s">
        <v>93</v>
      </c>
      <c r="C39" s="28" t="s">
        <v>94</v>
      </c>
      <c r="D39" s="28" t="s">
        <v>30</v>
      </c>
      <c r="E39" s="28" t="s">
        <v>31</v>
      </c>
      <c r="F39" s="30">
        <v>50.852651439732249</v>
      </c>
      <c r="G39" s="29">
        <v>268174</v>
      </c>
      <c r="H39" s="29">
        <v>527355</v>
      </c>
      <c r="I39" s="30">
        <v>49.147348560267751</v>
      </c>
      <c r="J39" s="28" t="s">
        <v>2205</v>
      </c>
      <c r="K39" s="28" t="s">
        <v>2205</v>
      </c>
      <c r="L39" s="28" t="s">
        <v>84</v>
      </c>
      <c r="M39" s="28" t="s">
        <v>23</v>
      </c>
    </row>
    <row r="40" spans="1:13" x14ac:dyDescent="0.35">
      <c r="A40" s="28">
        <v>36</v>
      </c>
      <c r="B40" s="28" t="s">
        <v>51</v>
      </c>
      <c r="C40" s="28" t="s">
        <v>52</v>
      </c>
      <c r="D40" s="28" t="s">
        <v>39</v>
      </c>
      <c r="E40" s="28" t="s">
        <v>40</v>
      </c>
      <c r="F40" s="30">
        <v>50.421569207118793</v>
      </c>
      <c r="G40" s="29">
        <v>255834</v>
      </c>
      <c r="H40" s="29">
        <v>507390</v>
      </c>
      <c r="I40" s="30">
        <v>49.578430792881207</v>
      </c>
      <c r="J40" s="28" t="s">
        <v>2205</v>
      </c>
      <c r="K40" s="28" t="s">
        <v>2205</v>
      </c>
      <c r="L40" s="28" t="s">
        <v>22</v>
      </c>
      <c r="M40" s="28" t="s">
        <v>23</v>
      </c>
    </row>
    <row r="41" spans="1:13" ht="26" customHeight="1" x14ac:dyDescent="0.35">
      <c r="A41" s="28">
        <v>37</v>
      </c>
      <c r="B41" s="28" t="s">
        <v>95</v>
      </c>
      <c r="C41" s="28" t="s">
        <v>96</v>
      </c>
      <c r="D41" s="28" t="s">
        <v>55</v>
      </c>
      <c r="E41" s="28" t="s">
        <v>21</v>
      </c>
      <c r="F41" s="30">
        <v>49.708166937288802</v>
      </c>
      <c r="G41" s="29">
        <v>305829</v>
      </c>
      <c r="H41" s="29">
        <v>615249</v>
      </c>
      <c r="I41" s="30">
        <v>50.291833062711198</v>
      </c>
      <c r="J41" s="28" t="s">
        <v>2205</v>
      </c>
      <c r="K41" s="28" t="s">
        <v>2205</v>
      </c>
      <c r="L41" s="28" t="s">
        <v>84</v>
      </c>
      <c r="M41" s="28" t="s">
        <v>23</v>
      </c>
    </row>
    <row r="42" spans="1:13" x14ac:dyDescent="0.35">
      <c r="A42" s="28">
        <v>38</v>
      </c>
      <c r="B42" s="28" t="s">
        <v>97</v>
      </c>
      <c r="C42" s="28" t="s">
        <v>98</v>
      </c>
      <c r="D42" s="28" t="s">
        <v>30</v>
      </c>
      <c r="E42" s="28" t="s">
        <v>31</v>
      </c>
      <c r="F42" s="30">
        <v>49.437312486595673</v>
      </c>
      <c r="G42" s="29">
        <v>209764</v>
      </c>
      <c r="H42" s="29">
        <v>424303</v>
      </c>
      <c r="I42" s="30">
        <v>50.562687513404327</v>
      </c>
      <c r="J42" s="28" t="s">
        <v>2205</v>
      </c>
      <c r="K42" s="28" t="s">
        <v>2205</v>
      </c>
      <c r="L42" s="28" t="s">
        <v>84</v>
      </c>
      <c r="M42" s="28" t="s">
        <v>23</v>
      </c>
    </row>
    <row r="43" spans="1:13" ht="26" customHeight="1" x14ac:dyDescent="0.35">
      <c r="A43" s="28">
        <v>39</v>
      </c>
      <c r="B43" s="28" t="s">
        <v>78</v>
      </c>
      <c r="C43" s="28" t="s">
        <v>79</v>
      </c>
      <c r="D43" s="28" t="s">
        <v>34</v>
      </c>
      <c r="E43" s="28" t="s">
        <v>31</v>
      </c>
      <c r="F43" s="30">
        <v>49.160570397880427</v>
      </c>
      <c r="G43" s="29">
        <v>683562</v>
      </c>
      <c r="H43" s="29">
        <v>1390468</v>
      </c>
      <c r="I43" s="30">
        <v>50.839429602119573</v>
      </c>
      <c r="J43" s="28" t="s">
        <v>2205</v>
      </c>
      <c r="K43" s="28" t="s">
        <v>2205</v>
      </c>
      <c r="L43" s="28" t="s">
        <v>73</v>
      </c>
      <c r="M43" s="28" t="s">
        <v>23</v>
      </c>
    </row>
    <row r="44" spans="1:13" x14ac:dyDescent="0.35">
      <c r="A44" s="28">
        <v>40</v>
      </c>
      <c r="B44" s="28" t="s">
        <v>82</v>
      </c>
      <c r="C44" s="28" t="s">
        <v>83</v>
      </c>
      <c r="D44" s="28" t="s">
        <v>55</v>
      </c>
      <c r="E44" s="28" t="s">
        <v>21</v>
      </c>
      <c r="F44" s="30">
        <v>48.868049592160737</v>
      </c>
      <c r="G44" s="29">
        <v>214541</v>
      </c>
      <c r="H44" s="29">
        <v>439021</v>
      </c>
      <c r="I44" s="30">
        <v>51.131950407839263</v>
      </c>
      <c r="J44" s="28" t="s">
        <v>2205</v>
      </c>
      <c r="K44" s="28" t="s">
        <v>2205</v>
      </c>
      <c r="L44" s="28" t="s">
        <v>84</v>
      </c>
      <c r="M44" s="28" t="s">
        <v>23</v>
      </c>
    </row>
    <row r="45" spans="1:13" x14ac:dyDescent="0.35">
      <c r="A45" s="28">
        <v>41</v>
      </c>
      <c r="B45" s="28" t="s">
        <v>101</v>
      </c>
      <c r="C45" s="28" t="s">
        <v>102</v>
      </c>
      <c r="D45" s="28" t="s">
        <v>58</v>
      </c>
      <c r="E45" s="28" t="s">
        <v>40</v>
      </c>
      <c r="F45" s="30">
        <v>46.691221339408372</v>
      </c>
      <c r="G45" s="29">
        <v>298412</v>
      </c>
      <c r="H45" s="29">
        <v>639118</v>
      </c>
      <c r="I45" s="30">
        <v>53.308778660591628</v>
      </c>
      <c r="J45" s="28" t="s">
        <v>2205</v>
      </c>
      <c r="K45" s="28" t="s">
        <v>2205</v>
      </c>
      <c r="L45" s="28" t="s">
        <v>84</v>
      </c>
      <c r="M45" s="28" t="s">
        <v>23</v>
      </c>
    </row>
    <row r="46" spans="1:13" x14ac:dyDescent="0.35">
      <c r="A46" s="28">
        <v>42</v>
      </c>
      <c r="B46" s="28" t="s">
        <v>105</v>
      </c>
      <c r="C46" s="28" t="s">
        <v>106</v>
      </c>
      <c r="D46" s="28" t="s">
        <v>39</v>
      </c>
      <c r="E46" s="28" t="s">
        <v>40</v>
      </c>
      <c r="F46" s="30">
        <v>46.632781499466653</v>
      </c>
      <c r="G46" s="29">
        <v>777278</v>
      </c>
      <c r="H46" s="29">
        <v>1666806</v>
      </c>
      <c r="I46" s="30">
        <v>53.367218500533347</v>
      </c>
      <c r="J46" s="28" t="s">
        <v>2205</v>
      </c>
      <c r="K46" s="28" t="s">
        <v>2205</v>
      </c>
      <c r="L46" s="28" t="s">
        <v>84</v>
      </c>
      <c r="M46" s="28" t="s">
        <v>23</v>
      </c>
    </row>
    <row r="47" spans="1:13" ht="26" customHeight="1" x14ac:dyDescent="0.35">
      <c r="A47" s="28">
        <v>43</v>
      </c>
      <c r="B47" s="28" t="s">
        <v>69</v>
      </c>
      <c r="C47" s="28" t="s">
        <v>70</v>
      </c>
      <c r="D47" s="28" t="s">
        <v>34</v>
      </c>
      <c r="E47" s="28" t="s">
        <v>31</v>
      </c>
      <c r="F47" s="30">
        <v>45.899542345788049</v>
      </c>
      <c r="G47" s="29">
        <v>754605</v>
      </c>
      <c r="H47" s="29">
        <v>1644036</v>
      </c>
      <c r="I47" s="30">
        <v>54.100457654211951</v>
      </c>
      <c r="J47" s="28" t="s">
        <v>2205</v>
      </c>
      <c r="K47" s="28" t="s">
        <v>2205</v>
      </c>
      <c r="L47" s="28" t="s">
        <v>22</v>
      </c>
      <c r="M47" s="28" t="s">
        <v>23</v>
      </c>
    </row>
    <row r="48" spans="1:13" x14ac:dyDescent="0.35">
      <c r="A48" s="28">
        <v>44</v>
      </c>
      <c r="B48" s="28" t="s">
        <v>71</v>
      </c>
      <c r="C48" s="28" t="s">
        <v>72</v>
      </c>
      <c r="D48" s="28" t="s">
        <v>39</v>
      </c>
      <c r="E48" s="28" t="s">
        <v>40</v>
      </c>
      <c r="F48" s="30">
        <v>45.804040984689003</v>
      </c>
      <c r="G48" s="29">
        <v>117928</v>
      </c>
      <c r="H48" s="29">
        <v>257462</v>
      </c>
      <c r="I48" s="30">
        <v>54.195959015310997</v>
      </c>
      <c r="J48" s="28" t="s">
        <v>2205</v>
      </c>
      <c r="K48" s="28" t="s">
        <v>2205</v>
      </c>
      <c r="L48" s="28" t="s">
        <v>73</v>
      </c>
      <c r="M48" s="28" t="s">
        <v>23</v>
      </c>
    </row>
    <row r="49" spans="1:13" x14ac:dyDescent="0.35">
      <c r="A49" s="28">
        <v>45</v>
      </c>
      <c r="B49" s="28" t="s">
        <v>53</v>
      </c>
      <c r="C49" s="28" t="s">
        <v>54</v>
      </c>
      <c r="D49" s="28" t="s">
        <v>55</v>
      </c>
      <c r="E49" s="28" t="s">
        <v>21</v>
      </c>
      <c r="F49" s="30">
        <v>45.509245973467181</v>
      </c>
      <c r="G49" s="29">
        <v>242633</v>
      </c>
      <c r="H49" s="29">
        <v>533151</v>
      </c>
      <c r="I49" s="30">
        <v>54.490754026532819</v>
      </c>
      <c r="J49" s="28" t="s">
        <v>2205</v>
      </c>
      <c r="K49" s="28" t="s">
        <v>2205</v>
      </c>
      <c r="L49" s="28" t="s">
        <v>22</v>
      </c>
      <c r="M49" s="28" t="s">
        <v>23</v>
      </c>
    </row>
    <row r="50" spans="1:13" x14ac:dyDescent="0.35">
      <c r="A50" s="28">
        <v>46</v>
      </c>
      <c r="B50" s="28" t="s">
        <v>67</v>
      </c>
      <c r="C50" s="28" t="s">
        <v>68</v>
      </c>
      <c r="D50" s="28" t="s">
        <v>58</v>
      </c>
      <c r="E50" s="28" t="s">
        <v>40</v>
      </c>
      <c r="F50" s="30">
        <v>44.01331807786957</v>
      </c>
      <c r="G50" s="29">
        <v>303511</v>
      </c>
      <c r="H50" s="29">
        <v>689589</v>
      </c>
      <c r="I50" s="30">
        <v>55.98668192213043</v>
      </c>
      <c r="J50" s="28" t="s">
        <v>2205</v>
      </c>
      <c r="K50" s="28" t="s">
        <v>2205</v>
      </c>
      <c r="L50" s="28" t="s">
        <v>22</v>
      </c>
      <c r="M50" s="28" t="s">
        <v>23</v>
      </c>
    </row>
    <row r="51" spans="1:13" ht="26" customHeight="1" x14ac:dyDescent="0.35">
      <c r="A51" s="28">
        <v>47</v>
      </c>
      <c r="B51" s="28" t="s">
        <v>76</v>
      </c>
      <c r="C51" s="28" t="s">
        <v>77</v>
      </c>
      <c r="D51" s="28" t="s">
        <v>43</v>
      </c>
      <c r="E51" s="28" t="s">
        <v>27</v>
      </c>
      <c r="F51" s="30">
        <v>42.393784048255412</v>
      </c>
      <c r="G51" s="29">
        <v>145133</v>
      </c>
      <c r="H51" s="29">
        <v>342345</v>
      </c>
      <c r="I51" s="30">
        <v>57.606215951744588</v>
      </c>
      <c r="J51" s="28" t="s">
        <v>2205</v>
      </c>
      <c r="K51" s="28" t="s">
        <v>2205</v>
      </c>
      <c r="L51" s="28" t="s">
        <v>73</v>
      </c>
      <c r="M51" s="28" t="s">
        <v>23</v>
      </c>
    </row>
    <row r="52" spans="1:13" ht="26" customHeight="1" x14ac:dyDescent="0.35">
      <c r="A52" s="28">
        <v>48</v>
      </c>
      <c r="B52" s="28" t="s">
        <v>80</v>
      </c>
      <c r="C52" s="28" t="s">
        <v>81</v>
      </c>
      <c r="D52" s="28" t="s">
        <v>43</v>
      </c>
      <c r="E52" s="28" t="s">
        <v>27</v>
      </c>
      <c r="F52" s="30">
        <v>42.036253921891173</v>
      </c>
      <c r="G52" s="29">
        <v>157158</v>
      </c>
      <c r="H52" s="29">
        <v>373863</v>
      </c>
      <c r="I52" s="30">
        <v>57.963746078108827</v>
      </c>
      <c r="J52" s="28" t="s">
        <v>2205</v>
      </c>
      <c r="K52" s="28" t="s">
        <v>2205</v>
      </c>
      <c r="L52" s="28" t="s">
        <v>73</v>
      </c>
      <c r="M52" s="28" t="s">
        <v>23</v>
      </c>
    </row>
    <row r="53" spans="1:13" x14ac:dyDescent="0.35">
      <c r="A53" s="28">
        <v>49</v>
      </c>
      <c r="B53" s="28" t="s">
        <v>87</v>
      </c>
      <c r="C53" s="28" t="s">
        <v>88</v>
      </c>
      <c r="D53" s="28" t="s">
        <v>55</v>
      </c>
      <c r="E53" s="28" t="s">
        <v>21</v>
      </c>
      <c r="F53" s="30">
        <v>37.926522079136717</v>
      </c>
      <c r="G53" s="29">
        <v>96512</v>
      </c>
      <c r="H53" s="29">
        <v>254471</v>
      </c>
      <c r="I53" s="30">
        <v>62.073477920863283</v>
      </c>
      <c r="J53" s="28" t="s">
        <v>2205</v>
      </c>
      <c r="K53" s="28" t="s">
        <v>2205</v>
      </c>
      <c r="L53" s="28" t="s">
        <v>84</v>
      </c>
      <c r="M53" s="28" t="s">
        <v>23</v>
      </c>
    </row>
    <row r="54" spans="1:13" x14ac:dyDescent="0.35">
      <c r="A54" s="28">
        <v>50</v>
      </c>
      <c r="B54" s="28" t="s">
        <v>65</v>
      </c>
      <c r="C54" s="28" t="s">
        <v>66</v>
      </c>
      <c r="D54" s="28" t="s">
        <v>58</v>
      </c>
      <c r="E54" s="28" t="s">
        <v>40</v>
      </c>
      <c r="F54" s="30">
        <v>34.79790793369996</v>
      </c>
      <c r="G54" s="29">
        <v>72388</v>
      </c>
      <c r="H54" s="29">
        <v>208024</v>
      </c>
      <c r="I54" s="30">
        <v>65.20209206630004</v>
      </c>
      <c r="J54" s="28" t="s">
        <v>2205</v>
      </c>
      <c r="K54" s="28" t="s">
        <v>2205</v>
      </c>
      <c r="L54" s="28" t="s">
        <v>22</v>
      </c>
      <c r="M54" s="28" t="s">
        <v>23</v>
      </c>
    </row>
    <row r="55" spans="1:13" x14ac:dyDescent="0.35">
      <c r="A55" s="28">
        <v>51</v>
      </c>
      <c r="B55" s="28" t="s">
        <v>56</v>
      </c>
      <c r="C55" s="28" t="s">
        <v>57</v>
      </c>
      <c r="D55" s="28" t="s">
        <v>58</v>
      </c>
      <c r="E55" s="28" t="s">
        <v>40</v>
      </c>
      <c r="F55" s="30">
        <v>33.671036500522717</v>
      </c>
      <c r="G55" s="29">
        <v>134304</v>
      </c>
      <c r="H55" s="29">
        <v>398871</v>
      </c>
      <c r="I55" s="30">
        <v>66.328963499477268</v>
      </c>
      <c r="J55" s="28" t="s">
        <v>2205</v>
      </c>
      <c r="K55" s="28" t="s">
        <v>2205</v>
      </c>
      <c r="L55" s="28" t="s">
        <v>22</v>
      </c>
      <c r="M55" s="28" t="s">
        <v>23</v>
      </c>
    </row>
    <row r="57" spans="1:13" ht="32" customHeight="1" x14ac:dyDescent="0.35">
      <c r="A57" s="33" t="s">
        <v>3243</v>
      </c>
      <c r="B57" s="34"/>
      <c r="C57" s="34"/>
      <c r="D57" s="34"/>
      <c r="E57" s="34"/>
      <c r="F57" s="34"/>
      <c r="G57" s="34"/>
      <c r="H57" s="34"/>
    </row>
    <row r="58" spans="1:13" ht="32" customHeight="1" x14ac:dyDescent="0.35">
      <c r="A58" s="33" t="s">
        <v>3244</v>
      </c>
      <c r="B58" s="34"/>
      <c r="C58" s="34"/>
      <c r="D58" s="34"/>
      <c r="E58" s="34"/>
      <c r="F58" s="34"/>
      <c r="G58" s="34"/>
      <c r="H58" s="34"/>
    </row>
  </sheetData>
  <autoFilter ref="A4:M55" xr:uid="{00000000-0009-0000-0000-000023000000}"/>
  <mergeCells count="4">
    <mergeCell ref="A57:H57"/>
    <mergeCell ref="A2:L2"/>
    <mergeCell ref="A1:L1"/>
    <mergeCell ref="A58:H58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J54"/>
  <sheetViews>
    <sheetView tabSelected="1" zoomScale="55" zoomScaleNormal="55" workbookViewId="0">
      <pane ySplit="1" topLeftCell="A2" activePane="bottomLeft" state="frozen"/>
      <selection pane="bottomLeft" activeCell="X43" sqref="X43"/>
    </sheetView>
  </sheetViews>
  <sheetFormatPr defaultRowHeight="14.5" x14ac:dyDescent="0.35"/>
  <cols>
    <col min="1" max="1" width="22.90625" style="42" bestFit="1" customWidth="1"/>
    <col min="2" max="2" width="13.36328125" style="42" customWidth="1"/>
    <col min="3" max="3" width="14.08984375" style="42" customWidth="1"/>
    <col min="4" max="4" width="21.1796875" style="42" customWidth="1"/>
    <col min="5" max="5" width="18.08984375" style="42" customWidth="1"/>
    <col min="6" max="6" width="27" style="42" customWidth="1"/>
    <col min="7" max="7" width="26.90625" style="42" customWidth="1"/>
    <col min="8" max="8" width="18.453125" style="42" customWidth="1"/>
    <col min="9" max="9" width="16.54296875" style="42" customWidth="1"/>
    <col min="10" max="10" width="16.6328125" style="42" customWidth="1"/>
    <col min="11" max="16384" width="8.7265625" style="42"/>
  </cols>
  <sheetData>
    <row r="1" spans="1:10" ht="32" customHeight="1" x14ac:dyDescent="0.35">
      <c r="A1" s="52" t="s">
        <v>3109</v>
      </c>
      <c r="B1" s="53" t="s">
        <v>3245</v>
      </c>
      <c r="C1" s="53" t="s">
        <v>3246</v>
      </c>
      <c r="D1" s="53" t="s">
        <v>3247</v>
      </c>
      <c r="E1" s="53" t="s">
        <v>3248</v>
      </c>
      <c r="F1" s="53" t="s">
        <v>3249</v>
      </c>
      <c r="G1" s="53" t="s">
        <v>3250</v>
      </c>
      <c r="H1" s="53" t="s">
        <v>3254</v>
      </c>
      <c r="I1" s="53" t="s">
        <v>3251</v>
      </c>
      <c r="J1" s="54" t="s">
        <v>3252</v>
      </c>
    </row>
    <row r="2" spans="1:10" ht="18" customHeight="1" x14ac:dyDescent="0.35">
      <c r="A2" s="46" t="s">
        <v>49</v>
      </c>
      <c r="B2" s="43">
        <f>IFERROR(IF(ISBLANK(INDEX('Dens-A-CvC'!$A$5:$P$55,MATCH($A2,'Dens-A-CvC'!$B$5:$B$55,0),MATCH("charter_est_units",'Dens-A-CvC'!$A$4:$P$4,0))),"",INDEX('Dens-A-CvC'!$A$5:$P$55,MATCH($A2,'Dens-A-CvC'!$B$5:$B$55,0),MATCH("charter_est_units",'Dens-A-CvC'!$A$4:$P$4,0))),"")</f>
        <v>1127304</v>
      </c>
      <c r="C2" s="43">
        <f>IFERROR(IF(ISBLANK(INDEX('Dens-A-CvC'!$A$5:$P$55,MATCH($A2,'Dens-A-CvC'!$B$5:$B$55,0),MATCH("comcast_est_units",'Dens-A-CvC'!$A$4:$P$4,0))),"",INDEX('Dens-A-CvC'!$A$5:$P$55,MATCH($A2,'Dens-A-CvC'!$B$5:$B$55,0),MATCH("comcast_est_units",'Dens-A-CvC'!$A$4:$P$4,0))),"")</f>
        <v>528365</v>
      </c>
      <c r="D2" s="43">
        <f>IFERROR(IF(ISBLANK(INDEX('Dens-A-CvC'!$A$5:$P$55,MATCH($A2,'Dens-A-CvC'!$B$5:$B$55,0),MATCH("total_residential_units",'Dens-A-CvC'!$A$4:$P$4,0))),"",INDEX('Dens-A-CvC'!$A$5:$P$55,MATCH($A2,'Dens-A-CvC'!$B$5:$B$55,0),MATCH("total_residential_units",'Dens-A-CvC'!$A$4:$P$4,0))),"")</f>
        <v>2683418</v>
      </c>
      <c r="E2" s="43">
        <f>IFERROR(IF(ISBLANK(INDEX('Dens-B-WFH'!$A$5:$L$55,MATCH($A2,'Dens-B-WFH'!$B$5:$B$55,0),MATCH("acs_worked_from_home",'Dens-B-WFH'!$A$4:$L$4,0))),"",INDEX('Dens-B-WFH'!$A$5:$L$55,MATCH($A2,'Dens-B-WFH'!$B$5:$B$55,0),MATCH("acs_worked_from_home",'Dens-B-WFH'!$A$4:$L$4,0))),"")</f>
        <v>193754</v>
      </c>
      <c r="F2" s="43">
        <f>IFERROR(IF(ISBLANK(INDEX('Dens-C-Large'!$A$5:$M$55,MATCH($A2,'Dens-C-Large'!$B$5:$B$55,0),MATCH("susb_employment_ge500",'Dens-C-Large'!$A$4:$M$4,0))),"",INDEX('Dens-C-Large'!$A$5:$M$55,MATCH($A2,'Dens-C-Large'!$B$5:$B$55,0),MATCH("susb_employment_ge500",'Dens-C-Large'!$A$4:$M$4,0))),"")</f>
        <v>960807</v>
      </c>
      <c r="G2" s="43">
        <f>IFERROR(IF(ISBLANK(INDEX('Dens-C-Large'!$A$5:$M$55,MATCH($A2,'Dens-C-Large'!$B$5:$B$55,0),MATCH("susb_employment_total",'Dens-C-Large'!$A$4:$M$4,0))),"",INDEX('Dens-C-Large'!$A$5:$M$55,MATCH($A2,'Dens-C-Large'!$B$5:$B$55,0),MATCH("susb_employment_total",'Dens-C-Large'!$A$4:$M$4,0))),"")</f>
        <v>1777657</v>
      </c>
      <c r="H2" s="55">
        <f>IF(Table2[[#This Row],[Charter Units]]&lt;&gt;"", Table2[[#This Row],[Charter Units]]/Table2[[#This Row],[Total Residential Units]], "")</f>
        <v>0.42010003659511863</v>
      </c>
      <c r="I2" s="44">
        <f>IFERROR(IF(ISBLANK(INDEX('Dens-B-WFH'!$A$5:$L$55,MATCH($A2,'Dens-B-WFH'!$B$5:$B$55,0),MATCH("acs_wfh_rate_pct",'Dens-B-WFH'!$A$4:$L$4,0))),"",INDEX('Dens-B-WFH'!$A$5:$L$55,MATCH($A2,'Dens-B-WFH'!$B$5:$B$55,0),MATCH("acs_wfh_rate_pct",'Dens-B-WFH'!$A$4:$L$4,0))/100),"")</f>
        <v>8.3375181431407194E-2</v>
      </c>
      <c r="J2" s="47">
        <f>IFERROR(IF(ISBLANK(INDEX('Dens-C-Large'!$A$5:$M$55,MATCH($A2,'Dens-C-Large'!$B$5:$B$55,0),MATCH("susb_share_ge500_pct",'Dens-C-Large'!$A$4:$M$4,0))),"",INDEX('Dens-C-Large'!$A$5:$M$55,MATCH($A2,'Dens-C-Large'!$B$5:$B$55,0),MATCH("susb_share_ge500_pct",'Dens-C-Large'!$A$4:$M$4,0))/100),"")</f>
        <v>0.54049065708401556</v>
      </c>
    </row>
    <row r="3" spans="1:10" ht="18" customHeight="1" x14ac:dyDescent="0.35">
      <c r="A3" s="46" t="s">
        <v>71</v>
      </c>
      <c r="B3" s="43" t="str">
        <f>IFERROR(IF(ISBLANK(INDEX('Dens-A-CvC'!$A$5:$P$55,MATCH($A3,'Dens-A-CvC'!$B$5:$B$55,0),MATCH("charter_est_units",'Dens-A-CvC'!$A$4:$P$4,0))),"",INDEX('Dens-A-CvC'!$A$5:$P$55,MATCH($A3,'Dens-A-CvC'!$B$5:$B$55,0),MATCH("charter_est_units",'Dens-A-CvC'!$A$4:$P$4,0))),"")</f>
        <v/>
      </c>
      <c r="C3" s="43" t="str">
        <f>IFERROR(IF(ISBLANK(INDEX('Dens-A-CvC'!$A$5:$P$55,MATCH($A3,'Dens-A-CvC'!$B$5:$B$55,0),MATCH("comcast_est_units",'Dens-A-CvC'!$A$4:$P$4,0))),"",INDEX('Dens-A-CvC'!$A$5:$P$55,MATCH($A3,'Dens-A-CvC'!$B$5:$B$55,0),MATCH("comcast_est_units",'Dens-A-CvC'!$A$4:$P$4,0))),"")</f>
        <v/>
      </c>
      <c r="D3" s="43">
        <f>IFERROR(IF(ISBLANK(INDEX('Dens-A-CvC'!$A$5:$P$55,MATCH($A3,'Dens-A-CvC'!$B$5:$B$55,0),MATCH("total_residential_units",'Dens-A-CvC'!$A$4:$P$4,0))),"",INDEX('Dens-A-CvC'!$A$5:$P$55,MATCH($A3,'Dens-A-CvC'!$B$5:$B$55,0),MATCH("total_residential_units",'Dens-A-CvC'!$A$4:$P$4,0))),"")</f>
        <v>383830</v>
      </c>
      <c r="E3" s="43">
        <f>IFERROR(IF(ISBLANK(INDEX('Dens-B-WFH'!$A$5:$L$55,MATCH($A3,'Dens-B-WFH'!$B$5:$B$55,0),MATCH("acs_worked_from_home",'Dens-B-WFH'!$A$4:$L$4,0))),"",INDEX('Dens-B-WFH'!$A$5:$L$55,MATCH($A3,'Dens-B-WFH'!$B$5:$B$55,0),MATCH("acs_worked_from_home",'Dens-B-WFH'!$A$4:$L$4,0))),"")</f>
        <v>30477</v>
      </c>
      <c r="F3" s="43">
        <f>IFERROR(IF(ISBLANK(INDEX('Dens-C-Large'!$A$5:$M$55,MATCH($A3,'Dens-C-Large'!$B$5:$B$55,0),MATCH("susb_employment_ge500",'Dens-C-Large'!$A$4:$M$4,0))),"",INDEX('Dens-C-Large'!$A$5:$M$55,MATCH($A3,'Dens-C-Large'!$B$5:$B$55,0),MATCH("susb_employment_ge500",'Dens-C-Large'!$A$4:$M$4,0))),"")</f>
        <v>117928</v>
      </c>
      <c r="G3" s="43">
        <f>IFERROR(IF(ISBLANK(INDEX('Dens-C-Large'!$A$5:$M$55,MATCH($A3,'Dens-C-Large'!$B$5:$B$55,0),MATCH("susb_employment_total",'Dens-C-Large'!$A$4:$M$4,0))),"",INDEX('Dens-C-Large'!$A$5:$M$55,MATCH($A3,'Dens-C-Large'!$B$5:$B$55,0),MATCH("susb_employment_total",'Dens-C-Large'!$A$4:$M$4,0))),"")</f>
        <v>257462</v>
      </c>
      <c r="H3" s="55" t="e">
        <f>IF(Table2[[#This Row],[Charter Units]]&lt;&gt;"N/A", Table2[[#This Row],[Charter Units]]/Table2[[#This Row],[Total Residential Units]], "")</f>
        <v>#VALUE!</v>
      </c>
      <c r="I3" s="44">
        <f>IFERROR(IF(ISBLANK(INDEX('Dens-B-WFH'!$A$5:$L$55,MATCH($A3,'Dens-B-WFH'!$B$5:$B$55,0),MATCH("acs_wfh_rate_pct",'Dens-B-WFH'!$A$4:$L$4,0))),"",INDEX('Dens-B-WFH'!$A$5:$L$55,MATCH($A3,'Dens-B-WFH'!$B$5:$B$55,0),MATCH("acs_wfh_rate_pct",'Dens-B-WFH'!$A$4:$L$4,0))/100),"")</f>
        <v>8.4194561623059647E-2</v>
      </c>
      <c r="J3" s="47">
        <f>IFERROR(IF(ISBLANK(INDEX('Dens-C-Large'!$A$5:$M$55,MATCH($A3,'Dens-C-Large'!$B$5:$B$55,0),MATCH("susb_share_ge500_pct",'Dens-C-Large'!$A$4:$M$4,0))),"",INDEX('Dens-C-Large'!$A$5:$M$55,MATCH($A3,'Dens-C-Large'!$B$5:$B$55,0),MATCH("susb_share_ge500_pct",'Dens-C-Large'!$A$4:$M$4,0))/100),"")</f>
        <v>0.45804040984689004</v>
      </c>
    </row>
    <row r="4" spans="1:10" ht="18" customHeight="1" x14ac:dyDescent="0.35">
      <c r="A4" s="46" t="s">
        <v>85</v>
      </c>
      <c r="B4" s="43">
        <f>IFERROR(IF(ISBLANK(INDEX('Dens-A-CvC'!$A$5:$P$55,MATCH($A4,'Dens-A-CvC'!$B$5:$B$55,0),MATCH("charter_est_units",'Dens-A-CvC'!$A$4:$P$4,0))),"",INDEX('Dens-A-CvC'!$A$5:$P$55,MATCH($A4,'Dens-A-CvC'!$B$5:$B$55,0),MATCH("charter_est_units",'Dens-A-CvC'!$A$4:$P$4,0))),"")</f>
        <v>94903</v>
      </c>
      <c r="C4" s="43">
        <f>IFERROR(IF(ISBLANK(INDEX('Dens-A-CvC'!$A$5:$P$55,MATCH($A4,'Dens-A-CvC'!$B$5:$B$55,0),MATCH("comcast_est_units",'Dens-A-CvC'!$A$4:$P$4,0))),"",INDEX('Dens-A-CvC'!$A$5:$P$55,MATCH($A4,'Dens-A-CvC'!$B$5:$B$55,0),MATCH("comcast_est_units",'Dens-A-CvC'!$A$4:$P$4,0))),"")</f>
        <v>186210</v>
      </c>
      <c r="D4" s="43">
        <f>IFERROR(IF(ISBLANK(INDEX('Dens-A-CvC'!$A$5:$P$55,MATCH($A4,'Dens-A-CvC'!$B$5:$B$55,0),MATCH("total_residential_units",'Dens-A-CvC'!$A$4:$P$4,0))),"",INDEX('Dens-A-CvC'!$A$5:$P$55,MATCH($A4,'Dens-A-CvC'!$B$5:$B$55,0),MATCH("total_residential_units",'Dens-A-CvC'!$A$4:$P$4,0))),"")</f>
        <v>3594796</v>
      </c>
      <c r="E4" s="43">
        <f>IFERROR(IF(ISBLANK(INDEX('Dens-B-WFH'!$A$5:$L$55,MATCH($A4,'Dens-B-WFH'!$B$5:$B$55,0),MATCH("acs_worked_from_home",'Dens-B-WFH'!$A$4:$L$4,0))),"",INDEX('Dens-B-WFH'!$A$5:$L$55,MATCH($A4,'Dens-B-WFH'!$B$5:$B$55,0),MATCH("acs_worked_from_home",'Dens-B-WFH'!$A$4:$L$4,0))),"")</f>
        <v>582289</v>
      </c>
      <c r="F4" s="43">
        <f>IFERROR(IF(ISBLANK(INDEX('Dens-C-Large'!$A$5:$M$55,MATCH($A4,'Dens-C-Large'!$B$5:$B$55,0),MATCH("susb_employment_ge500",'Dens-C-Large'!$A$4:$M$4,0))),"",INDEX('Dens-C-Large'!$A$5:$M$55,MATCH($A4,'Dens-C-Large'!$B$5:$B$55,0),MATCH("susb_employment_ge500",'Dens-C-Large'!$A$4:$M$4,0))),"")</f>
        <v>1601312</v>
      </c>
      <c r="G4" s="43">
        <f>IFERROR(IF(ISBLANK(INDEX('Dens-C-Large'!$A$5:$M$55,MATCH($A4,'Dens-C-Large'!$B$5:$B$55,0),MATCH("susb_employment_total",'Dens-C-Large'!$A$4:$M$4,0))),"",INDEX('Dens-C-Large'!$A$5:$M$55,MATCH($A4,'Dens-C-Large'!$B$5:$B$55,0),MATCH("susb_employment_total",'Dens-C-Large'!$A$4:$M$4,0))),"")</f>
        <v>2787701</v>
      </c>
      <c r="H4" s="55">
        <f>IF(Table2[[#This Row],[Charter Units]]&lt;&gt;"", Table2[[#This Row],[Charter Units]]/Table2[[#This Row],[Total Residential Units]], "")</f>
        <v>2.6400107266170321E-2</v>
      </c>
      <c r="I4" s="44">
        <f>IFERROR(IF(ISBLANK(INDEX('Dens-B-WFH'!$A$5:$L$55,MATCH($A4,'Dens-B-WFH'!$B$5:$B$55,0),MATCH("acs_wfh_rate_pct",'Dens-B-WFH'!$A$4:$L$4,0))),"",INDEX('Dens-B-WFH'!$A$5:$L$55,MATCH($A4,'Dens-B-WFH'!$B$5:$B$55,0),MATCH("acs_wfh_rate_pct",'Dens-B-WFH'!$A$4:$L$4,0))/100),"")</f>
        <v>0.16302054243219602</v>
      </c>
      <c r="J4" s="47">
        <f>IFERROR(IF(ISBLANK(INDEX('Dens-C-Large'!$A$5:$M$55,MATCH($A4,'Dens-C-Large'!$B$5:$B$55,0),MATCH("susb_share_ge500_pct",'Dens-C-Large'!$A$4:$M$4,0))),"",INDEX('Dens-C-Large'!$A$5:$M$55,MATCH($A4,'Dens-C-Large'!$B$5:$B$55,0),MATCH("susb_share_ge500_pct",'Dens-C-Large'!$A$4:$M$4,0))/100),"")</f>
        <v>0.57442028395441258</v>
      </c>
    </row>
    <row r="5" spans="1:10" ht="18" customHeight="1" x14ac:dyDescent="0.35">
      <c r="A5" s="46" t="s">
        <v>91</v>
      </c>
      <c r="B5" s="43" t="str">
        <f>IFERROR(IF(ISBLANK(INDEX('Dens-A-CvC'!$A$5:$P$55,MATCH($A5,'Dens-A-CvC'!$B$5:$B$55,0),MATCH("charter_est_units",'Dens-A-CvC'!$A$4:$P$4,0))),"",INDEX('Dens-A-CvC'!$A$5:$P$55,MATCH($A5,'Dens-A-CvC'!$B$5:$B$55,0),MATCH("charter_est_units",'Dens-A-CvC'!$A$4:$P$4,0))),"")</f>
        <v/>
      </c>
      <c r="C5" s="43">
        <f>IFERROR(IF(ISBLANK(INDEX('Dens-A-CvC'!$A$5:$P$55,MATCH($A5,'Dens-A-CvC'!$B$5:$B$55,0),MATCH("comcast_est_units",'Dens-A-CvC'!$A$4:$P$4,0))),"",INDEX('Dens-A-CvC'!$A$5:$P$55,MATCH($A5,'Dens-A-CvC'!$B$5:$B$55,0),MATCH("comcast_est_units",'Dens-A-CvC'!$A$4:$P$4,0))),"")</f>
        <v>262392</v>
      </c>
      <c r="D5" s="43">
        <f>IFERROR(IF(ISBLANK(INDEX('Dens-A-CvC'!$A$5:$P$55,MATCH($A5,'Dens-A-CvC'!$B$5:$B$55,0),MATCH("total_residential_units",'Dens-A-CvC'!$A$4:$P$4,0))),"",INDEX('Dens-A-CvC'!$A$5:$P$55,MATCH($A5,'Dens-A-CvC'!$B$5:$B$55,0),MATCH("total_residential_units",'Dens-A-CvC'!$A$4:$P$4,0))),"")</f>
        <v>1608780</v>
      </c>
      <c r="E5" s="43">
        <f>IFERROR(IF(ISBLANK(INDEX('Dens-B-WFH'!$A$5:$L$55,MATCH($A5,'Dens-B-WFH'!$B$5:$B$55,0),MATCH("acs_worked_from_home",'Dens-B-WFH'!$A$4:$L$4,0))),"",INDEX('Dens-B-WFH'!$A$5:$L$55,MATCH($A5,'Dens-B-WFH'!$B$5:$B$55,0),MATCH("acs_worked_from_home",'Dens-B-WFH'!$A$4:$L$4,0))),"")</f>
        <v>119058</v>
      </c>
      <c r="F5" s="43">
        <f>IFERROR(IF(ISBLANK(INDEX('Dens-C-Large'!$A$5:$M$55,MATCH($A5,'Dens-C-Large'!$B$5:$B$55,0),MATCH("susb_employment_ge500",'Dens-C-Large'!$A$4:$M$4,0))),"",INDEX('Dens-C-Large'!$A$5:$M$55,MATCH($A5,'Dens-C-Large'!$B$5:$B$55,0),MATCH("susb_employment_ge500",'Dens-C-Large'!$A$4:$M$4,0))),"")</f>
        <v>587532</v>
      </c>
      <c r="G5" s="43">
        <f>IFERROR(IF(ISBLANK(INDEX('Dens-C-Large'!$A$5:$M$55,MATCH($A5,'Dens-C-Large'!$B$5:$B$55,0),MATCH("susb_employment_total",'Dens-C-Large'!$A$4:$M$4,0))),"",INDEX('Dens-C-Large'!$A$5:$M$55,MATCH($A5,'Dens-C-Large'!$B$5:$B$55,0),MATCH("susb_employment_total",'Dens-C-Large'!$A$4:$M$4,0))),"")</f>
        <v>1089044</v>
      </c>
      <c r="H5" s="55" t="str">
        <f>IF(Table2[[#This Row],[Charter Units]]&lt;&gt;"", Table2[[#This Row],[Charter Units]]/Table2[[#This Row],[Total Residential Units]], "")</f>
        <v/>
      </c>
      <c r="I5" s="44">
        <f>IFERROR(IF(ISBLANK(INDEX('Dens-B-WFH'!$A$5:$L$55,MATCH($A5,'Dens-B-WFH'!$B$5:$B$55,0),MATCH("acs_wfh_rate_pct",'Dens-B-WFH'!$A$4:$L$4,0))),"",INDEX('Dens-B-WFH'!$A$5:$L$55,MATCH($A5,'Dens-B-WFH'!$B$5:$B$55,0),MATCH("acs_wfh_rate_pct",'Dens-B-WFH'!$A$4:$L$4,0))/100),"")</f>
        <v>8.5860166588540732E-2</v>
      </c>
      <c r="J5" s="47">
        <f>IFERROR(IF(ISBLANK(INDEX('Dens-C-Large'!$A$5:$M$55,MATCH($A5,'Dens-C-Large'!$B$5:$B$55,0),MATCH("susb_share_ge500_pct",'Dens-C-Large'!$A$4:$M$4,0))),"",INDEX('Dens-C-Large'!$A$5:$M$55,MATCH($A5,'Dens-C-Large'!$B$5:$B$55,0),MATCH("susb_share_ge500_pct",'Dens-C-Large'!$A$4:$M$4,0))/100),"")</f>
        <v>0.53949335380388663</v>
      </c>
    </row>
    <row r="6" spans="1:10" ht="18" customHeight="1" x14ac:dyDescent="0.35">
      <c r="A6" s="46" t="s">
        <v>37</v>
      </c>
      <c r="B6" s="43">
        <f>IFERROR(IF(ISBLANK(INDEX('Dens-A-CvC'!$A$5:$P$55,MATCH($A6,'Dens-A-CvC'!$B$5:$B$55,0),MATCH("charter_est_units",'Dens-A-CvC'!$A$4:$P$4,0))),"",INDEX('Dens-A-CvC'!$A$5:$P$55,MATCH($A6,'Dens-A-CvC'!$B$5:$B$55,0),MATCH("charter_est_units",'Dens-A-CvC'!$A$4:$P$4,0))),"")</f>
        <v>7651506</v>
      </c>
      <c r="C6" s="43">
        <f>IFERROR(IF(ISBLANK(INDEX('Dens-A-CvC'!$A$5:$P$55,MATCH($A6,'Dens-A-CvC'!$B$5:$B$55,0),MATCH("comcast_est_units",'Dens-A-CvC'!$A$4:$P$4,0))),"",INDEX('Dens-A-CvC'!$A$5:$P$55,MATCH($A6,'Dens-A-CvC'!$B$5:$B$55,0),MATCH("comcast_est_units",'Dens-A-CvC'!$A$4:$P$4,0))),"")</f>
        <v>5492345</v>
      </c>
      <c r="D6" s="43">
        <f>IFERROR(IF(ISBLANK(INDEX('Dens-A-CvC'!$A$5:$P$55,MATCH($A6,'Dens-A-CvC'!$B$5:$B$55,0),MATCH("total_residential_units",'Dens-A-CvC'!$A$4:$P$4,0))),"",INDEX('Dens-A-CvC'!$A$5:$P$55,MATCH($A6,'Dens-A-CvC'!$B$5:$B$55,0),MATCH("total_residential_units",'Dens-A-CvC'!$A$4:$P$4,0))),"")</f>
        <v>16283265</v>
      </c>
      <c r="E6" s="43">
        <f>IFERROR(IF(ISBLANK(INDEX('Dens-B-WFH'!$A$5:$L$55,MATCH($A6,'Dens-B-WFH'!$B$5:$B$55,0),MATCH("acs_worked_from_home",'Dens-B-WFH'!$A$4:$L$4,0))),"",INDEX('Dens-B-WFH'!$A$5:$L$55,MATCH($A6,'Dens-B-WFH'!$B$5:$B$55,0),MATCH("acs_worked_from_home",'Dens-B-WFH'!$A$4:$L$4,0))),"")</f>
        <v>2672106</v>
      </c>
      <c r="F6" s="43">
        <f>IFERROR(IF(ISBLANK(INDEX('Dens-C-Large'!$A$5:$M$55,MATCH($A6,'Dens-C-Large'!$B$5:$B$55,0),MATCH("susb_employment_ge500",'Dens-C-Large'!$A$4:$M$4,0))),"",INDEX('Dens-C-Large'!$A$5:$M$55,MATCH($A6,'Dens-C-Large'!$B$5:$B$55,0),MATCH("susb_employment_ge500",'Dens-C-Large'!$A$4:$M$4,0))),"")</f>
        <v>8436752</v>
      </c>
      <c r="G6" s="43">
        <f>IFERROR(IF(ISBLANK(INDEX('Dens-C-Large'!$A$5:$M$55,MATCH($A6,'Dens-C-Large'!$B$5:$B$55,0),MATCH("susb_employment_total",'Dens-C-Large'!$A$4:$M$4,0))),"",INDEX('Dens-C-Large'!$A$5:$M$55,MATCH($A6,'Dens-C-Large'!$B$5:$B$55,0),MATCH("susb_employment_total",'Dens-C-Large'!$A$4:$M$4,0))),"")</f>
        <v>16032440</v>
      </c>
      <c r="H6" s="55">
        <f>IF(Table2[[#This Row],[Charter Units]]&lt;&gt;"", Table2[[#This Row],[Charter Units]]/Table2[[#This Row],[Total Residential Units]], "")</f>
        <v>0.4698999862742515</v>
      </c>
      <c r="I6" s="44">
        <f>IFERROR(IF(ISBLANK(INDEX('Dens-B-WFH'!$A$5:$L$55,MATCH($A6,'Dens-B-WFH'!$B$5:$B$55,0),MATCH("acs_wfh_rate_pct",'Dens-B-WFH'!$A$4:$L$4,0))),"",INDEX('Dens-B-WFH'!$A$5:$L$55,MATCH($A6,'Dens-B-WFH'!$B$5:$B$55,0),MATCH("acs_wfh_rate_pct",'Dens-B-WFH'!$A$4:$L$4,0))/100),"")</f>
        <v>0.14142788866382941</v>
      </c>
      <c r="J6" s="47">
        <f>IFERROR(IF(ISBLANK(INDEX('Dens-C-Large'!$A$5:$M$55,MATCH($A6,'Dens-C-Large'!$B$5:$B$55,0),MATCH("susb_share_ge500_pct",'Dens-C-Large'!$A$4:$M$4,0))),"",INDEX('Dens-C-Large'!$A$5:$M$55,MATCH($A6,'Dens-C-Large'!$B$5:$B$55,0),MATCH("susb_share_ge500_pct",'Dens-C-Large'!$A$4:$M$4,0))/100),"")</f>
        <v>0.52623006853604326</v>
      </c>
    </row>
    <row r="7" spans="1:10" ht="18" customHeight="1" x14ac:dyDescent="0.35">
      <c r="A7" s="46" t="s">
        <v>123</v>
      </c>
      <c r="B7" s="43">
        <f>IFERROR(IF(ISBLANK(INDEX('Dens-A-CvC'!$A$5:$P$55,MATCH($A7,'Dens-A-CvC'!$B$5:$B$55,0),MATCH("charter_est_units",'Dens-A-CvC'!$A$4:$P$4,0))),"",INDEX('Dens-A-CvC'!$A$5:$P$55,MATCH($A7,'Dens-A-CvC'!$B$5:$B$55,0),MATCH("charter_est_units",'Dens-A-CvC'!$A$4:$P$4,0))),"")</f>
        <v>181782</v>
      </c>
      <c r="C7" s="43">
        <f>IFERROR(IF(ISBLANK(INDEX('Dens-A-CvC'!$A$5:$P$55,MATCH($A7,'Dens-A-CvC'!$B$5:$B$55,0),MATCH("comcast_est_units",'Dens-A-CvC'!$A$4:$P$4,0))),"",INDEX('Dens-A-CvC'!$A$5:$P$55,MATCH($A7,'Dens-A-CvC'!$B$5:$B$55,0),MATCH("comcast_est_units",'Dens-A-CvC'!$A$4:$P$4,0))),"")</f>
        <v>2275168</v>
      </c>
      <c r="D7" s="43">
        <f>IFERROR(IF(ISBLANK(INDEX('Dens-A-CvC'!$A$5:$P$55,MATCH($A7,'Dens-A-CvC'!$B$5:$B$55,0),MATCH("total_residential_units",'Dens-A-CvC'!$A$4:$P$4,0))),"",INDEX('Dens-A-CvC'!$A$5:$P$55,MATCH($A7,'Dens-A-CvC'!$B$5:$B$55,0),MATCH("total_residential_units",'Dens-A-CvC'!$A$4:$P$4,0))),"")</f>
        <v>2894616</v>
      </c>
      <c r="E7" s="43">
        <f>IFERROR(IF(ISBLANK(INDEX('Dens-B-WFH'!$A$5:$L$55,MATCH($A7,'Dens-B-WFH'!$B$5:$B$55,0),MATCH("acs_worked_from_home",'Dens-B-WFH'!$A$4:$L$4,0))),"",INDEX('Dens-B-WFH'!$A$5:$L$55,MATCH($A7,'Dens-B-WFH'!$B$5:$B$55,0),MATCH("acs_worked_from_home",'Dens-B-WFH'!$A$4:$L$4,0))),"")</f>
        <v>629420</v>
      </c>
      <c r="F7" s="43">
        <f>IFERROR(IF(ISBLANK(INDEX('Dens-C-Large'!$A$5:$M$55,MATCH($A7,'Dens-C-Large'!$B$5:$B$55,0),MATCH("susb_employment_ge500",'Dens-C-Large'!$A$4:$M$4,0))),"",INDEX('Dens-C-Large'!$A$5:$M$55,MATCH($A7,'Dens-C-Large'!$B$5:$B$55,0),MATCH("susb_employment_ge500",'Dens-C-Large'!$A$4:$M$4,0))),"")</f>
        <v>1274536</v>
      </c>
      <c r="G7" s="43">
        <f>IFERROR(IF(ISBLANK(INDEX('Dens-C-Large'!$A$5:$M$55,MATCH($A7,'Dens-C-Large'!$B$5:$B$55,0),MATCH("susb_employment_total",'Dens-C-Large'!$A$4:$M$4,0))),"",INDEX('Dens-C-Large'!$A$5:$M$55,MATCH($A7,'Dens-C-Large'!$B$5:$B$55,0),MATCH("susb_employment_total",'Dens-C-Large'!$A$4:$M$4,0))),"")</f>
        <v>2481196</v>
      </c>
      <c r="H7" s="55">
        <f>IF(Table2[[#This Row],[Charter Units]]&lt;&gt;"", Table2[[#This Row],[Charter Units]]/Table2[[#This Row],[Total Residential Units]], "")</f>
        <v>6.2800039798025023E-2</v>
      </c>
      <c r="I7" s="44">
        <f>IFERROR(IF(ISBLANK(INDEX('Dens-B-WFH'!$A$5:$L$55,MATCH($A7,'Dens-B-WFH'!$B$5:$B$55,0),MATCH("acs_wfh_rate_pct",'Dens-B-WFH'!$A$4:$L$4,0))),"",INDEX('Dens-B-WFH'!$A$5:$L$55,MATCH($A7,'Dens-B-WFH'!$B$5:$B$55,0),MATCH("acs_wfh_rate_pct",'Dens-B-WFH'!$A$4:$L$4,0))/100),"")</f>
        <v>0.1987205756714894</v>
      </c>
      <c r="J7" s="47">
        <f>IFERROR(IF(ISBLANK(INDEX('Dens-C-Large'!$A$5:$M$55,MATCH($A7,'Dens-C-Large'!$B$5:$B$55,0),MATCH("susb_share_ge500_pct",'Dens-C-Large'!$A$4:$M$4,0))),"",INDEX('Dens-C-Large'!$A$5:$M$55,MATCH($A7,'Dens-C-Large'!$B$5:$B$55,0),MATCH("susb_share_ge500_pct",'Dens-C-Large'!$A$4:$M$4,0))/100),"")</f>
        <v>0.51367808105445922</v>
      </c>
    </row>
    <row r="8" spans="1:10" ht="18" customHeight="1" x14ac:dyDescent="0.35">
      <c r="A8" s="46" t="s">
        <v>107</v>
      </c>
      <c r="B8" s="43">
        <f>IFERROR(IF(ISBLANK(INDEX('Dens-A-CvC'!$A$5:$P$55,MATCH($A8,'Dens-A-CvC'!$B$5:$B$55,0),MATCH("charter_est_units",'Dens-A-CvC'!$A$4:$P$4,0))),"",INDEX('Dens-A-CvC'!$A$5:$P$55,MATCH($A8,'Dens-A-CvC'!$B$5:$B$55,0),MATCH("charter_est_units",'Dens-A-CvC'!$A$4:$P$4,0))),"")</f>
        <v>148317</v>
      </c>
      <c r="C8" s="43">
        <f>IFERROR(IF(ISBLANK(INDEX('Dens-A-CvC'!$A$5:$P$55,MATCH($A8,'Dens-A-CvC'!$B$5:$B$55,0),MATCH("comcast_est_units",'Dens-A-CvC'!$A$4:$P$4,0))),"",INDEX('Dens-A-CvC'!$A$5:$P$55,MATCH($A8,'Dens-A-CvC'!$B$5:$B$55,0),MATCH("comcast_est_units",'Dens-A-CvC'!$A$4:$P$4,0))),"")</f>
        <v>1055159</v>
      </c>
      <c r="D8" s="43">
        <f>IFERROR(IF(ISBLANK(INDEX('Dens-A-CvC'!$A$5:$P$55,MATCH($A8,'Dens-A-CvC'!$B$5:$B$55,0),MATCH("total_residential_units",'Dens-A-CvC'!$A$4:$P$4,0))),"",INDEX('Dens-A-CvC'!$A$5:$P$55,MATCH($A8,'Dens-A-CvC'!$B$5:$B$55,0),MATCH("total_residential_units",'Dens-A-CvC'!$A$4:$P$4,0))),"")</f>
        <v>1660883</v>
      </c>
      <c r="E8" s="43">
        <f>IFERROR(IF(ISBLANK(INDEX('Dens-B-WFH'!$A$5:$L$55,MATCH($A8,'Dens-B-WFH'!$B$5:$B$55,0),MATCH("acs_worked_from_home",'Dens-B-WFH'!$A$4:$L$4,0))),"",INDEX('Dens-B-WFH'!$A$5:$L$55,MATCH($A8,'Dens-B-WFH'!$B$5:$B$55,0),MATCH("acs_worked_from_home",'Dens-B-WFH'!$A$4:$L$4,0))),"")</f>
        <v>250606</v>
      </c>
      <c r="F8" s="43">
        <f>IFERROR(IF(ISBLANK(INDEX('Dens-C-Large'!$A$5:$M$55,MATCH($A8,'Dens-C-Large'!$B$5:$B$55,0),MATCH("susb_employment_ge500",'Dens-C-Large'!$A$4:$M$4,0))),"",INDEX('Dens-C-Large'!$A$5:$M$55,MATCH($A8,'Dens-C-Large'!$B$5:$B$55,0),MATCH("susb_employment_ge500",'Dens-C-Large'!$A$4:$M$4,0))),"")</f>
        <v>782537</v>
      </c>
      <c r="G8" s="43">
        <f>IFERROR(IF(ISBLANK(INDEX('Dens-C-Large'!$A$5:$M$55,MATCH($A8,'Dens-C-Large'!$B$5:$B$55,0),MATCH("susb_employment_total",'Dens-C-Large'!$A$4:$M$4,0))),"",INDEX('Dens-C-Large'!$A$5:$M$55,MATCH($A8,'Dens-C-Large'!$B$5:$B$55,0),MATCH("susb_employment_total",'Dens-C-Large'!$A$4:$M$4,0))),"")</f>
        <v>1508634</v>
      </c>
      <c r="H8" s="55">
        <f>IF(Table2[[#This Row],[Charter Units]]&lt;&gt;"", Table2[[#This Row],[Charter Units]]/Table2[[#This Row],[Total Residential Units]], "")</f>
        <v>8.930008916943577E-2</v>
      </c>
      <c r="I8" s="44">
        <f>IFERROR(IF(ISBLANK(INDEX('Dens-B-WFH'!$A$5:$L$55,MATCH($A8,'Dens-B-WFH'!$B$5:$B$55,0),MATCH("acs_wfh_rate_pct",'Dens-B-WFH'!$A$4:$L$4,0))),"",INDEX('Dens-B-WFH'!$A$5:$L$55,MATCH($A8,'Dens-B-WFH'!$B$5:$B$55,0),MATCH("acs_wfh_rate_pct",'Dens-B-WFH'!$A$4:$L$4,0))/100),"")</f>
        <v>0.13370017306982329</v>
      </c>
      <c r="J8" s="47">
        <f>IFERROR(IF(ISBLANK(INDEX('Dens-C-Large'!$A$5:$M$55,MATCH($A8,'Dens-C-Large'!$B$5:$B$55,0),MATCH("susb_share_ge500_pct",'Dens-C-Large'!$A$4:$M$4,0))),"",INDEX('Dens-C-Large'!$A$5:$M$55,MATCH($A8,'Dens-C-Large'!$B$5:$B$55,0),MATCH("susb_share_ge500_pct",'Dens-C-Large'!$A$4:$M$4,0))/100),"")</f>
        <v>0.51870566353403147</v>
      </c>
    </row>
    <row r="9" spans="1:10" ht="18" customHeight="1" x14ac:dyDescent="0.35">
      <c r="A9" s="46" t="s">
        <v>97</v>
      </c>
      <c r="B9" s="43" t="str">
        <f>IFERROR(IF(ISBLANK(INDEX('Dens-A-CvC'!$A$5:$P$55,MATCH($A9,'Dens-A-CvC'!$B$5:$B$55,0),MATCH("charter_est_units",'Dens-A-CvC'!$A$4:$P$4,0))),"",INDEX('Dens-A-CvC'!$A$5:$P$55,MATCH($A9,'Dens-A-CvC'!$B$5:$B$55,0),MATCH("charter_est_units",'Dens-A-CvC'!$A$4:$P$4,0))),"")</f>
        <v/>
      </c>
      <c r="C9" s="43">
        <f>IFERROR(IF(ISBLANK(INDEX('Dens-A-CvC'!$A$5:$P$55,MATCH($A9,'Dens-A-CvC'!$B$5:$B$55,0),MATCH("comcast_est_units",'Dens-A-CvC'!$A$4:$P$4,0))),"",INDEX('Dens-A-CvC'!$A$5:$P$55,MATCH($A9,'Dens-A-CvC'!$B$5:$B$55,0),MATCH("comcast_est_units",'Dens-A-CvC'!$A$4:$P$4,0))),"")</f>
        <v>419605</v>
      </c>
      <c r="D9" s="43">
        <f>IFERROR(IF(ISBLANK(INDEX('Dens-A-CvC'!$A$5:$P$55,MATCH($A9,'Dens-A-CvC'!$B$5:$B$55,0),MATCH("total_residential_units",'Dens-A-CvC'!$A$4:$P$4,0))),"",INDEX('Dens-A-CvC'!$A$5:$P$55,MATCH($A9,'Dens-A-CvC'!$B$5:$B$55,0),MATCH("total_residential_units",'Dens-A-CvC'!$A$4:$P$4,0))),"")</f>
        <v>511215</v>
      </c>
      <c r="E9" s="43">
        <f>IFERROR(IF(ISBLANK(INDEX('Dens-B-WFH'!$A$5:$L$55,MATCH($A9,'Dens-B-WFH'!$B$5:$B$55,0),MATCH("acs_worked_from_home",'Dens-B-WFH'!$A$4:$L$4,0))),"",INDEX('Dens-B-WFH'!$A$5:$L$55,MATCH($A9,'Dens-B-WFH'!$B$5:$B$55,0),MATCH("acs_worked_from_home",'Dens-B-WFH'!$A$4:$L$4,0))),"")</f>
        <v>64492</v>
      </c>
      <c r="F9" s="43">
        <f>IFERROR(IF(ISBLANK(INDEX('Dens-C-Large'!$A$5:$M$55,MATCH($A9,'Dens-C-Large'!$B$5:$B$55,0),MATCH("susb_employment_ge500",'Dens-C-Large'!$A$4:$M$4,0))),"",INDEX('Dens-C-Large'!$A$5:$M$55,MATCH($A9,'Dens-C-Large'!$B$5:$B$55,0),MATCH("susb_employment_ge500",'Dens-C-Large'!$A$4:$M$4,0))),"")</f>
        <v>209764</v>
      </c>
      <c r="G9" s="43">
        <f>IFERROR(IF(ISBLANK(INDEX('Dens-C-Large'!$A$5:$M$55,MATCH($A9,'Dens-C-Large'!$B$5:$B$55,0),MATCH("susb_employment_total",'Dens-C-Large'!$A$4:$M$4,0))),"",INDEX('Dens-C-Large'!$A$5:$M$55,MATCH($A9,'Dens-C-Large'!$B$5:$B$55,0),MATCH("susb_employment_total",'Dens-C-Large'!$A$4:$M$4,0))),"")</f>
        <v>424303</v>
      </c>
      <c r="H9" s="55" t="str">
        <f>IF(Table2[[#This Row],[Charter Units]]&lt;&gt;"", Table2[[#This Row],[Charter Units]]/Table2[[#This Row],[Total Residential Units]], "")</f>
        <v/>
      </c>
      <c r="I9" s="44">
        <f>IFERROR(IF(ISBLANK(INDEX('Dens-B-WFH'!$A$5:$L$55,MATCH($A9,'Dens-B-WFH'!$B$5:$B$55,0),MATCH("acs_wfh_rate_pct",'Dens-B-WFH'!$A$4:$L$4,0))),"",INDEX('Dens-B-WFH'!$A$5:$L$55,MATCH($A9,'Dens-B-WFH'!$B$5:$B$55,0),MATCH("acs_wfh_rate_pct",'Dens-B-WFH'!$A$4:$L$4,0))/100),"")</f>
        <v>0.1288963504816725</v>
      </c>
      <c r="J9" s="47">
        <f>IFERROR(IF(ISBLANK(INDEX('Dens-C-Large'!$A$5:$M$55,MATCH($A9,'Dens-C-Large'!$B$5:$B$55,0),MATCH("susb_share_ge500_pct",'Dens-C-Large'!$A$4:$M$4,0))),"",INDEX('Dens-C-Large'!$A$5:$M$55,MATCH($A9,'Dens-C-Large'!$B$5:$B$55,0),MATCH("susb_share_ge500_pct",'Dens-C-Large'!$A$4:$M$4,0))/100),"")</f>
        <v>0.49437312486595675</v>
      </c>
    </row>
    <row r="10" spans="1:10" ht="18" customHeight="1" x14ac:dyDescent="0.35">
      <c r="A10" s="46" t="s">
        <v>93</v>
      </c>
      <c r="B10" s="43" t="str">
        <f>IFERROR(IF(ISBLANK(INDEX('Dens-A-CvC'!$A$5:$P$55,MATCH($A10,'Dens-A-CvC'!$B$5:$B$55,0),MATCH("charter_est_units",'Dens-A-CvC'!$A$4:$P$4,0))),"",INDEX('Dens-A-CvC'!$A$5:$P$55,MATCH($A10,'Dens-A-CvC'!$B$5:$B$55,0),MATCH("charter_est_units",'Dens-A-CvC'!$A$4:$P$4,0))),"")</f>
        <v/>
      </c>
      <c r="C10" s="43">
        <f>IFERROR(IF(ISBLANK(INDEX('Dens-A-CvC'!$A$5:$P$55,MATCH($A10,'Dens-A-CvC'!$B$5:$B$55,0),MATCH("comcast_est_units",'Dens-A-CvC'!$A$4:$P$4,0))),"",INDEX('Dens-A-CvC'!$A$5:$P$55,MATCH($A10,'Dens-A-CvC'!$B$5:$B$55,0),MATCH("comcast_est_units",'Dens-A-CvC'!$A$4:$P$4,0))),"")</f>
        <v>380427</v>
      </c>
      <c r="D10" s="43">
        <f>IFERROR(IF(ISBLANK(INDEX('Dens-A-CvC'!$A$5:$P$55,MATCH($A10,'Dens-A-CvC'!$B$5:$B$55,0),MATCH("total_residential_units",'Dens-A-CvC'!$A$4:$P$4,0))),"",INDEX('Dens-A-CvC'!$A$5:$P$55,MATCH($A10,'Dens-A-CvC'!$B$5:$B$55,0),MATCH("total_residential_units",'Dens-A-CvC'!$A$4:$P$4,0))),"")</f>
        <v>385672</v>
      </c>
      <c r="E10" s="43">
        <f>IFERROR(IF(ISBLANK(INDEX('Dens-B-WFH'!$A$5:$L$55,MATCH($A10,'Dens-B-WFH'!$B$5:$B$55,0),MATCH("acs_worked_from_home",'Dens-B-WFH'!$A$4:$L$4,0))),"",INDEX('Dens-B-WFH'!$A$5:$L$55,MATCH($A10,'Dens-B-WFH'!$B$5:$B$55,0),MATCH("acs_worked_from_home",'Dens-B-WFH'!$A$4:$L$4,0))),"")</f>
        <v>88726</v>
      </c>
      <c r="F10" s="43">
        <f>IFERROR(IF(ISBLANK(INDEX('Dens-C-Large'!$A$5:$M$55,MATCH($A10,'Dens-C-Large'!$B$5:$B$55,0),MATCH("susb_employment_ge500",'Dens-C-Large'!$A$4:$M$4,0))),"",INDEX('Dens-C-Large'!$A$5:$M$55,MATCH($A10,'Dens-C-Large'!$B$5:$B$55,0),MATCH("susb_employment_ge500",'Dens-C-Large'!$A$4:$M$4,0))),"")</f>
        <v>268174</v>
      </c>
      <c r="G10" s="43">
        <f>IFERROR(IF(ISBLANK(INDEX('Dens-C-Large'!$A$5:$M$55,MATCH($A10,'Dens-C-Large'!$B$5:$B$55,0),MATCH("susb_employment_total",'Dens-C-Large'!$A$4:$M$4,0))),"",INDEX('Dens-C-Large'!$A$5:$M$55,MATCH($A10,'Dens-C-Large'!$B$5:$B$55,0),MATCH("susb_employment_total",'Dens-C-Large'!$A$4:$M$4,0))),"")</f>
        <v>527355</v>
      </c>
      <c r="H10" s="55" t="str">
        <f>IF(Table2[[#This Row],[Charter Units]]&lt;&gt;"", Table2[[#This Row],[Charter Units]]/Table2[[#This Row],[Total Residential Units]], "")</f>
        <v/>
      </c>
      <c r="I10" s="44">
        <f>IFERROR(IF(ISBLANK(INDEX('Dens-B-WFH'!$A$5:$L$55,MATCH($A10,'Dens-B-WFH'!$B$5:$B$55,0),MATCH("acs_wfh_rate_pct",'Dens-B-WFH'!$A$4:$L$4,0))),"",INDEX('Dens-B-WFH'!$A$5:$L$55,MATCH($A10,'Dens-B-WFH'!$B$5:$B$55,0),MATCH("acs_wfh_rate_pct",'Dens-B-WFH'!$A$4:$L$4,0))/100),"")</f>
        <v>0.22859513160335548</v>
      </c>
      <c r="J10" s="47">
        <f>IFERROR(IF(ISBLANK(INDEX('Dens-C-Large'!$A$5:$M$55,MATCH($A10,'Dens-C-Large'!$B$5:$B$55,0),MATCH("susb_share_ge500_pct",'Dens-C-Large'!$A$4:$M$4,0))),"",INDEX('Dens-C-Large'!$A$5:$M$55,MATCH($A10,'Dens-C-Large'!$B$5:$B$55,0),MATCH("susb_share_ge500_pct",'Dens-C-Large'!$A$4:$M$4,0))/100),"")</f>
        <v>0.50852651439732244</v>
      </c>
    </row>
    <row r="11" spans="1:10" ht="18" customHeight="1" x14ac:dyDescent="0.35">
      <c r="A11" s="46" t="s">
        <v>119</v>
      </c>
      <c r="B11" s="43">
        <f>IFERROR(IF(ISBLANK(INDEX('Dens-A-CvC'!$A$5:$P$55,MATCH($A11,'Dens-A-CvC'!$B$5:$B$55,0),MATCH("charter_est_units",'Dens-A-CvC'!$A$4:$P$4,0))),"",INDEX('Dens-A-CvC'!$A$5:$P$55,MATCH($A11,'Dens-A-CvC'!$B$5:$B$55,0),MATCH("charter_est_units",'Dens-A-CvC'!$A$4:$P$4,0))),"")</f>
        <v>4148992</v>
      </c>
      <c r="C11" s="43">
        <f>IFERROR(IF(ISBLANK(INDEX('Dens-A-CvC'!$A$5:$P$55,MATCH($A11,'Dens-A-CvC'!$B$5:$B$55,0),MATCH("comcast_est_units",'Dens-A-CvC'!$A$4:$P$4,0))),"",INDEX('Dens-A-CvC'!$A$5:$P$55,MATCH($A11,'Dens-A-CvC'!$B$5:$B$55,0),MATCH("comcast_est_units",'Dens-A-CvC'!$A$4:$P$4,0))),"")</f>
        <v>6004849</v>
      </c>
      <c r="D11" s="43">
        <f>IFERROR(IF(ISBLANK(INDEX('Dens-A-CvC'!$A$5:$P$55,MATCH($A11,'Dens-A-CvC'!$B$5:$B$55,0),MATCH("total_residential_units",'Dens-A-CvC'!$A$4:$P$4,0))),"",INDEX('Dens-A-CvC'!$A$5:$P$55,MATCH($A11,'Dens-A-CvC'!$B$5:$B$55,0),MATCH("total_residential_units",'Dens-A-CvC'!$A$4:$P$4,0))),"")</f>
        <v>11477157</v>
      </c>
      <c r="E11" s="43">
        <f>IFERROR(IF(ISBLANK(INDEX('Dens-B-WFH'!$A$5:$L$55,MATCH($A11,'Dens-B-WFH'!$B$5:$B$55,0),MATCH("acs_worked_from_home",'Dens-B-WFH'!$A$4:$L$4,0))),"",INDEX('Dens-B-WFH'!$A$5:$L$55,MATCH($A11,'Dens-B-WFH'!$B$5:$B$55,0),MATCH("acs_worked_from_home",'Dens-B-WFH'!$A$4:$L$4,0))),"")</f>
        <v>1721372</v>
      </c>
      <c r="F11" s="43">
        <f>IFERROR(IF(ISBLANK(INDEX('Dens-C-Large'!$A$5:$M$55,MATCH($A11,'Dens-C-Large'!$B$5:$B$55,0),MATCH("susb_employment_ge500",'Dens-C-Large'!$A$4:$M$4,0))),"",INDEX('Dens-C-Large'!$A$5:$M$55,MATCH($A11,'Dens-C-Large'!$B$5:$B$55,0),MATCH("susb_employment_ge500",'Dens-C-Large'!$A$4:$M$4,0))),"")</f>
        <v>5815792</v>
      </c>
      <c r="G11" s="43">
        <f>IFERROR(IF(ISBLANK(INDEX('Dens-C-Large'!$A$5:$M$55,MATCH($A11,'Dens-C-Large'!$B$5:$B$55,0),MATCH("susb_employment_total",'Dens-C-Large'!$A$4:$M$4,0))),"",INDEX('Dens-C-Large'!$A$5:$M$55,MATCH($A11,'Dens-C-Large'!$B$5:$B$55,0),MATCH("susb_employment_total",'Dens-C-Large'!$A$4:$M$4,0))),"")</f>
        <v>9628867</v>
      </c>
      <c r="H11" s="55">
        <f>IF(Table2[[#This Row],[Charter Units]]&lt;&gt;"", Table2[[#This Row],[Charter Units]]/Table2[[#This Row],[Total Residential Units]], "")</f>
        <v>0.36149997773838938</v>
      </c>
      <c r="I11" s="44">
        <f>IFERROR(IF(ISBLANK(INDEX('Dens-B-WFH'!$A$5:$L$55,MATCH($A11,'Dens-B-WFH'!$B$5:$B$55,0),MATCH("acs_wfh_rate_pct",'Dens-B-WFH'!$A$4:$L$4,0))),"",INDEX('Dens-B-WFH'!$A$5:$L$55,MATCH($A11,'Dens-B-WFH'!$B$5:$B$55,0),MATCH("acs_wfh_rate_pct",'Dens-B-WFH'!$A$4:$L$4,0))/100),"")</f>
        <v>0.15526148736321951</v>
      </c>
      <c r="J11" s="47">
        <f>IFERROR(IF(ISBLANK(INDEX('Dens-C-Large'!$A$5:$M$55,MATCH($A11,'Dens-C-Large'!$B$5:$B$55,0),MATCH("susb_share_ge500_pct",'Dens-C-Large'!$A$4:$M$4,0))),"",INDEX('Dens-C-Large'!$A$5:$M$55,MATCH($A11,'Dens-C-Large'!$B$5:$B$55,0),MATCH("susb_share_ge500_pct",'Dens-C-Large'!$A$4:$M$4,0))/100),"")</f>
        <v>0.6039954648869903</v>
      </c>
    </row>
    <row r="12" spans="1:10" ht="18" customHeight="1" x14ac:dyDescent="0.35">
      <c r="A12" s="46" t="s">
        <v>121</v>
      </c>
      <c r="B12" s="43">
        <f>IFERROR(IF(ISBLANK(INDEX('Dens-A-CvC'!$A$5:$P$55,MATCH($A12,'Dens-A-CvC'!$B$5:$B$55,0),MATCH("charter_est_units",'Dens-A-CvC'!$A$4:$P$4,0))),"",INDEX('Dens-A-CvC'!$A$5:$P$55,MATCH($A12,'Dens-A-CvC'!$B$5:$B$55,0),MATCH("charter_est_units",'Dens-A-CvC'!$A$4:$P$4,0))),"")</f>
        <v>859861</v>
      </c>
      <c r="C12" s="43">
        <f>IFERROR(IF(ISBLANK(INDEX('Dens-A-CvC'!$A$5:$P$55,MATCH($A12,'Dens-A-CvC'!$B$5:$B$55,0),MATCH("comcast_est_units",'Dens-A-CvC'!$A$4:$P$4,0))),"",INDEX('Dens-A-CvC'!$A$5:$P$55,MATCH($A12,'Dens-A-CvC'!$B$5:$B$55,0),MATCH("comcast_est_units",'Dens-A-CvC'!$A$4:$P$4,0))),"")</f>
        <v>2916314</v>
      </c>
      <c r="D12" s="43">
        <f>IFERROR(IF(ISBLANK(INDEX('Dens-A-CvC'!$A$5:$P$55,MATCH($A12,'Dens-A-CvC'!$B$5:$B$55,0),MATCH("total_residential_units",'Dens-A-CvC'!$A$4:$P$4,0))),"",INDEX('Dens-A-CvC'!$A$5:$P$55,MATCH($A12,'Dens-A-CvC'!$B$5:$B$55,0),MATCH("total_residential_units",'Dens-A-CvC'!$A$4:$P$4,0))),"")</f>
        <v>5078917</v>
      </c>
      <c r="E12" s="43">
        <f>IFERROR(IF(ISBLANK(INDEX('Dens-B-WFH'!$A$5:$L$55,MATCH($A12,'Dens-B-WFH'!$B$5:$B$55,0),MATCH("acs_worked_from_home",'Dens-B-WFH'!$A$4:$L$4,0))),"",INDEX('Dens-B-WFH'!$A$5:$L$55,MATCH($A12,'Dens-B-WFH'!$B$5:$B$55,0),MATCH("acs_worked_from_home",'Dens-B-WFH'!$A$4:$L$4,0))),"")</f>
        <v>803593</v>
      </c>
      <c r="F12" s="43">
        <f>IFERROR(IF(ISBLANK(INDEX('Dens-C-Large'!$A$5:$M$55,MATCH($A12,'Dens-C-Large'!$B$5:$B$55,0),MATCH("susb_employment_ge500",'Dens-C-Large'!$A$4:$M$4,0))),"",INDEX('Dens-C-Large'!$A$5:$M$55,MATCH($A12,'Dens-C-Large'!$B$5:$B$55,0),MATCH("susb_employment_ge500",'Dens-C-Large'!$A$4:$M$4,0))),"")</f>
        <v>2442730</v>
      </c>
      <c r="G12" s="43">
        <f>IFERROR(IF(ISBLANK(INDEX('Dens-C-Large'!$A$5:$M$55,MATCH($A12,'Dens-C-Large'!$B$5:$B$55,0),MATCH("susb_employment_total",'Dens-C-Large'!$A$4:$M$4,0))),"",INDEX('Dens-C-Large'!$A$5:$M$55,MATCH($A12,'Dens-C-Large'!$B$5:$B$55,0),MATCH("susb_employment_total",'Dens-C-Large'!$A$4:$M$4,0))),"")</f>
        <v>4249362</v>
      </c>
      <c r="H12" s="55">
        <f>IF(Table2[[#This Row],[Charter Units]]&lt;&gt;"", Table2[[#This Row],[Charter Units]]/Table2[[#This Row],[Total Residential Units]], "")</f>
        <v>0.16930006928642463</v>
      </c>
      <c r="I12" s="44">
        <f>IFERROR(IF(ISBLANK(INDEX('Dens-B-WFH'!$A$5:$L$55,MATCH($A12,'Dens-B-WFH'!$B$5:$B$55,0),MATCH("acs_wfh_rate_pct",'Dens-B-WFH'!$A$4:$L$4,0))),"",INDEX('Dens-B-WFH'!$A$5:$L$55,MATCH($A12,'Dens-B-WFH'!$B$5:$B$55,0),MATCH("acs_wfh_rate_pct",'Dens-B-WFH'!$A$4:$L$4,0))/100),"")</f>
        <v>0.148755035751685</v>
      </c>
      <c r="J12" s="47">
        <f>IFERROR(IF(ISBLANK(INDEX('Dens-C-Large'!$A$5:$M$55,MATCH($A12,'Dens-C-Large'!$B$5:$B$55,0),MATCH("susb_share_ge500_pct",'Dens-C-Large'!$A$4:$M$4,0))),"",INDEX('Dens-C-Large'!$A$5:$M$55,MATCH($A12,'Dens-C-Large'!$B$5:$B$55,0),MATCH("susb_share_ge500_pct",'Dens-C-Large'!$A$4:$M$4,0))/100),"")</f>
        <v>0.57484629457316183</v>
      </c>
    </row>
    <row r="13" spans="1:10" ht="18" customHeight="1" x14ac:dyDescent="0.35">
      <c r="A13" s="46" t="s">
        <v>51</v>
      </c>
      <c r="B13" s="43">
        <f>IFERROR(IF(ISBLANK(INDEX('Dens-A-CvC'!$A$5:$P$55,MATCH($A13,'Dens-A-CvC'!$B$5:$B$55,0),MATCH("charter_est_units",'Dens-A-CvC'!$A$4:$P$4,0))),"",INDEX('Dens-A-CvC'!$A$5:$P$55,MATCH($A13,'Dens-A-CvC'!$B$5:$B$55,0),MATCH("charter_est_units",'Dens-A-CvC'!$A$4:$P$4,0))),"")</f>
        <v>556913</v>
      </c>
      <c r="C13" s="43" t="str">
        <f>IFERROR(IF(ISBLANK(INDEX('Dens-A-CvC'!$A$5:$P$55,MATCH($A13,'Dens-A-CvC'!$B$5:$B$55,0),MATCH("comcast_est_units",'Dens-A-CvC'!$A$4:$P$4,0))),"",INDEX('Dens-A-CvC'!$A$5:$P$55,MATCH($A13,'Dens-A-CvC'!$B$5:$B$55,0),MATCH("comcast_est_units",'Dens-A-CvC'!$A$4:$P$4,0))),"")</f>
        <v/>
      </c>
      <c r="D13" s="43">
        <f>IFERROR(IF(ISBLANK(INDEX('Dens-A-CvC'!$A$5:$P$55,MATCH($A13,'Dens-A-CvC'!$B$5:$B$55,0),MATCH("total_residential_units",'Dens-A-CvC'!$A$4:$P$4,0))),"",INDEX('Dens-A-CvC'!$A$5:$P$55,MATCH($A13,'Dens-A-CvC'!$B$5:$B$55,0),MATCH("total_residential_units",'Dens-A-CvC'!$A$4:$P$4,0))),"")</f>
        <v>603504</v>
      </c>
      <c r="E13" s="43">
        <f>IFERROR(IF(ISBLANK(INDEX('Dens-B-WFH'!$A$5:$L$55,MATCH($A13,'Dens-B-WFH'!$B$5:$B$55,0),MATCH("acs_worked_from_home",'Dens-B-WFH'!$A$4:$L$4,0))),"",INDEX('Dens-B-WFH'!$A$5:$L$55,MATCH($A13,'Dens-B-WFH'!$B$5:$B$55,0),MATCH("acs_worked_from_home",'Dens-B-WFH'!$A$4:$L$4,0))),"")</f>
        <v>63594</v>
      </c>
      <c r="F13" s="43">
        <f>IFERROR(IF(ISBLANK(INDEX('Dens-C-Large'!$A$5:$M$55,MATCH($A13,'Dens-C-Large'!$B$5:$B$55,0),MATCH("susb_employment_ge500",'Dens-C-Large'!$A$4:$M$4,0))),"",INDEX('Dens-C-Large'!$A$5:$M$55,MATCH($A13,'Dens-C-Large'!$B$5:$B$55,0),MATCH("susb_employment_ge500",'Dens-C-Large'!$A$4:$M$4,0))),"")</f>
        <v>255834</v>
      </c>
      <c r="G13" s="43">
        <f>IFERROR(IF(ISBLANK(INDEX('Dens-C-Large'!$A$5:$M$55,MATCH($A13,'Dens-C-Large'!$B$5:$B$55,0),MATCH("susb_employment_total",'Dens-C-Large'!$A$4:$M$4,0))),"",INDEX('Dens-C-Large'!$A$5:$M$55,MATCH($A13,'Dens-C-Large'!$B$5:$B$55,0),MATCH("susb_employment_total",'Dens-C-Large'!$A$4:$M$4,0))),"")</f>
        <v>507390</v>
      </c>
      <c r="H13" s="55">
        <f>IF(Table2[[#This Row],[Charter Units]]&lt;&gt;"", Table2[[#This Row],[Charter Units]]/Table2[[#This Row],[Total Residential Units]], "")</f>
        <v>0.92279918608658762</v>
      </c>
      <c r="I13" s="44">
        <f>IFERROR(IF(ISBLANK(INDEX('Dens-B-WFH'!$A$5:$L$55,MATCH($A13,'Dens-B-WFH'!$B$5:$B$55,0),MATCH("acs_wfh_rate_pct",'Dens-B-WFH'!$A$4:$L$4,0))),"",INDEX('Dens-B-WFH'!$A$5:$L$55,MATCH($A13,'Dens-B-WFH'!$B$5:$B$55,0),MATCH("acs_wfh_rate_pct",'Dens-B-WFH'!$A$4:$L$4,0))/100),"")</f>
        <v>8.8746793789371156E-2</v>
      </c>
      <c r="J13" s="47">
        <f>IFERROR(IF(ISBLANK(INDEX('Dens-C-Large'!$A$5:$M$55,MATCH($A13,'Dens-C-Large'!$B$5:$B$55,0),MATCH("susb_share_ge500_pct",'Dens-C-Large'!$A$4:$M$4,0))),"",INDEX('Dens-C-Large'!$A$5:$M$55,MATCH($A13,'Dens-C-Large'!$B$5:$B$55,0),MATCH("susb_share_ge500_pct",'Dens-C-Large'!$A$4:$M$4,0))/100),"")</f>
        <v>0.50421569207118788</v>
      </c>
    </row>
    <row r="14" spans="1:10" ht="18" customHeight="1" x14ac:dyDescent="0.35">
      <c r="A14" s="46" t="s">
        <v>67</v>
      </c>
      <c r="B14" s="43">
        <f>IFERROR(IF(ISBLANK(INDEX('Dens-A-CvC'!$A$5:$P$55,MATCH($A14,'Dens-A-CvC'!$B$5:$B$55,0),MATCH("charter_est_units",'Dens-A-CvC'!$A$4:$P$4,0))),"",INDEX('Dens-A-CvC'!$A$5:$P$55,MATCH($A14,'Dens-A-CvC'!$B$5:$B$55,0),MATCH("charter_est_units",'Dens-A-CvC'!$A$4:$P$4,0))),"")</f>
        <v>82999</v>
      </c>
      <c r="C14" s="43">
        <f>IFERROR(IF(ISBLANK(INDEX('Dens-A-CvC'!$A$5:$P$55,MATCH($A14,'Dens-A-CvC'!$B$5:$B$55,0),MATCH("comcast_est_units",'Dens-A-CvC'!$A$4:$P$4,0))),"",INDEX('Dens-A-CvC'!$A$5:$P$55,MATCH($A14,'Dens-A-CvC'!$B$5:$B$55,0),MATCH("comcast_est_units",'Dens-A-CvC'!$A$4:$P$4,0))),"")</f>
        <v>2387</v>
      </c>
      <c r="D14" s="43">
        <f>IFERROR(IF(ISBLANK(INDEX('Dens-A-CvC'!$A$5:$P$55,MATCH($A14,'Dens-A-CvC'!$B$5:$B$55,0),MATCH("total_residential_units",'Dens-A-CvC'!$A$4:$P$4,0))),"",INDEX('Dens-A-CvC'!$A$5:$P$55,MATCH($A14,'Dens-A-CvC'!$B$5:$B$55,0),MATCH("total_residential_units",'Dens-A-CvC'!$A$4:$P$4,0))),"")</f>
        <v>918136</v>
      </c>
      <c r="E14" s="43">
        <f>IFERROR(IF(ISBLANK(INDEX('Dens-B-WFH'!$A$5:$L$55,MATCH($A14,'Dens-B-WFH'!$B$5:$B$55,0),MATCH("acs_worked_from_home",'Dens-B-WFH'!$A$4:$L$4,0))),"",INDEX('Dens-B-WFH'!$A$5:$L$55,MATCH($A14,'Dens-B-WFH'!$B$5:$B$55,0),MATCH("acs_worked_from_home",'Dens-B-WFH'!$A$4:$L$4,0))),"")</f>
        <v>120976</v>
      </c>
      <c r="F14" s="43">
        <f>IFERROR(IF(ISBLANK(INDEX('Dens-C-Large'!$A$5:$M$55,MATCH($A14,'Dens-C-Large'!$B$5:$B$55,0),MATCH("susb_employment_ge500",'Dens-C-Large'!$A$4:$M$4,0))),"",INDEX('Dens-C-Large'!$A$5:$M$55,MATCH($A14,'Dens-C-Large'!$B$5:$B$55,0),MATCH("susb_employment_ge500",'Dens-C-Large'!$A$4:$M$4,0))),"")</f>
        <v>303511</v>
      </c>
      <c r="G14" s="43">
        <f>IFERROR(IF(ISBLANK(INDEX('Dens-C-Large'!$A$5:$M$55,MATCH($A14,'Dens-C-Large'!$B$5:$B$55,0),MATCH("susb_employment_total",'Dens-C-Large'!$A$4:$M$4,0))),"",INDEX('Dens-C-Large'!$A$5:$M$55,MATCH($A14,'Dens-C-Large'!$B$5:$B$55,0),MATCH("susb_employment_total",'Dens-C-Large'!$A$4:$M$4,0))),"")</f>
        <v>689589</v>
      </c>
      <c r="H14" s="55">
        <f>IF(Table2[[#This Row],[Charter Units]]&lt;&gt;"", Table2[[#This Row],[Charter Units]]/Table2[[#This Row],[Total Residential Units]], "")</f>
        <v>9.039946151768366E-2</v>
      </c>
      <c r="I14" s="44">
        <f>IFERROR(IF(ISBLANK(INDEX('Dens-B-WFH'!$A$5:$L$55,MATCH($A14,'Dens-B-WFH'!$B$5:$B$55,0),MATCH("acs_wfh_rate_pct",'Dens-B-WFH'!$A$4:$L$4,0))),"",INDEX('Dens-B-WFH'!$A$5:$L$55,MATCH($A14,'Dens-B-WFH'!$B$5:$B$55,0),MATCH("acs_wfh_rate_pct",'Dens-B-WFH'!$A$4:$L$4,0))/100),"")</f>
        <v>0.12706975728012571</v>
      </c>
      <c r="J14" s="47">
        <f>IFERROR(IF(ISBLANK(INDEX('Dens-C-Large'!$A$5:$M$55,MATCH($A14,'Dens-C-Large'!$B$5:$B$55,0),MATCH("susb_share_ge500_pct",'Dens-C-Large'!$A$4:$M$4,0))),"",INDEX('Dens-C-Large'!$A$5:$M$55,MATCH($A14,'Dens-C-Large'!$B$5:$B$55,0),MATCH("susb_share_ge500_pct",'Dens-C-Large'!$A$4:$M$4,0))/100),"")</f>
        <v>0.44013318077869568</v>
      </c>
    </row>
    <row r="15" spans="1:10" ht="18" customHeight="1" x14ac:dyDescent="0.35">
      <c r="A15" s="46" t="s">
        <v>133</v>
      </c>
      <c r="B15" s="43">
        <f>IFERROR(IF(ISBLANK(INDEX('Dens-A-CvC'!$A$5:$P$55,MATCH($A15,'Dens-A-CvC'!$B$5:$B$55,0),MATCH("charter_est_units",'Dens-A-CvC'!$A$4:$P$4,0))),"",INDEX('Dens-A-CvC'!$A$5:$P$55,MATCH($A15,'Dens-A-CvC'!$B$5:$B$55,0),MATCH("charter_est_units",'Dens-A-CvC'!$A$4:$P$4,0))),"")</f>
        <v>297963</v>
      </c>
      <c r="C15" s="43">
        <f>IFERROR(IF(ISBLANK(INDEX('Dens-A-CvC'!$A$5:$P$55,MATCH($A15,'Dens-A-CvC'!$B$5:$B$55,0),MATCH("comcast_est_units",'Dens-A-CvC'!$A$4:$P$4,0))),"",INDEX('Dens-A-CvC'!$A$5:$P$55,MATCH($A15,'Dens-A-CvC'!$B$5:$B$55,0),MATCH("comcast_est_units",'Dens-A-CvC'!$A$4:$P$4,0))),"")</f>
        <v>4564524</v>
      </c>
      <c r="D15" s="43">
        <f>IFERROR(IF(ISBLANK(INDEX('Dens-A-CvC'!$A$5:$P$55,MATCH($A15,'Dens-A-CvC'!$B$5:$B$55,0),MATCH("total_residential_units",'Dens-A-CvC'!$A$4:$P$4,0))),"",INDEX('Dens-A-CvC'!$A$5:$P$55,MATCH($A15,'Dens-A-CvC'!$B$5:$B$55,0),MATCH("total_residential_units",'Dens-A-CvC'!$A$4:$P$4,0))),"")</f>
        <v>6056155</v>
      </c>
      <c r="E15" s="43">
        <f>IFERROR(IF(ISBLANK(INDEX('Dens-B-WFH'!$A$5:$L$55,MATCH($A15,'Dens-B-WFH'!$B$5:$B$55,0),MATCH("acs_worked_from_home",'Dens-B-WFH'!$A$4:$L$4,0))),"",INDEX('Dens-B-WFH'!$A$5:$L$55,MATCH($A15,'Dens-B-WFH'!$B$5:$B$55,0),MATCH("acs_worked_from_home",'Dens-B-WFH'!$A$4:$L$4,0))),"")</f>
        <v>857301</v>
      </c>
      <c r="F15" s="43">
        <f>IFERROR(IF(ISBLANK(INDEX('Dens-C-Large'!$A$5:$M$55,MATCH($A15,'Dens-C-Large'!$B$5:$B$55,0),MATCH("susb_employment_ge500",'Dens-C-Large'!$A$4:$M$4,0))),"",INDEX('Dens-C-Large'!$A$5:$M$55,MATCH($A15,'Dens-C-Large'!$B$5:$B$55,0),MATCH("susb_employment_ge500",'Dens-C-Large'!$A$4:$M$4,0))),"")</f>
        <v>3112912</v>
      </c>
      <c r="G15" s="43">
        <f>IFERROR(IF(ISBLANK(INDEX('Dens-C-Large'!$A$5:$M$55,MATCH($A15,'Dens-C-Large'!$B$5:$B$55,0),MATCH("susb_employment_total",'Dens-C-Large'!$A$4:$M$4,0))),"",INDEX('Dens-C-Large'!$A$5:$M$55,MATCH($A15,'Dens-C-Large'!$B$5:$B$55,0),MATCH("susb_employment_total",'Dens-C-Large'!$A$4:$M$4,0))),"")</f>
        <v>5533883</v>
      </c>
      <c r="H15" s="55">
        <f>IF(Table2[[#This Row],[Charter Units]]&lt;&gt;"", Table2[[#This Row],[Charter Units]]/Table2[[#This Row],[Total Residential Units]], "")</f>
        <v>4.9200028731100839E-2</v>
      </c>
      <c r="I15" s="44">
        <f>IFERROR(IF(ISBLANK(INDEX('Dens-B-WFH'!$A$5:$L$55,MATCH($A15,'Dens-B-WFH'!$B$5:$B$55,0),MATCH("acs_wfh_rate_pct",'Dens-B-WFH'!$A$4:$L$4,0))),"",INDEX('Dens-B-WFH'!$A$5:$L$55,MATCH($A15,'Dens-B-WFH'!$B$5:$B$55,0),MATCH("acs_wfh_rate_pct",'Dens-B-WFH'!$A$4:$L$4,0))/100),"")</f>
        <v>0.1357742472678494</v>
      </c>
      <c r="J15" s="47">
        <f>IFERROR(IF(ISBLANK(INDEX('Dens-C-Large'!$A$5:$M$55,MATCH($A15,'Dens-C-Large'!$B$5:$B$55,0),MATCH("susb_share_ge500_pct",'Dens-C-Large'!$A$4:$M$4,0))),"",INDEX('Dens-C-Large'!$A$5:$M$55,MATCH($A15,'Dens-C-Large'!$B$5:$B$55,0),MATCH("susb_share_ge500_pct",'Dens-C-Large'!$A$4:$M$4,0))/100),"")</f>
        <v>0.56251857872672772</v>
      </c>
    </row>
    <row r="16" spans="1:10" ht="18" customHeight="1" x14ac:dyDescent="0.35">
      <c r="A16" s="46" t="s">
        <v>113</v>
      </c>
      <c r="B16" s="43">
        <f>IFERROR(IF(ISBLANK(INDEX('Dens-A-CvC'!$A$5:$P$55,MATCH($A16,'Dens-A-CvC'!$B$5:$B$55,0),MATCH("charter_est_units",'Dens-A-CvC'!$A$4:$P$4,0))),"",INDEX('Dens-A-CvC'!$A$5:$P$55,MATCH($A16,'Dens-A-CvC'!$B$5:$B$55,0),MATCH("charter_est_units",'Dens-A-CvC'!$A$4:$P$4,0))),"")</f>
        <v>699558</v>
      </c>
      <c r="C16" s="43">
        <f>IFERROR(IF(ISBLANK(INDEX('Dens-A-CvC'!$A$5:$P$55,MATCH($A16,'Dens-A-CvC'!$B$5:$B$55,0),MATCH("comcast_est_units",'Dens-A-CvC'!$A$4:$P$4,0))),"",INDEX('Dens-A-CvC'!$A$5:$P$55,MATCH($A16,'Dens-A-CvC'!$B$5:$B$55,0),MATCH("comcast_est_units",'Dens-A-CvC'!$A$4:$P$4,0))),"")</f>
        <v>1936242</v>
      </c>
      <c r="D16" s="43">
        <f>IFERROR(IF(ISBLANK(INDEX('Dens-A-CvC'!$A$5:$P$55,MATCH($A16,'Dens-A-CvC'!$B$5:$B$55,0),MATCH("total_residential_units",'Dens-A-CvC'!$A$4:$P$4,0))),"",INDEX('Dens-A-CvC'!$A$5:$P$55,MATCH($A16,'Dens-A-CvC'!$B$5:$B$55,0),MATCH("total_residential_units",'Dens-A-CvC'!$A$4:$P$4,0))),"")</f>
        <v>3321739</v>
      </c>
      <c r="E16" s="43">
        <f>IFERROR(IF(ISBLANK(INDEX('Dens-B-WFH'!$A$5:$L$55,MATCH($A16,'Dens-B-WFH'!$B$5:$B$55,0),MATCH("acs_worked_from_home",'Dens-B-WFH'!$A$4:$L$4,0))),"",INDEX('Dens-B-WFH'!$A$5:$L$55,MATCH($A16,'Dens-B-WFH'!$B$5:$B$55,0),MATCH("acs_worked_from_home",'Dens-B-WFH'!$A$4:$L$4,0))),"")</f>
        <v>323341</v>
      </c>
      <c r="F16" s="43">
        <f>IFERROR(IF(ISBLANK(INDEX('Dens-C-Large'!$A$5:$M$55,MATCH($A16,'Dens-C-Large'!$B$5:$B$55,0),MATCH("susb_employment_ge500",'Dens-C-Large'!$A$4:$M$4,0))),"",INDEX('Dens-C-Large'!$A$5:$M$55,MATCH($A16,'Dens-C-Large'!$B$5:$B$55,0),MATCH("susb_employment_ge500",'Dens-C-Large'!$A$4:$M$4,0))),"")</f>
        <v>1634070</v>
      </c>
      <c r="G16" s="43">
        <f>IFERROR(IF(ISBLANK(INDEX('Dens-C-Large'!$A$5:$M$55,MATCH($A16,'Dens-C-Large'!$B$5:$B$55,0),MATCH("susb_employment_total",'Dens-C-Large'!$A$4:$M$4,0))),"",INDEX('Dens-C-Large'!$A$5:$M$55,MATCH($A16,'Dens-C-Large'!$B$5:$B$55,0),MATCH("susb_employment_total",'Dens-C-Large'!$A$4:$M$4,0))),"")</f>
        <v>2875908</v>
      </c>
      <c r="H16" s="55">
        <f>IF(Table2[[#This Row],[Charter Units]]&lt;&gt;"", Table2[[#This Row],[Charter Units]]/Table2[[#This Row],[Total Residential Units]], "")</f>
        <v>0.21059992973559932</v>
      </c>
      <c r="I16" s="44">
        <f>IFERROR(IF(ISBLANK(INDEX('Dens-B-WFH'!$A$5:$L$55,MATCH($A16,'Dens-B-WFH'!$B$5:$B$55,0),MATCH("acs_wfh_rate_pct",'Dens-B-WFH'!$A$4:$L$4,0))),"",INDEX('Dens-B-WFH'!$A$5:$L$55,MATCH($A16,'Dens-B-WFH'!$B$5:$B$55,0),MATCH("acs_wfh_rate_pct",'Dens-B-WFH'!$A$4:$L$4,0))/100),"")</f>
        <v>9.6363046820005446E-2</v>
      </c>
      <c r="J16" s="47">
        <f>IFERROR(IF(ISBLANK(INDEX('Dens-C-Large'!$A$5:$M$55,MATCH($A16,'Dens-C-Large'!$B$5:$B$55,0),MATCH("susb_share_ge500_pct",'Dens-C-Large'!$A$4:$M$4,0))),"",INDEX('Dens-C-Large'!$A$5:$M$55,MATCH($A16,'Dens-C-Large'!$B$5:$B$55,0),MATCH("susb_share_ge500_pct",'Dens-C-Large'!$A$4:$M$4,0))/100),"")</f>
        <v>0.56819272382843966</v>
      </c>
    </row>
    <row r="17" spans="1:10" ht="18" customHeight="1" x14ac:dyDescent="0.35">
      <c r="A17" s="46" t="s">
        <v>74</v>
      </c>
      <c r="B17" s="43" t="str">
        <f>IFERROR(IF(ISBLANK(INDEX('Dens-A-CvC'!$A$5:$P$55,MATCH($A17,'Dens-A-CvC'!$B$5:$B$55,0),MATCH("charter_est_units",'Dens-A-CvC'!$A$4:$P$4,0))),"",INDEX('Dens-A-CvC'!$A$5:$P$55,MATCH($A17,'Dens-A-CvC'!$B$5:$B$55,0),MATCH("charter_est_units",'Dens-A-CvC'!$A$4:$P$4,0))),"")</f>
        <v/>
      </c>
      <c r="C17" s="43" t="str">
        <f>IFERROR(IF(ISBLANK(INDEX('Dens-A-CvC'!$A$5:$P$55,MATCH($A17,'Dens-A-CvC'!$B$5:$B$55,0),MATCH("comcast_est_units",'Dens-A-CvC'!$A$4:$P$4,0))),"",INDEX('Dens-A-CvC'!$A$5:$P$55,MATCH($A17,'Dens-A-CvC'!$B$5:$B$55,0),MATCH("comcast_est_units",'Dens-A-CvC'!$A$4:$P$4,0))),"")</f>
        <v/>
      </c>
      <c r="D17" s="43">
        <f>IFERROR(IF(ISBLANK(INDEX('Dens-A-CvC'!$A$5:$P$55,MATCH($A17,'Dens-A-CvC'!$B$5:$B$55,0),MATCH("total_residential_units",'Dens-A-CvC'!$A$4:$P$4,0))),"",INDEX('Dens-A-CvC'!$A$5:$P$55,MATCH($A17,'Dens-A-CvC'!$B$5:$B$55,0),MATCH("total_residential_units",'Dens-A-CvC'!$A$4:$P$4,0))),"")</f>
        <v>1661913</v>
      </c>
      <c r="E17" s="43">
        <f>IFERROR(IF(ISBLANK(INDEX('Dens-B-WFH'!$A$5:$L$55,MATCH($A17,'Dens-B-WFH'!$B$5:$B$55,0),MATCH("acs_worked_from_home",'Dens-B-WFH'!$A$4:$L$4,0))),"",INDEX('Dens-B-WFH'!$A$5:$L$55,MATCH($A17,'Dens-B-WFH'!$B$5:$B$55,0),MATCH("acs_worked_from_home",'Dens-B-WFH'!$A$4:$L$4,0))),"")</f>
        <v>162777</v>
      </c>
      <c r="F17" s="43">
        <f>IFERROR(IF(ISBLANK(INDEX('Dens-C-Large'!$A$5:$M$55,MATCH($A17,'Dens-C-Large'!$B$5:$B$55,0),MATCH("susb_employment_ge500",'Dens-C-Large'!$A$4:$M$4,0))),"",INDEX('Dens-C-Large'!$A$5:$M$55,MATCH($A17,'Dens-C-Large'!$B$5:$B$55,0),MATCH("susb_employment_ge500",'Dens-C-Large'!$A$4:$M$4,0))),"")</f>
        <v>748742</v>
      </c>
      <c r="G17" s="43">
        <f>IFERROR(IF(ISBLANK(INDEX('Dens-C-Large'!$A$5:$M$55,MATCH($A17,'Dens-C-Large'!$B$5:$B$55,0),MATCH("susb_employment_total",'Dens-C-Large'!$A$4:$M$4,0))),"",INDEX('Dens-C-Large'!$A$5:$M$55,MATCH($A17,'Dens-C-Large'!$B$5:$B$55,0),MATCH("susb_employment_total",'Dens-C-Large'!$A$4:$M$4,0))),"")</f>
        <v>1386299</v>
      </c>
      <c r="H17" s="55" t="str">
        <f>IF(Table2[[#This Row],[Charter Units]]&lt;&gt;"", Table2[[#This Row],[Charter Units]]/Table2[[#This Row],[Total Residential Units]], "")</f>
        <v/>
      </c>
      <c r="I17" s="44">
        <f>IFERROR(IF(ISBLANK(INDEX('Dens-B-WFH'!$A$5:$L$55,MATCH($A17,'Dens-B-WFH'!$B$5:$B$55,0),MATCH("acs_wfh_rate_pct",'Dens-B-WFH'!$A$4:$L$4,0))),"",INDEX('Dens-B-WFH'!$A$5:$L$55,MATCH($A17,'Dens-B-WFH'!$B$5:$B$55,0),MATCH("acs_wfh_rate_pct",'Dens-B-WFH'!$A$4:$L$4,0))/100),"")</f>
        <v>9.8667796536198255E-2</v>
      </c>
      <c r="J17" s="47">
        <f>IFERROR(IF(ISBLANK(INDEX('Dens-C-Large'!$A$5:$M$55,MATCH($A17,'Dens-C-Large'!$B$5:$B$55,0),MATCH("susb_share_ge500_pct",'Dens-C-Large'!$A$4:$M$4,0))),"",INDEX('Dens-C-Large'!$A$5:$M$55,MATCH($A17,'Dens-C-Large'!$B$5:$B$55,0),MATCH("susb_share_ge500_pct",'Dens-C-Large'!$A$4:$M$4,0))/100),"")</f>
        <v>0.5401013778412882</v>
      </c>
    </row>
    <row r="18" spans="1:10" ht="18" customHeight="1" x14ac:dyDescent="0.35">
      <c r="A18" s="46" t="s">
        <v>63</v>
      </c>
      <c r="B18" s="43">
        <f>IFERROR(IF(ISBLANK(INDEX('Dens-A-CvC'!$A$5:$P$55,MATCH($A18,'Dens-A-CvC'!$B$5:$B$55,0),MATCH("charter_est_units",'Dens-A-CvC'!$A$4:$P$4,0))),"",INDEX('Dens-A-CvC'!$A$5:$P$55,MATCH($A18,'Dens-A-CvC'!$B$5:$B$55,0),MATCH("charter_est_units",'Dens-A-CvC'!$A$4:$P$4,0))),"")</f>
        <v>296567</v>
      </c>
      <c r="C18" s="43">
        <f>IFERROR(IF(ISBLANK(INDEX('Dens-A-CvC'!$A$5:$P$55,MATCH($A18,'Dens-A-CvC'!$B$5:$B$55,0),MATCH("comcast_est_units",'Dens-A-CvC'!$A$4:$P$4,0))),"",INDEX('Dens-A-CvC'!$A$5:$P$55,MATCH($A18,'Dens-A-CvC'!$B$5:$B$55,0),MATCH("comcast_est_units",'Dens-A-CvC'!$A$4:$P$4,0))),"")</f>
        <v>67226</v>
      </c>
      <c r="D18" s="43">
        <f>IFERROR(IF(ISBLANK(INDEX('Dens-A-CvC'!$A$5:$P$55,MATCH($A18,'Dens-A-CvC'!$B$5:$B$55,0),MATCH("total_residential_units",'Dens-A-CvC'!$A$4:$P$4,0))),"",INDEX('Dens-A-CvC'!$A$5:$P$55,MATCH($A18,'Dens-A-CvC'!$B$5:$B$55,0),MATCH("total_residential_units",'Dens-A-CvC'!$A$4:$P$4,0))),"")</f>
        <v>1487297</v>
      </c>
      <c r="E18" s="43">
        <f>IFERROR(IF(ISBLANK(INDEX('Dens-B-WFH'!$A$5:$L$55,MATCH($A18,'Dens-B-WFH'!$B$5:$B$55,0),MATCH("acs_worked_from_home",'Dens-B-WFH'!$A$4:$L$4,0))),"",INDEX('Dens-B-WFH'!$A$5:$L$55,MATCH($A18,'Dens-B-WFH'!$B$5:$B$55,0),MATCH("acs_worked_from_home",'Dens-B-WFH'!$A$4:$L$4,0))),"")</f>
        <v>153539</v>
      </c>
      <c r="F18" s="43">
        <f>IFERROR(IF(ISBLANK(INDEX('Dens-C-Large'!$A$5:$M$55,MATCH($A18,'Dens-C-Large'!$B$5:$B$55,0),MATCH("susb_employment_ge500",'Dens-C-Large'!$A$4:$M$4,0))),"",INDEX('Dens-C-Large'!$A$5:$M$55,MATCH($A18,'Dens-C-Large'!$B$5:$B$55,0),MATCH("susb_employment_ge500",'Dens-C-Large'!$A$4:$M$4,0))),"")</f>
        <v>626098</v>
      </c>
      <c r="G18" s="43">
        <f>IFERROR(IF(ISBLANK(INDEX('Dens-C-Large'!$A$5:$M$55,MATCH($A18,'Dens-C-Large'!$B$5:$B$55,0),MATCH("susb_employment_total",'Dens-C-Large'!$A$4:$M$4,0))),"",INDEX('Dens-C-Large'!$A$5:$M$55,MATCH($A18,'Dens-C-Large'!$B$5:$B$55,0),MATCH("susb_employment_total",'Dens-C-Large'!$A$4:$M$4,0))),"")</f>
        <v>1225232</v>
      </c>
      <c r="H18" s="55">
        <f>IF(Table2[[#This Row],[Charter Units]]&lt;&gt;"", Table2[[#This Row],[Charter Units]]/Table2[[#This Row],[Total Residential Units]], "")</f>
        <v>0.1993999853425375</v>
      </c>
      <c r="I18" s="44">
        <f>IFERROR(IF(ISBLANK(INDEX('Dens-B-WFH'!$A$5:$L$55,MATCH($A18,'Dens-B-WFH'!$B$5:$B$55,0),MATCH("acs_wfh_rate_pct",'Dens-B-WFH'!$A$4:$L$4,0))),"",INDEX('Dens-B-WFH'!$A$5:$L$55,MATCH($A18,'Dens-B-WFH'!$B$5:$B$55,0),MATCH("acs_wfh_rate_pct",'Dens-B-WFH'!$A$4:$L$4,0))/100),"")</f>
        <v>0.1027245533620532</v>
      </c>
      <c r="J18" s="47">
        <f>IFERROR(IF(ISBLANK(INDEX('Dens-C-Large'!$A$5:$M$55,MATCH($A18,'Dens-C-Large'!$B$5:$B$55,0),MATCH("susb_share_ge500_pct",'Dens-C-Large'!$A$4:$M$4,0))),"",INDEX('Dens-C-Large'!$A$5:$M$55,MATCH($A18,'Dens-C-Large'!$B$5:$B$55,0),MATCH("susb_share_ge500_pct",'Dens-C-Large'!$A$4:$M$4,0))/100),"")</f>
        <v>0.51100363033286744</v>
      </c>
    </row>
    <row r="19" spans="1:10" ht="18" customHeight="1" x14ac:dyDescent="0.35">
      <c r="A19" s="46" t="s">
        <v>44</v>
      </c>
      <c r="B19" s="43">
        <f>IFERROR(IF(ISBLANK(INDEX('Dens-A-CvC'!$A$5:$P$55,MATCH($A19,'Dens-A-CvC'!$B$5:$B$55,0),MATCH("charter_est_units",'Dens-A-CvC'!$A$4:$P$4,0))),"",INDEX('Dens-A-CvC'!$A$5:$P$55,MATCH($A19,'Dens-A-CvC'!$B$5:$B$55,0),MATCH("charter_est_units",'Dens-A-CvC'!$A$4:$P$4,0))),"")</f>
        <v>1363705</v>
      </c>
      <c r="C19" s="43">
        <f>IFERROR(IF(ISBLANK(INDEX('Dens-A-CvC'!$A$5:$P$55,MATCH($A19,'Dens-A-CvC'!$B$5:$B$55,0),MATCH("comcast_est_units",'Dens-A-CvC'!$A$4:$P$4,0))),"",INDEX('Dens-A-CvC'!$A$5:$P$55,MATCH($A19,'Dens-A-CvC'!$B$5:$B$55,0),MATCH("comcast_est_units",'Dens-A-CvC'!$A$4:$P$4,0))),"")</f>
        <v>109124</v>
      </c>
      <c r="D19" s="43">
        <f>IFERROR(IF(ISBLANK(INDEX('Dens-A-CvC'!$A$5:$P$55,MATCH($A19,'Dens-A-CvC'!$B$5:$B$55,0),MATCH("total_residential_units",'Dens-A-CvC'!$A$4:$P$4,0))),"",INDEX('Dens-A-CvC'!$A$5:$P$55,MATCH($A19,'Dens-A-CvC'!$B$5:$B$55,0),MATCH("total_residential_units",'Dens-A-CvC'!$A$4:$P$4,0))),"")</f>
        <v>2278158</v>
      </c>
      <c r="E19" s="43">
        <f>IFERROR(IF(ISBLANK(INDEX('Dens-B-WFH'!$A$5:$L$55,MATCH($A19,'Dens-B-WFH'!$B$5:$B$55,0),MATCH("acs_worked_from_home",'Dens-B-WFH'!$A$4:$L$4,0))),"",INDEX('Dens-B-WFH'!$A$5:$L$55,MATCH($A19,'Dens-B-WFH'!$B$5:$B$55,0),MATCH("acs_worked_from_home",'Dens-B-WFH'!$A$4:$L$4,0))),"")</f>
        <v>197124</v>
      </c>
      <c r="F19" s="43">
        <f>IFERROR(IF(ISBLANK(INDEX('Dens-C-Large'!$A$5:$M$55,MATCH($A19,'Dens-C-Large'!$B$5:$B$55,0),MATCH("susb_employment_ge500",'Dens-C-Large'!$A$4:$M$4,0))),"",INDEX('Dens-C-Large'!$A$5:$M$55,MATCH($A19,'Dens-C-Large'!$B$5:$B$55,0),MATCH("susb_employment_ge500",'Dens-C-Large'!$A$4:$M$4,0))),"")</f>
        <v>957081</v>
      </c>
      <c r="G19" s="43">
        <f>IFERROR(IF(ISBLANK(INDEX('Dens-C-Large'!$A$5:$M$55,MATCH($A19,'Dens-C-Large'!$B$5:$B$55,0),MATCH("susb_employment_total",'Dens-C-Large'!$A$4:$M$4,0))),"",INDEX('Dens-C-Large'!$A$5:$M$55,MATCH($A19,'Dens-C-Large'!$B$5:$B$55,0),MATCH("susb_employment_total",'Dens-C-Large'!$A$4:$M$4,0))),"")</f>
        <v>1667694</v>
      </c>
      <c r="H19" s="55">
        <f>IF(Table2[[#This Row],[Charter Units]]&lt;&gt;"", Table2[[#This Row],[Charter Units]]/Table2[[#This Row],[Total Residential Units]], "")</f>
        <v>0.59859983372531667</v>
      </c>
      <c r="I19" s="44">
        <f>IFERROR(IF(ISBLANK(INDEX('Dens-B-WFH'!$A$5:$L$55,MATCH($A19,'Dens-B-WFH'!$B$5:$B$55,0),MATCH("acs_wfh_rate_pct",'Dens-B-WFH'!$A$4:$L$4,0))),"",INDEX('Dens-B-WFH'!$A$5:$L$55,MATCH($A19,'Dens-B-WFH'!$B$5:$B$55,0),MATCH("acs_wfh_rate_pct",'Dens-B-WFH'!$A$4:$L$4,0))/100),"")</f>
        <v>9.4831882724898828E-2</v>
      </c>
      <c r="J19" s="47">
        <f>IFERROR(IF(ISBLANK(INDEX('Dens-C-Large'!$A$5:$M$55,MATCH($A19,'Dens-C-Large'!$B$5:$B$55,0),MATCH("susb_share_ge500_pct",'Dens-C-Large'!$A$4:$M$4,0))),"",INDEX('Dens-C-Large'!$A$5:$M$55,MATCH($A19,'Dens-C-Large'!$B$5:$B$55,0),MATCH("susb_share_ge500_pct",'Dens-C-Large'!$A$4:$M$4,0))/100),"")</f>
        <v>0.57389485121371187</v>
      </c>
    </row>
    <row r="20" spans="1:10" ht="18" customHeight="1" x14ac:dyDescent="0.35">
      <c r="A20" s="46" t="s">
        <v>69</v>
      </c>
      <c r="B20" s="43">
        <f>IFERROR(IF(ISBLANK(INDEX('Dens-A-CvC'!$A$5:$P$55,MATCH($A20,'Dens-A-CvC'!$B$5:$B$55,0),MATCH("charter_est_units",'Dens-A-CvC'!$A$4:$P$4,0))),"",INDEX('Dens-A-CvC'!$A$5:$P$55,MATCH($A20,'Dens-A-CvC'!$B$5:$B$55,0),MATCH("charter_est_units",'Dens-A-CvC'!$A$4:$P$4,0))),"")</f>
        <v>318024</v>
      </c>
      <c r="C20" s="43">
        <f>IFERROR(IF(ISBLANK(INDEX('Dens-A-CvC'!$A$5:$P$55,MATCH($A20,'Dens-A-CvC'!$B$5:$B$55,0),MATCH("comcast_est_units",'Dens-A-CvC'!$A$4:$P$4,0))),"",INDEX('Dens-A-CvC'!$A$5:$P$55,MATCH($A20,'Dens-A-CvC'!$B$5:$B$55,0),MATCH("comcast_est_units",'Dens-A-CvC'!$A$4:$P$4,0))),"")</f>
        <v>266159</v>
      </c>
      <c r="D20" s="43">
        <f>IFERROR(IF(ISBLANK(INDEX('Dens-A-CvC'!$A$5:$P$55,MATCH($A20,'Dens-A-CvC'!$B$5:$B$55,0),MATCH("total_residential_units",'Dens-A-CvC'!$A$4:$P$4,0))),"",INDEX('Dens-A-CvC'!$A$5:$P$55,MATCH($A20,'Dens-A-CvC'!$B$5:$B$55,0),MATCH("total_residential_units",'Dens-A-CvC'!$A$4:$P$4,0))),"")</f>
        <v>2357476</v>
      </c>
      <c r="E20" s="43">
        <f>IFERROR(IF(ISBLANK(INDEX('Dens-B-WFH'!$A$5:$L$55,MATCH($A20,'Dens-B-WFH'!$B$5:$B$55,0),MATCH("acs_worked_from_home",'Dens-B-WFH'!$A$4:$L$4,0))),"",INDEX('Dens-B-WFH'!$A$5:$L$55,MATCH($A20,'Dens-B-WFH'!$B$5:$B$55,0),MATCH("acs_worked_from_home",'Dens-B-WFH'!$A$4:$L$4,0))),"")</f>
        <v>163353</v>
      </c>
      <c r="F20" s="43">
        <f>IFERROR(IF(ISBLANK(INDEX('Dens-C-Large'!$A$5:$M$55,MATCH($A20,'Dens-C-Large'!$B$5:$B$55,0),MATCH("susb_employment_ge500",'Dens-C-Large'!$A$4:$M$4,0))),"",INDEX('Dens-C-Large'!$A$5:$M$55,MATCH($A20,'Dens-C-Large'!$B$5:$B$55,0),MATCH("susb_employment_ge500",'Dens-C-Large'!$A$4:$M$4,0))),"")</f>
        <v>754605</v>
      </c>
      <c r="G20" s="43">
        <f>IFERROR(IF(ISBLANK(INDEX('Dens-C-Large'!$A$5:$M$55,MATCH($A20,'Dens-C-Large'!$B$5:$B$55,0),MATCH("susb_employment_total",'Dens-C-Large'!$A$4:$M$4,0))),"",INDEX('Dens-C-Large'!$A$5:$M$55,MATCH($A20,'Dens-C-Large'!$B$5:$B$55,0),MATCH("susb_employment_total",'Dens-C-Large'!$A$4:$M$4,0))),"")</f>
        <v>1644036</v>
      </c>
      <c r="H20" s="55">
        <f>IF(Table2[[#This Row],[Charter Units]]&lt;&gt;"", Table2[[#This Row],[Charter Units]]/Table2[[#This Row],[Total Residential Units]], "")</f>
        <v>0.13490020683137388</v>
      </c>
      <c r="I20" s="44">
        <f>IFERROR(IF(ISBLANK(INDEX('Dens-B-WFH'!$A$5:$L$55,MATCH($A20,'Dens-B-WFH'!$B$5:$B$55,0),MATCH("acs_wfh_rate_pct",'Dens-B-WFH'!$A$4:$L$4,0))),"",INDEX('Dens-B-WFH'!$A$5:$L$55,MATCH($A20,'Dens-B-WFH'!$B$5:$B$55,0),MATCH("acs_wfh_rate_pct",'Dens-B-WFH'!$A$4:$L$4,0))/100),"")</f>
        <v>7.9944032863808412E-2</v>
      </c>
      <c r="J20" s="47">
        <f>IFERROR(IF(ISBLANK(INDEX('Dens-C-Large'!$A$5:$M$55,MATCH($A20,'Dens-C-Large'!$B$5:$B$55,0),MATCH("susb_share_ge500_pct",'Dens-C-Large'!$A$4:$M$4,0))),"",INDEX('Dens-C-Large'!$A$5:$M$55,MATCH($A20,'Dens-C-Large'!$B$5:$B$55,0),MATCH("susb_share_ge500_pct",'Dens-C-Large'!$A$4:$M$4,0))/100),"")</f>
        <v>0.45899542345788047</v>
      </c>
    </row>
    <row r="21" spans="1:10" ht="18" customHeight="1" x14ac:dyDescent="0.35">
      <c r="A21" s="46" t="s">
        <v>53</v>
      </c>
      <c r="B21" s="43">
        <f>IFERROR(IF(ISBLANK(INDEX('Dens-A-CvC'!$A$5:$P$55,MATCH($A21,'Dens-A-CvC'!$B$5:$B$55,0),MATCH("charter_est_units",'Dens-A-CvC'!$A$4:$P$4,0))),"",INDEX('Dens-A-CvC'!$A$5:$P$55,MATCH($A21,'Dens-A-CvC'!$B$5:$B$55,0),MATCH("charter_est_units",'Dens-A-CvC'!$A$4:$P$4,0))),"")</f>
        <v>600801</v>
      </c>
      <c r="C21" s="43">
        <f>IFERROR(IF(ISBLANK(INDEX('Dens-A-CvC'!$A$5:$P$55,MATCH($A21,'Dens-A-CvC'!$B$5:$B$55,0),MATCH("comcast_est_units",'Dens-A-CvC'!$A$4:$P$4,0))),"",INDEX('Dens-A-CvC'!$A$5:$P$55,MATCH($A21,'Dens-A-CvC'!$B$5:$B$55,0),MATCH("comcast_est_units",'Dens-A-CvC'!$A$4:$P$4,0))),"")</f>
        <v>72426</v>
      </c>
      <c r="D21" s="43">
        <f>IFERROR(IF(ISBLANK(INDEX('Dens-A-CvC'!$A$5:$P$55,MATCH($A21,'Dens-A-CvC'!$B$5:$B$55,0),MATCH("total_residential_units",'Dens-A-CvC'!$A$4:$P$4,0))),"",INDEX('Dens-A-CvC'!$A$5:$P$55,MATCH($A21,'Dens-A-CvC'!$B$5:$B$55,0),MATCH("total_residential_units",'Dens-A-CvC'!$A$4:$P$4,0))),"")</f>
        <v>816527</v>
      </c>
      <c r="E21" s="43">
        <f>IFERROR(IF(ISBLANK(INDEX('Dens-B-WFH'!$A$5:$L$55,MATCH($A21,'Dens-B-WFH'!$B$5:$B$55,0),MATCH("acs_worked_from_home",'Dens-B-WFH'!$A$4:$L$4,0))),"",INDEX('Dens-B-WFH'!$A$5:$L$55,MATCH($A21,'Dens-B-WFH'!$B$5:$B$55,0),MATCH("acs_worked_from_home",'Dens-B-WFH'!$A$4:$L$4,0))),"")</f>
        <v>103070</v>
      </c>
      <c r="F21" s="43">
        <f>IFERROR(IF(ISBLANK(INDEX('Dens-C-Large'!$A$5:$M$55,MATCH($A21,'Dens-C-Large'!$B$5:$B$55,0),MATCH("susb_employment_ge500",'Dens-C-Large'!$A$4:$M$4,0))),"",INDEX('Dens-C-Large'!$A$5:$M$55,MATCH($A21,'Dens-C-Large'!$B$5:$B$55,0),MATCH("susb_employment_ge500",'Dens-C-Large'!$A$4:$M$4,0))),"")</f>
        <v>242633</v>
      </c>
      <c r="G21" s="43">
        <f>IFERROR(IF(ISBLANK(INDEX('Dens-C-Large'!$A$5:$M$55,MATCH($A21,'Dens-C-Large'!$B$5:$B$55,0),MATCH("susb_employment_total",'Dens-C-Large'!$A$4:$M$4,0))),"",INDEX('Dens-C-Large'!$A$5:$M$55,MATCH($A21,'Dens-C-Large'!$B$5:$B$55,0),MATCH("susb_employment_total",'Dens-C-Large'!$A$4:$M$4,0))),"")</f>
        <v>533151</v>
      </c>
      <c r="H21" s="55">
        <f>IF(Table2[[#This Row],[Charter Units]]&lt;&gt;"", Table2[[#This Row],[Charter Units]]/Table2[[#This Row],[Total Residential Units]], "")</f>
        <v>0.73580053078465257</v>
      </c>
      <c r="I21" s="44">
        <f>IFERROR(IF(ISBLANK(INDEX('Dens-B-WFH'!$A$5:$L$55,MATCH($A21,'Dens-B-WFH'!$B$5:$B$55,0),MATCH("acs_wfh_rate_pct",'Dens-B-WFH'!$A$4:$L$4,0))),"",INDEX('Dens-B-WFH'!$A$5:$L$55,MATCH($A21,'Dens-B-WFH'!$B$5:$B$55,0),MATCH("acs_wfh_rate_pct",'Dens-B-WFH'!$A$4:$L$4,0))/100),"")</f>
        <v>0.14672324724297811</v>
      </c>
      <c r="J21" s="47">
        <f>IFERROR(IF(ISBLANK(INDEX('Dens-C-Large'!$A$5:$M$55,MATCH($A21,'Dens-C-Large'!$B$5:$B$55,0),MATCH("susb_share_ge500_pct",'Dens-C-Large'!$A$4:$M$4,0))),"",INDEX('Dens-C-Large'!$A$5:$M$55,MATCH($A21,'Dens-C-Large'!$B$5:$B$55,0),MATCH("susb_share_ge500_pct",'Dens-C-Large'!$A$4:$M$4,0))/100),"")</f>
        <v>0.45509245973467183</v>
      </c>
    </row>
    <row r="22" spans="1:10" ht="18" customHeight="1" x14ac:dyDescent="0.35">
      <c r="A22" s="46" t="s">
        <v>131</v>
      </c>
      <c r="B22" s="43">
        <f>IFERROR(IF(ISBLANK(INDEX('Dens-A-CvC'!$A$5:$P$55,MATCH($A22,'Dens-A-CvC'!$B$5:$B$55,0),MATCH("charter_est_units",'Dens-A-CvC'!$A$4:$P$4,0))),"",INDEX('Dens-A-CvC'!$A$5:$P$55,MATCH($A22,'Dens-A-CvC'!$B$5:$B$55,0),MATCH("charter_est_units",'Dens-A-CvC'!$A$4:$P$4,0))),"")</f>
        <v>4407</v>
      </c>
      <c r="C22" s="43">
        <f>IFERROR(IF(ISBLANK(INDEX('Dens-A-CvC'!$A$5:$P$55,MATCH($A22,'Dens-A-CvC'!$B$5:$B$55,0),MATCH("comcast_est_units",'Dens-A-CvC'!$A$4:$P$4,0))),"",INDEX('Dens-A-CvC'!$A$5:$P$55,MATCH($A22,'Dens-A-CvC'!$B$5:$B$55,0),MATCH("comcast_est_units",'Dens-A-CvC'!$A$4:$P$4,0))),"")</f>
        <v>2463446</v>
      </c>
      <c r="D22" s="43">
        <f>IFERROR(IF(ISBLANK(INDEX('Dens-A-CvC'!$A$5:$P$55,MATCH($A22,'Dens-A-CvC'!$B$5:$B$55,0),MATCH("total_residential_units",'Dens-A-CvC'!$A$4:$P$4,0))),"",INDEX('Dens-A-CvC'!$A$5:$P$55,MATCH($A22,'Dens-A-CvC'!$B$5:$B$55,0),MATCH("total_residential_units",'Dens-A-CvC'!$A$4:$P$4,0))),"")</f>
        <v>2754300</v>
      </c>
      <c r="E22" s="43">
        <f>IFERROR(IF(ISBLANK(INDEX('Dens-B-WFH'!$A$5:$L$55,MATCH($A22,'Dens-B-WFH'!$B$5:$B$55,0),MATCH("acs_worked_from_home",'Dens-B-WFH'!$A$4:$L$4,0))),"",INDEX('Dens-B-WFH'!$A$5:$L$55,MATCH($A22,'Dens-B-WFH'!$B$5:$B$55,0),MATCH("acs_worked_from_home",'Dens-B-WFH'!$A$4:$L$4,0))),"")</f>
        <v>504513</v>
      </c>
      <c r="F22" s="43">
        <f>IFERROR(IF(ISBLANK(INDEX('Dens-C-Large'!$A$5:$M$55,MATCH($A22,'Dens-C-Large'!$B$5:$B$55,0),MATCH("susb_employment_ge500",'Dens-C-Large'!$A$4:$M$4,0))),"",INDEX('Dens-C-Large'!$A$5:$M$55,MATCH($A22,'Dens-C-Large'!$B$5:$B$55,0),MATCH("susb_employment_ge500",'Dens-C-Large'!$A$4:$M$4,0))),"")</f>
        <v>1269450</v>
      </c>
      <c r="G22" s="43">
        <f>IFERROR(IF(ISBLANK(INDEX('Dens-C-Large'!$A$5:$M$55,MATCH($A22,'Dens-C-Large'!$B$5:$B$55,0),MATCH("susb_employment_total",'Dens-C-Large'!$A$4:$M$4,0))),"",INDEX('Dens-C-Large'!$A$5:$M$55,MATCH($A22,'Dens-C-Large'!$B$5:$B$55,0),MATCH("susb_employment_total",'Dens-C-Large'!$A$4:$M$4,0))),"")</f>
        <v>2436501</v>
      </c>
      <c r="H22" s="55">
        <f>IF(Table2[[#This Row],[Charter Units]]&lt;&gt;"", Table2[[#This Row],[Charter Units]]/Table2[[#This Row],[Total Residential Units]], "")</f>
        <v>1.600043568238754E-3</v>
      </c>
      <c r="I22" s="44">
        <f>IFERROR(IF(ISBLANK(INDEX('Dens-B-WFH'!$A$5:$L$55,MATCH($A22,'Dens-B-WFH'!$B$5:$B$55,0),MATCH("acs_wfh_rate_pct",'Dens-B-WFH'!$A$4:$L$4,0))),"",INDEX('Dens-B-WFH'!$A$5:$L$55,MATCH($A22,'Dens-B-WFH'!$B$5:$B$55,0),MATCH("acs_wfh_rate_pct",'Dens-B-WFH'!$A$4:$L$4,0))/100),"")</f>
        <v>0.1562963339308274</v>
      </c>
      <c r="J22" s="47">
        <f>IFERROR(IF(ISBLANK(INDEX('Dens-C-Large'!$A$5:$M$55,MATCH($A22,'Dens-C-Large'!$B$5:$B$55,0),MATCH("susb_share_ge500_pct",'Dens-C-Large'!$A$4:$M$4,0))),"",INDEX('Dens-C-Large'!$A$5:$M$55,MATCH($A22,'Dens-C-Large'!$B$5:$B$55,0),MATCH("susb_share_ge500_pct",'Dens-C-Large'!$A$4:$M$4,0))/100),"")</f>
        <v>0.52101353539358297</v>
      </c>
    </row>
    <row r="23" spans="1:10" ht="18" customHeight="1" x14ac:dyDescent="0.35">
      <c r="A23" s="46" t="s">
        <v>129</v>
      </c>
      <c r="B23" s="43">
        <f>IFERROR(IF(ISBLANK(INDEX('Dens-A-CvC'!$A$5:$P$55,MATCH($A23,'Dens-A-CvC'!$B$5:$B$55,0),MATCH("charter_est_units",'Dens-A-CvC'!$A$4:$P$4,0))),"",INDEX('Dens-A-CvC'!$A$5:$P$55,MATCH($A23,'Dens-A-CvC'!$B$5:$B$55,0),MATCH("charter_est_units",'Dens-A-CvC'!$A$4:$P$4,0))),"")</f>
        <v>412202</v>
      </c>
      <c r="C23" s="43">
        <f>IFERROR(IF(ISBLANK(INDEX('Dens-A-CvC'!$A$5:$P$55,MATCH($A23,'Dens-A-CvC'!$B$5:$B$55,0),MATCH("comcast_est_units",'Dens-A-CvC'!$A$4:$P$4,0))),"",INDEX('Dens-A-CvC'!$A$5:$P$55,MATCH($A23,'Dens-A-CvC'!$B$5:$B$55,0),MATCH("comcast_est_units",'Dens-A-CvC'!$A$4:$P$4,0))),"")</f>
        <v>2861422</v>
      </c>
      <c r="D23" s="43">
        <f>IFERROR(IF(ISBLANK(INDEX('Dens-A-CvC'!$A$5:$P$55,MATCH($A23,'Dens-A-CvC'!$B$5:$B$55,0),MATCH("total_residential_units",'Dens-A-CvC'!$A$4:$P$4,0))),"",INDEX('Dens-A-CvC'!$A$5:$P$55,MATCH($A23,'Dens-A-CvC'!$B$5:$B$55,0),MATCH("total_residential_units",'Dens-A-CvC'!$A$4:$P$4,0))),"")</f>
        <v>3332272</v>
      </c>
      <c r="E23" s="43">
        <f>IFERROR(IF(ISBLANK(INDEX('Dens-B-WFH'!$A$5:$L$55,MATCH($A23,'Dens-B-WFH'!$B$5:$B$55,0),MATCH("acs_worked_from_home",'Dens-B-WFH'!$A$4:$L$4,0))),"",INDEX('Dens-B-WFH'!$A$5:$L$55,MATCH($A23,'Dens-B-WFH'!$B$5:$B$55,0),MATCH("acs_worked_from_home",'Dens-B-WFH'!$A$4:$L$4,0))),"")</f>
        <v>556682</v>
      </c>
      <c r="F23" s="43">
        <f>IFERROR(IF(ISBLANK(INDEX('Dens-C-Large'!$A$5:$M$55,MATCH($A23,'Dens-C-Large'!$B$5:$B$55,0),MATCH("susb_employment_ge500",'Dens-C-Large'!$A$4:$M$4,0))),"",INDEX('Dens-C-Large'!$A$5:$M$55,MATCH($A23,'Dens-C-Large'!$B$5:$B$55,0),MATCH("susb_employment_ge500",'Dens-C-Large'!$A$4:$M$4,0))),"")</f>
        <v>1880082</v>
      </c>
      <c r="G23" s="43">
        <f>IFERROR(IF(ISBLANK(INDEX('Dens-C-Large'!$A$5:$M$55,MATCH($A23,'Dens-C-Large'!$B$5:$B$55,0),MATCH("susb_employment_total",'Dens-C-Large'!$A$4:$M$4,0))),"",INDEX('Dens-C-Large'!$A$5:$M$55,MATCH($A23,'Dens-C-Large'!$B$5:$B$55,0),MATCH("susb_employment_total",'Dens-C-Large'!$A$4:$M$4,0))),"")</f>
        <v>3396919</v>
      </c>
      <c r="H23" s="55">
        <f>IF(Table2[[#This Row],[Charter Units]]&lt;&gt;"", Table2[[#This Row],[Charter Units]]/Table2[[#This Row],[Total Residential Units]], "")</f>
        <v>0.12369998607556645</v>
      </c>
      <c r="I23" s="44">
        <f>IFERROR(IF(ISBLANK(INDEX('Dens-B-WFH'!$A$5:$L$55,MATCH($A23,'Dens-B-WFH'!$B$5:$B$55,0),MATCH("acs_wfh_rate_pct",'Dens-B-WFH'!$A$4:$L$4,0))),"",INDEX('Dens-B-WFH'!$A$5:$L$55,MATCH($A23,'Dens-B-WFH'!$B$5:$B$55,0),MATCH("acs_wfh_rate_pct",'Dens-B-WFH'!$A$4:$L$4,0))/100),"")</f>
        <v>0.14835228237253001</v>
      </c>
      <c r="J23" s="47">
        <f>IFERROR(IF(ISBLANK(INDEX('Dens-C-Large'!$A$5:$M$55,MATCH($A23,'Dens-C-Large'!$B$5:$B$55,0),MATCH("susb_share_ge500_pct",'Dens-C-Large'!$A$4:$M$4,0))),"",INDEX('Dens-C-Large'!$A$5:$M$55,MATCH($A23,'Dens-C-Large'!$B$5:$B$55,0),MATCH("susb_share_ge500_pct",'Dens-C-Large'!$A$4:$M$4,0))/100),"")</f>
        <v>0.55346683273872588</v>
      </c>
    </row>
    <row r="24" spans="1:10" ht="18" customHeight="1" x14ac:dyDescent="0.35">
      <c r="A24" s="46" t="s">
        <v>115</v>
      </c>
      <c r="B24" s="43">
        <f>IFERROR(IF(ISBLANK(INDEX('Dens-A-CvC'!$A$5:$P$55,MATCH($A24,'Dens-A-CvC'!$B$5:$B$55,0),MATCH("charter_est_units",'Dens-A-CvC'!$A$4:$P$4,0))),"",INDEX('Dens-A-CvC'!$A$5:$P$55,MATCH($A24,'Dens-A-CvC'!$B$5:$B$55,0),MATCH("charter_est_units",'Dens-A-CvC'!$A$4:$P$4,0))),"")</f>
        <v>1312548</v>
      </c>
      <c r="C24" s="43">
        <f>IFERROR(IF(ISBLANK(INDEX('Dens-A-CvC'!$A$5:$P$55,MATCH($A24,'Dens-A-CvC'!$B$5:$B$55,0),MATCH("comcast_est_units",'Dens-A-CvC'!$A$4:$P$4,0))),"",INDEX('Dens-A-CvC'!$A$5:$P$55,MATCH($A24,'Dens-A-CvC'!$B$5:$B$55,0),MATCH("comcast_est_units",'Dens-A-CvC'!$A$4:$P$4,0))),"")</f>
        <v>2945008</v>
      </c>
      <c r="D24" s="43">
        <f>IFERROR(IF(ISBLANK(INDEX('Dens-A-CvC'!$A$5:$P$55,MATCH($A24,'Dens-A-CvC'!$B$5:$B$55,0),MATCH("total_residential_units",'Dens-A-CvC'!$A$4:$P$4,0))),"",INDEX('Dens-A-CvC'!$A$5:$P$55,MATCH($A24,'Dens-A-CvC'!$B$5:$B$55,0),MATCH("total_residential_units",'Dens-A-CvC'!$A$4:$P$4,0))),"")</f>
        <v>5061891</v>
      </c>
      <c r="E24" s="43">
        <f>IFERROR(IF(ISBLANK(INDEX('Dens-B-WFH'!$A$5:$L$55,MATCH($A24,'Dens-B-WFH'!$B$5:$B$55,0),MATCH("acs_worked_from_home",'Dens-B-WFH'!$A$4:$L$4,0))),"",INDEX('Dens-B-WFH'!$A$5:$L$55,MATCH($A24,'Dens-B-WFH'!$B$5:$B$55,0),MATCH("acs_worked_from_home",'Dens-B-WFH'!$A$4:$L$4,0))),"")</f>
        <v>539125</v>
      </c>
      <c r="F24" s="43">
        <f>IFERROR(IF(ISBLANK(INDEX('Dens-C-Large'!$A$5:$M$55,MATCH($A24,'Dens-C-Large'!$B$5:$B$55,0),MATCH("susb_employment_ge500",'Dens-C-Large'!$A$4:$M$4,0))),"",INDEX('Dens-C-Large'!$A$5:$M$55,MATCH($A24,'Dens-C-Large'!$B$5:$B$55,0),MATCH("susb_employment_ge500",'Dens-C-Large'!$A$4:$M$4,0))),"")</f>
        <v>2059832</v>
      </c>
      <c r="G24" s="43">
        <f>IFERROR(IF(ISBLANK(INDEX('Dens-C-Large'!$A$5:$M$55,MATCH($A24,'Dens-C-Large'!$B$5:$B$55,0),MATCH("susb_employment_total",'Dens-C-Large'!$A$4:$M$4,0))),"",INDEX('Dens-C-Large'!$A$5:$M$55,MATCH($A24,'Dens-C-Large'!$B$5:$B$55,0),MATCH("susb_employment_total",'Dens-C-Large'!$A$4:$M$4,0))),"")</f>
        <v>3939076</v>
      </c>
      <c r="H24" s="55">
        <f>IF(Table2[[#This Row],[Charter Units]]&lt;&gt;"", Table2[[#This Row],[Charter Units]]/Table2[[#This Row],[Total Residential Units]], "")</f>
        <v>0.25929993356237818</v>
      </c>
      <c r="I24" s="44">
        <f>IFERROR(IF(ISBLANK(INDEX('Dens-B-WFH'!$A$5:$L$55,MATCH($A24,'Dens-B-WFH'!$B$5:$B$55,0),MATCH("acs_wfh_rate_pct",'Dens-B-WFH'!$A$4:$L$4,0))),"",INDEX('Dens-B-WFH'!$A$5:$L$55,MATCH($A24,'Dens-B-WFH'!$B$5:$B$55,0),MATCH("acs_wfh_rate_pct",'Dens-B-WFH'!$A$4:$L$4,0))/100),"")</f>
        <v>0.1123113908175998</v>
      </c>
      <c r="J24" s="47">
        <f>IFERROR(IF(ISBLANK(INDEX('Dens-C-Large'!$A$5:$M$55,MATCH($A24,'Dens-C-Large'!$B$5:$B$55,0),MATCH("susb_share_ge500_pct",'Dens-C-Large'!$A$4:$M$4,0))),"",INDEX('Dens-C-Large'!$A$5:$M$55,MATCH($A24,'Dens-C-Large'!$B$5:$B$55,0),MATCH("susb_share_ge500_pct",'Dens-C-Large'!$A$4:$M$4,0))/100),"")</f>
        <v>0.52292263464832867</v>
      </c>
    </row>
    <row r="25" spans="1:10" ht="18" customHeight="1" x14ac:dyDescent="0.35">
      <c r="A25" s="46" t="s">
        <v>103</v>
      </c>
      <c r="B25" s="43">
        <f>IFERROR(IF(ISBLANK(INDEX('Dens-A-CvC'!$A$5:$P$55,MATCH($A25,'Dens-A-CvC'!$B$5:$B$55,0),MATCH("charter_est_units",'Dens-A-CvC'!$A$4:$P$4,0))),"",INDEX('Dens-A-CvC'!$A$5:$P$55,MATCH($A25,'Dens-A-CvC'!$B$5:$B$55,0),MATCH("charter_est_units",'Dens-A-CvC'!$A$4:$P$4,0))),"")</f>
        <v>496591</v>
      </c>
      <c r="C25" s="43">
        <f>IFERROR(IF(ISBLANK(INDEX('Dens-A-CvC'!$A$5:$P$55,MATCH($A25,'Dens-A-CvC'!$B$5:$B$55,0),MATCH("comcast_est_units",'Dens-A-CvC'!$A$4:$P$4,0))),"",INDEX('Dens-A-CvC'!$A$5:$P$55,MATCH($A25,'Dens-A-CvC'!$B$5:$B$55,0),MATCH("comcast_est_units",'Dens-A-CvC'!$A$4:$P$4,0))),"")</f>
        <v>1251466</v>
      </c>
      <c r="D25" s="43">
        <f>IFERROR(IF(ISBLANK(INDEX('Dens-A-CvC'!$A$5:$P$55,MATCH($A25,'Dens-A-CvC'!$B$5:$B$55,0),MATCH("total_residential_units",'Dens-A-CvC'!$A$4:$P$4,0))),"",INDEX('Dens-A-CvC'!$A$5:$P$55,MATCH($A25,'Dens-A-CvC'!$B$5:$B$55,0),MATCH("total_residential_units",'Dens-A-CvC'!$A$4:$P$4,0))),"")</f>
        <v>2853970</v>
      </c>
      <c r="E25" s="43">
        <f>IFERROR(IF(ISBLANK(INDEX('Dens-B-WFH'!$A$5:$L$55,MATCH($A25,'Dens-B-WFH'!$B$5:$B$55,0),MATCH("acs_worked_from_home",'Dens-B-WFH'!$A$4:$L$4,0))),"",INDEX('Dens-B-WFH'!$A$5:$L$55,MATCH($A25,'Dens-B-WFH'!$B$5:$B$55,0),MATCH("acs_worked_from_home",'Dens-B-WFH'!$A$4:$L$4,0))),"")</f>
        <v>443318</v>
      </c>
      <c r="F25" s="43">
        <f>IFERROR(IF(ISBLANK(INDEX('Dens-C-Large'!$A$5:$M$55,MATCH($A25,'Dens-C-Large'!$B$5:$B$55,0),MATCH("susb_employment_ge500",'Dens-C-Large'!$A$4:$M$4,0))),"",INDEX('Dens-C-Large'!$A$5:$M$55,MATCH($A25,'Dens-C-Large'!$B$5:$B$55,0),MATCH("susb_employment_ge500",'Dens-C-Large'!$A$4:$M$4,0))),"")</f>
        <v>1479680</v>
      </c>
      <c r="G25" s="43">
        <f>IFERROR(IF(ISBLANK(INDEX('Dens-C-Large'!$A$5:$M$55,MATCH($A25,'Dens-C-Large'!$B$5:$B$55,0),MATCH("susb_employment_total",'Dens-C-Large'!$A$4:$M$4,0))),"",INDEX('Dens-C-Large'!$A$5:$M$55,MATCH($A25,'Dens-C-Large'!$B$5:$B$55,0),MATCH("susb_employment_total",'Dens-C-Large'!$A$4:$M$4,0))),"")</f>
        <v>2732522</v>
      </c>
      <c r="H25" s="55">
        <f>IF(Table2[[#This Row],[Charter Units]]&lt;&gt;"", Table2[[#This Row],[Charter Units]]/Table2[[#This Row],[Total Residential Units]], "")</f>
        <v>0.17400007708560356</v>
      </c>
      <c r="I25" s="44">
        <f>IFERROR(IF(ISBLANK(INDEX('Dens-B-WFH'!$A$5:$L$55,MATCH($A25,'Dens-B-WFH'!$B$5:$B$55,0),MATCH("acs_wfh_rate_pct",'Dens-B-WFH'!$A$4:$L$4,0))),"",INDEX('Dens-B-WFH'!$A$5:$L$55,MATCH($A25,'Dens-B-WFH'!$B$5:$B$55,0),MATCH("acs_wfh_rate_pct",'Dens-B-WFH'!$A$4:$L$4,0))/100),"")</f>
        <v>0.14733057671613381</v>
      </c>
      <c r="J25" s="47">
        <f>IFERROR(IF(ISBLANK(INDEX('Dens-C-Large'!$A$5:$M$55,MATCH($A25,'Dens-C-Large'!$B$5:$B$55,0),MATCH("susb_share_ge500_pct",'Dens-C-Large'!$A$4:$M$4,0))),"",INDEX('Dens-C-Large'!$A$5:$M$55,MATCH($A25,'Dens-C-Large'!$B$5:$B$55,0),MATCH("susb_share_ge500_pct",'Dens-C-Large'!$A$4:$M$4,0))/100),"")</f>
        <v>0.54150707661274089</v>
      </c>
    </row>
    <row r="26" spans="1:10" ht="18" customHeight="1" x14ac:dyDescent="0.35">
      <c r="A26" s="46" t="s">
        <v>99</v>
      </c>
      <c r="B26" s="43">
        <f>IFERROR(IF(ISBLANK(INDEX('Dens-A-CvC'!$A$5:$P$55,MATCH($A26,'Dens-A-CvC'!$B$5:$B$55,0),MATCH("charter_est_units",'Dens-A-CvC'!$A$4:$P$4,0))),"",INDEX('Dens-A-CvC'!$A$5:$P$55,MATCH($A26,'Dens-A-CvC'!$B$5:$B$55,0),MATCH("charter_est_units",'Dens-A-CvC'!$A$4:$P$4,0))),"")</f>
        <v>17742</v>
      </c>
      <c r="C26" s="43">
        <f>IFERROR(IF(ISBLANK(INDEX('Dens-A-CvC'!$A$5:$P$55,MATCH($A26,'Dens-A-CvC'!$B$5:$B$55,0),MATCH("comcast_est_units",'Dens-A-CvC'!$A$4:$P$4,0))),"",INDEX('Dens-A-CvC'!$A$5:$P$55,MATCH($A26,'Dens-A-CvC'!$B$5:$B$55,0),MATCH("comcast_est_units",'Dens-A-CvC'!$A$4:$P$4,0))),"")</f>
        <v>470167</v>
      </c>
      <c r="D26" s="43">
        <f>IFERROR(IF(ISBLANK(INDEX('Dens-A-CvC'!$A$5:$P$55,MATCH($A26,'Dens-A-CvC'!$B$5:$B$55,0),MATCH("total_residential_units",'Dens-A-CvC'!$A$4:$P$4,0))),"",INDEX('Dens-A-CvC'!$A$5:$P$55,MATCH($A26,'Dens-A-CvC'!$B$5:$B$55,0),MATCH("total_residential_units",'Dens-A-CvC'!$A$4:$P$4,0))),"")</f>
        <v>1612924</v>
      </c>
      <c r="E26" s="43">
        <f>IFERROR(IF(ISBLANK(INDEX('Dens-B-WFH'!$A$5:$L$55,MATCH($A26,'Dens-B-WFH'!$B$5:$B$55,0),MATCH("acs_worked_from_home",'Dens-B-WFH'!$A$4:$L$4,0))),"",INDEX('Dens-B-WFH'!$A$5:$L$55,MATCH($A26,'Dens-B-WFH'!$B$5:$B$55,0),MATCH("acs_worked_from_home",'Dens-B-WFH'!$A$4:$L$4,0))),"")</f>
        <v>81270</v>
      </c>
      <c r="F26" s="43">
        <f>IFERROR(IF(ISBLANK(INDEX('Dens-C-Large'!$A$5:$M$55,MATCH($A26,'Dens-C-Large'!$B$5:$B$55,0),MATCH("susb_employment_ge500",'Dens-C-Large'!$A$4:$M$4,0))),"",INDEX('Dens-C-Large'!$A$5:$M$55,MATCH($A26,'Dens-C-Large'!$B$5:$B$55,0),MATCH("susb_employment_ge500",'Dens-C-Large'!$A$4:$M$4,0))),"")</f>
        <v>500467</v>
      </c>
      <c r="G26" s="43">
        <f>IFERROR(IF(ISBLANK(INDEX('Dens-C-Large'!$A$5:$M$55,MATCH($A26,'Dens-C-Large'!$B$5:$B$55,0),MATCH("susb_employment_total",'Dens-C-Large'!$A$4:$M$4,0))),"",INDEX('Dens-C-Large'!$A$5:$M$55,MATCH($A26,'Dens-C-Large'!$B$5:$B$55,0),MATCH("susb_employment_total",'Dens-C-Large'!$A$4:$M$4,0))),"")</f>
        <v>944580</v>
      </c>
      <c r="H26" s="55">
        <f>IF(Table2[[#This Row],[Charter Units]]&lt;&gt;"", Table2[[#This Row],[Charter Units]]/Table2[[#This Row],[Total Residential Units]], "")</f>
        <v>1.0999898321309622E-2</v>
      </c>
      <c r="I26" s="44">
        <f>IFERROR(IF(ISBLANK(INDEX('Dens-B-WFH'!$A$5:$L$55,MATCH($A26,'Dens-B-WFH'!$B$5:$B$55,0),MATCH("acs_wfh_rate_pct",'Dens-B-WFH'!$A$4:$L$4,0))),"",INDEX('Dens-B-WFH'!$A$5:$L$55,MATCH($A26,'Dens-B-WFH'!$B$5:$B$55,0),MATCH("acs_wfh_rate_pct",'Dens-B-WFH'!$A$4:$L$4,0))/100),"")</f>
        <v>6.2407323933711706E-2</v>
      </c>
      <c r="J26" s="47">
        <f>IFERROR(IF(ISBLANK(INDEX('Dens-C-Large'!$A$5:$M$55,MATCH($A26,'Dens-C-Large'!$B$5:$B$55,0),MATCH("susb_share_ge500_pct",'Dens-C-Large'!$A$4:$M$4,0))),"",INDEX('Dens-C-Large'!$A$5:$M$55,MATCH($A26,'Dens-C-Large'!$B$5:$B$55,0),MATCH("susb_share_ge500_pct",'Dens-C-Large'!$A$4:$M$4,0))/100),"")</f>
        <v>0.52983018907874402</v>
      </c>
    </row>
    <row r="27" spans="1:10" ht="18" customHeight="1" x14ac:dyDescent="0.35">
      <c r="A27" s="46" t="s">
        <v>41</v>
      </c>
      <c r="B27" s="43">
        <f>IFERROR(IF(ISBLANK(INDEX('Dens-A-CvC'!$A$5:$P$55,MATCH($A27,'Dens-A-CvC'!$B$5:$B$55,0),MATCH("charter_est_units",'Dens-A-CvC'!$A$4:$P$4,0))),"",INDEX('Dens-A-CvC'!$A$5:$P$55,MATCH($A27,'Dens-A-CvC'!$B$5:$B$55,0),MATCH("charter_est_units",'Dens-A-CvC'!$A$4:$P$4,0))),"")</f>
        <v>1566412</v>
      </c>
      <c r="C27" s="43">
        <f>IFERROR(IF(ISBLANK(INDEX('Dens-A-CvC'!$A$5:$P$55,MATCH($A27,'Dens-A-CvC'!$B$5:$B$55,0),MATCH("comcast_est_units",'Dens-A-CvC'!$A$4:$P$4,0))),"",INDEX('Dens-A-CvC'!$A$5:$P$55,MATCH($A27,'Dens-A-CvC'!$B$5:$B$55,0),MATCH("comcast_est_units",'Dens-A-CvC'!$A$4:$P$4,0))),"")</f>
        <v>167101</v>
      </c>
      <c r="D27" s="43">
        <f>IFERROR(IF(ISBLANK(INDEX('Dens-A-CvC'!$A$5:$P$55,MATCH($A27,'Dens-A-CvC'!$B$5:$B$55,0),MATCH("total_residential_units",'Dens-A-CvC'!$A$4:$P$4,0))),"",INDEX('Dens-A-CvC'!$A$5:$P$55,MATCH($A27,'Dens-A-CvC'!$B$5:$B$55,0),MATCH("total_residential_units",'Dens-A-CvC'!$A$4:$P$4,0))),"")</f>
        <v>3140991</v>
      </c>
      <c r="E27" s="43">
        <f>IFERROR(IF(ISBLANK(INDEX('Dens-B-WFH'!$A$5:$L$55,MATCH($A27,'Dens-B-WFH'!$B$5:$B$55,0),MATCH("acs_worked_from_home",'Dens-B-WFH'!$A$4:$L$4,0))),"",INDEX('Dens-B-WFH'!$A$5:$L$55,MATCH($A27,'Dens-B-WFH'!$B$5:$B$55,0),MATCH("acs_worked_from_home",'Dens-B-WFH'!$A$4:$L$4,0))),"")</f>
        <v>360070</v>
      </c>
      <c r="F27" s="43">
        <f>IFERROR(IF(ISBLANK(INDEX('Dens-C-Large'!$A$5:$M$55,MATCH($A27,'Dens-C-Large'!$B$5:$B$55,0),MATCH("susb_employment_ge500",'Dens-C-Large'!$A$4:$M$4,0))),"",INDEX('Dens-C-Large'!$A$5:$M$55,MATCH($A27,'Dens-C-Large'!$B$5:$B$55,0),MATCH("susb_employment_ge500",'Dens-C-Large'!$A$4:$M$4,0))),"")</f>
        <v>1425352</v>
      </c>
      <c r="G27" s="43">
        <f>IFERROR(IF(ISBLANK(INDEX('Dens-C-Large'!$A$5:$M$55,MATCH($A27,'Dens-C-Large'!$B$5:$B$55,0),MATCH("susb_employment_total",'Dens-C-Large'!$A$4:$M$4,0))),"",INDEX('Dens-C-Large'!$A$5:$M$55,MATCH($A27,'Dens-C-Large'!$B$5:$B$55,0),MATCH("susb_employment_total",'Dens-C-Large'!$A$4:$M$4,0))),"")</f>
        <v>2564383</v>
      </c>
      <c r="H27" s="55">
        <f>IF(Table2[[#This Row],[Charter Units]]&lt;&gt;"", Table2[[#This Row],[Charter Units]]/Table2[[#This Row],[Total Residential Units]], "")</f>
        <v>0.49869993260088935</v>
      </c>
      <c r="I27" s="44">
        <f>IFERROR(IF(ISBLANK(INDEX('Dens-B-WFH'!$A$5:$L$55,MATCH($A27,'Dens-B-WFH'!$B$5:$B$55,0),MATCH("acs_wfh_rate_pct",'Dens-B-WFH'!$A$4:$L$4,0))),"",INDEX('Dens-B-WFH'!$A$5:$L$55,MATCH($A27,'Dens-B-WFH'!$B$5:$B$55,0),MATCH("acs_wfh_rate_pct",'Dens-B-WFH'!$A$4:$L$4,0))/100),"")</f>
        <v>0.1178992988647522</v>
      </c>
      <c r="J27" s="47">
        <f>IFERROR(IF(ISBLANK(INDEX('Dens-C-Large'!$A$5:$M$55,MATCH($A27,'Dens-C-Large'!$B$5:$B$55,0),MATCH("susb_share_ge500_pct",'Dens-C-Large'!$A$4:$M$4,0))),"",INDEX('Dens-C-Large'!$A$5:$M$55,MATCH($A27,'Dens-C-Large'!$B$5:$B$55,0),MATCH("susb_share_ge500_pct",'Dens-C-Large'!$A$4:$M$4,0))/100),"")</f>
        <v>0.55582648925687006</v>
      </c>
    </row>
    <row r="28" spans="1:10" ht="18" customHeight="1" x14ac:dyDescent="0.35">
      <c r="A28" s="46" t="s">
        <v>56</v>
      </c>
      <c r="B28" s="43">
        <f>IFERROR(IF(ISBLANK(INDEX('Dens-A-CvC'!$A$5:$P$55,MATCH($A28,'Dens-A-CvC'!$B$5:$B$55,0),MATCH("charter_est_units",'Dens-A-CvC'!$A$4:$P$4,0))),"",INDEX('Dens-A-CvC'!$A$5:$P$55,MATCH($A28,'Dens-A-CvC'!$B$5:$B$55,0),MATCH("charter_est_units",'Dens-A-CvC'!$A$4:$P$4,0))),"")</f>
        <v>335785</v>
      </c>
      <c r="C28" s="43" t="str">
        <f>IFERROR(IF(ISBLANK(INDEX('Dens-A-CvC'!$A$5:$P$55,MATCH($A28,'Dens-A-CvC'!$B$5:$B$55,0),MATCH("comcast_est_units",'Dens-A-CvC'!$A$4:$P$4,0))),"",INDEX('Dens-A-CvC'!$A$5:$P$55,MATCH($A28,'Dens-A-CvC'!$B$5:$B$55,0),MATCH("comcast_est_units",'Dens-A-CvC'!$A$4:$P$4,0))),"")</f>
        <v/>
      </c>
      <c r="D28" s="43">
        <f>IFERROR(IF(ISBLANK(INDEX('Dens-A-CvC'!$A$5:$P$55,MATCH($A28,'Dens-A-CvC'!$B$5:$B$55,0),MATCH("total_residential_units",'Dens-A-CvC'!$A$4:$P$4,0))),"",INDEX('Dens-A-CvC'!$A$5:$P$55,MATCH($A28,'Dens-A-CvC'!$B$5:$B$55,0),MATCH("total_residential_units",'Dens-A-CvC'!$A$4:$P$4,0))),"")</f>
        <v>616912</v>
      </c>
      <c r="E28" s="43">
        <f>IFERROR(IF(ISBLANK(INDEX('Dens-B-WFH'!$A$5:$L$55,MATCH($A28,'Dens-B-WFH'!$B$5:$B$55,0),MATCH("acs_worked_from_home",'Dens-B-WFH'!$A$4:$L$4,0))),"",INDEX('Dens-B-WFH'!$A$5:$L$55,MATCH($A28,'Dens-B-WFH'!$B$5:$B$55,0),MATCH("acs_worked_from_home",'Dens-B-WFH'!$A$4:$L$4,0))),"")</f>
        <v>66029</v>
      </c>
      <c r="F28" s="43">
        <f>IFERROR(IF(ISBLANK(INDEX('Dens-C-Large'!$A$5:$M$55,MATCH($A28,'Dens-C-Large'!$B$5:$B$55,0),MATCH("susb_employment_ge500",'Dens-C-Large'!$A$4:$M$4,0))),"",INDEX('Dens-C-Large'!$A$5:$M$55,MATCH($A28,'Dens-C-Large'!$B$5:$B$55,0),MATCH("susb_employment_ge500",'Dens-C-Large'!$A$4:$M$4,0))),"")</f>
        <v>134304</v>
      </c>
      <c r="G28" s="43">
        <f>IFERROR(IF(ISBLANK(INDEX('Dens-C-Large'!$A$5:$M$55,MATCH($A28,'Dens-C-Large'!$B$5:$B$55,0),MATCH("susb_employment_total",'Dens-C-Large'!$A$4:$M$4,0))),"",INDEX('Dens-C-Large'!$A$5:$M$55,MATCH($A28,'Dens-C-Large'!$B$5:$B$55,0),MATCH("susb_employment_total",'Dens-C-Large'!$A$4:$M$4,0))),"")</f>
        <v>398871</v>
      </c>
      <c r="H28" s="55">
        <f>IF(Table2[[#This Row],[Charter Units]]&lt;&gt;"", Table2[[#This Row],[Charter Units]]/Table2[[#This Row],[Total Residential Units]], "")</f>
        <v>0.54429967321109007</v>
      </c>
      <c r="I28" s="44">
        <f>IFERROR(IF(ISBLANK(INDEX('Dens-B-WFH'!$A$5:$L$55,MATCH($A28,'Dens-B-WFH'!$B$5:$B$55,0),MATCH("acs_wfh_rate_pct",'Dens-B-WFH'!$A$4:$L$4,0))),"",INDEX('Dens-B-WFH'!$A$5:$L$55,MATCH($A28,'Dens-B-WFH'!$B$5:$B$55,0),MATCH("acs_wfh_rate_pct",'Dens-B-WFH'!$A$4:$L$4,0))/100),"")</f>
        <v>0.11685121640012101</v>
      </c>
      <c r="J28" s="47">
        <f>IFERROR(IF(ISBLANK(INDEX('Dens-C-Large'!$A$5:$M$55,MATCH($A28,'Dens-C-Large'!$B$5:$B$55,0),MATCH("susb_share_ge500_pct",'Dens-C-Large'!$A$4:$M$4,0))),"",INDEX('Dens-C-Large'!$A$5:$M$55,MATCH($A28,'Dens-C-Large'!$B$5:$B$55,0),MATCH("susb_share_ge500_pct",'Dens-C-Large'!$A$4:$M$4,0))/100),"")</f>
        <v>0.33671036500522716</v>
      </c>
    </row>
    <row r="29" spans="1:10" ht="18" customHeight="1" x14ac:dyDescent="0.35">
      <c r="A29" s="46" t="s">
        <v>59</v>
      </c>
      <c r="B29" s="43">
        <f>IFERROR(IF(ISBLANK(INDEX('Dens-A-CvC'!$A$5:$P$55,MATCH($A29,'Dens-A-CvC'!$B$5:$B$55,0),MATCH("charter_est_units",'Dens-A-CvC'!$A$4:$P$4,0))),"",INDEX('Dens-A-CvC'!$A$5:$P$55,MATCH($A29,'Dens-A-CvC'!$B$5:$B$55,0),MATCH("charter_est_units",'Dens-A-CvC'!$A$4:$P$4,0))),"")</f>
        <v>312736</v>
      </c>
      <c r="C29" s="43" t="str">
        <f>IFERROR(IF(ISBLANK(INDEX('Dens-A-CvC'!$A$5:$P$55,MATCH($A29,'Dens-A-CvC'!$B$5:$B$55,0),MATCH("comcast_est_units",'Dens-A-CvC'!$A$4:$P$4,0))),"",INDEX('Dens-A-CvC'!$A$5:$P$55,MATCH($A29,'Dens-A-CvC'!$B$5:$B$55,0),MATCH("comcast_est_units",'Dens-A-CvC'!$A$4:$P$4,0))),"")</f>
        <v/>
      </c>
      <c r="D29" s="43">
        <f>IFERROR(IF(ISBLANK(INDEX('Dens-A-CvC'!$A$5:$P$55,MATCH($A29,'Dens-A-CvC'!$B$5:$B$55,0),MATCH("total_residential_units",'Dens-A-CvC'!$A$4:$P$4,0))),"",INDEX('Dens-A-CvC'!$A$5:$P$55,MATCH($A29,'Dens-A-CvC'!$B$5:$B$55,0),MATCH("total_residential_units",'Dens-A-CvC'!$A$4:$P$4,0))),"")</f>
        <v>998839</v>
      </c>
      <c r="E29" s="43">
        <f>IFERROR(IF(ISBLANK(INDEX('Dens-B-WFH'!$A$5:$L$55,MATCH($A29,'Dens-B-WFH'!$B$5:$B$55,0),MATCH("acs_worked_from_home",'Dens-B-WFH'!$A$4:$L$4,0))),"",INDEX('Dens-B-WFH'!$A$5:$L$55,MATCH($A29,'Dens-B-WFH'!$B$5:$B$55,0),MATCH("acs_worked_from_home",'Dens-B-WFH'!$A$4:$L$4,0))),"")</f>
        <v>100914</v>
      </c>
      <c r="F29" s="43">
        <f>IFERROR(IF(ISBLANK(INDEX('Dens-C-Large'!$A$5:$M$55,MATCH($A29,'Dens-C-Large'!$B$5:$B$55,0),MATCH("susb_employment_ge500",'Dens-C-Large'!$A$4:$M$4,0))),"",INDEX('Dens-C-Large'!$A$5:$M$55,MATCH($A29,'Dens-C-Large'!$B$5:$B$55,0),MATCH("susb_employment_ge500",'Dens-C-Large'!$A$4:$M$4,0))),"")</f>
        <v>467294</v>
      </c>
      <c r="G29" s="43">
        <f>IFERROR(IF(ISBLANK(INDEX('Dens-C-Large'!$A$5:$M$55,MATCH($A29,'Dens-C-Large'!$B$5:$B$55,0),MATCH("susb_employment_total",'Dens-C-Large'!$A$4:$M$4,0))),"",INDEX('Dens-C-Large'!$A$5:$M$55,MATCH($A29,'Dens-C-Large'!$B$5:$B$55,0),MATCH("susb_employment_total",'Dens-C-Large'!$A$4:$M$4,0))),"")</f>
        <v>890050</v>
      </c>
      <c r="H29" s="55">
        <f>IF(Table2[[#This Row],[Charter Units]]&lt;&gt;"", Table2[[#This Row],[Charter Units]]/Table2[[#This Row],[Total Residential Units]], "")</f>
        <v>0.31309950852940266</v>
      </c>
      <c r="I29" s="44">
        <f>IFERROR(IF(ISBLANK(INDEX('Dens-B-WFH'!$A$5:$L$55,MATCH($A29,'Dens-B-WFH'!$B$5:$B$55,0),MATCH("acs_wfh_rate_pct",'Dens-B-WFH'!$A$4:$L$4,0))),"",INDEX('Dens-B-WFH'!$A$5:$L$55,MATCH($A29,'Dens-B-WFH'!$B$5:$B$55,0),MATCH("acs_wfh_rate_pct",'Dens-B-WFH'!$A$4:$L$4,0))/100),"")</f>
        <v>9.7395490509841476E-2</v>
      </c>
      <c r="J29" s="47">
        <f>IFERROR(IF(ISBLANK(INDEX('Dens-C-Large'!$A$5:$M$55,MATCH($A29,'Dens-C-Large'!$B$5:$B$55,0),MATCH("susb_share_ge500_pct",'Dens-C-Large'!$A$4:$M$4,0))),"",INDEX('Dens-C-Large'!$A$5:$M$55,MATCH($A29,'Dens-C-Large'!$B$5:$B$55,0),MATCH("susb_share_ge500_pct",'Dens-C-Large'!$A$4:$M$4,0))/100),"")</f>
        <v>0.52501994269984831</v>
      </c>
    </row>
    <row r="30" spans="1:10" ht="18" customHeight="1" x14ac:dyDescent="0.35">
      <c r="A30" s="46" t="s">
        <v>61</v>
      </c>
      <c r="B30" s="43">
        <f>IFERROR(IF(ISBLANK(INDEX('Dens-A-CvC'!$A$5:$P$55,MATCH($A30,'Dens-A-CvC'!$B$5:$B$55,0),MATCH("charter_est_units",'Dens-A-CvC'!$A$4:$P$4,0))),"",INDEX('Dens-A-CvC'!$A$5:$P$55,MATCH($A30,'Dens-A-CvC'!$B$5:$B$55,0),MATCH("charter_est_units",'Dens-A-CvC'!$A$4:$P$4,0))),"")</f>
        <v>307579</v>
      </c>
      <c r="C30" s="43" t="str">
        <f>IFERROR(IF(ISBLANK(INDEX('Dens-A-CvC'!$A$5:$P$55,MATCH($A30,'Dens-A-CvC'!$B$5:$B$55,0),MATCH("comcast_est_units",'Dens-A-CvC'!$A$4:$P$4,0))),"",INDEX('Dens-A-CvC'!$A$5:$P$55,MATCH($A30,'Dens-A-CvC'!$B$5:$B$55,0),MATCH("comcast_est_units",'Dens-A-CvC'!$A$4:$P$4,0))),"")</f>
        <v/>
      </c>
      <c r="D30" s="43">
        <f>IFERROR(IF(ISBLANK(INDEX('Dens-A-CvC'!$A$5:$P$55,MATCH($A30,'Dens-A-CvC'!$B$5:$B$55,0),MATCH("total_residential_units",'Dens-A-CvC'!$A$4:$P$4,0))),"",INDEX('Dens-A-CvC'!$A$5:$P$55,MATCH($A30,'Dens-A-CvC'!$B$5:$B$55,0),MATCH("total_residential_units",'Dens-A-CvC'!$A$4:$P$4,0))),"")</f>
        <v>1454275</v>
      </c>
      <c r="E30" s="43">
        <f>IFERROR(IF(ISBLANK(INDEX('Dens-B-WFH'!$A$5:$L$55,MATCH($A30,'Dens-B-WFH'!$B$5:$B$55,0),MATCH("acs_worked_from_home",'Dens-B-WFH'!$A$4:$L$4,0))),"",INDEX('Dens-B-WFH'!$A$5:$L$55,MATCH($A30,'Dens-B-WFH'!$B$5:$B$55,0),MATCH("acs_worked_from_home",'Dens-B-WFH'!$A$4:$L$4,0))),"")</f>
        <v>179164</v>
      </c>
      <c r="F30" s="43">
        <f>IFERROR(IF(ISBLANK(INDEX('Dens-C-Large'!$A$5:$M$55,MATCH($A30,'Dens-C-Large'!$B$5:$B$55,0),MATCH("susb_employment_ge500",'Dens-C-Large'!$A$4:$M$4,0))),"",INDEX('Dens-C-Large'!$A$5:$M$55,MATCH($A30,'Dens-C-Large'!$B$5:$B$55,0),MATCH("susb_employment_ge500",'Dens-C-Large'!$A$4:$M$4,0))),"")</f>
        <v>707811</v>
      </c>
      <c r="G30" s="43">
        <f>IFERROR(IF(ISBLANK(INDEX('Dens-C-Large'!$A$5:$M$55,MATCH($A30,'Dens-C-Large'!$B$5:$B$55,0),MATCH("susb_employment_total",'Dens-C-Large'!$A$4:$M$4,0))),"",INDEX('Dens-C-Large'!$A$5:$M$55,MATCH($A30,'Dens-C-Large'!$B$5:$B$55,0),MATCH("susb_employment_total",'Dens-C-Large'!$A$4:$M$4,0))),"")</f>
        <v>1286578</v>
      </c>
      <c r="H30" s="55">
        <f>IF(Table2[[#This Row],[Charter Units]]&lt;&gt;"", Table2[[#This Row],[Charter Units]]/Table2[[#This Row],[Total Residential Units]], "")</f>
        <v>0.21149988826047345</v>
      </c>
      <c r="I30" s="44">
        <f>IFERROR(IF(ISBLANK(INDEX('Dens-B-WFH'!$A$5:$L$55,MATCH($A30,'Dens-B-WFH'!$B$5:$B$55,0),MATCH("acs_wfh_rate_pct",'Dens-B-WFH'!$A$4:$L$4,0))),"",INDEX('Dens-B-WFH'!$A$5:$L$55,MATCH($A30,'Dens-B-WFH'!$B$5:$B$55,0),MATCH("acs_wfh_rate_pct",'Dens-B-WFH'!$A$4:$L$4,0))/100),"")</f>
        <v>0.1133208478254407</v>
      </c>
      <c r="J30" s="47">
        <f>IFERROR(IF(ISBLANK(INDEX('Dens-C-Large'!$A$5:$M$55,MATCH($A30,'Dens-C-Large'!$B$5:$B$55,0),MATCH("susb_share_ge500_pct",'Dens-C-Large'!$A$4:$M$4,0))),"",INDEX('Dens-C-Large'!$A$5:$M$55,MATCH($A30,'Dens-C-Large'!$B$5:$B$55,0),MATCH("susb_share_ge500_pct",'Dens-C-Large'!$A$4:$M$4,0))/100),"")</f>
        <v>0.55015008806306342</v>
      </c>
    </row>
    <row r="31" spans="1:10" ht="18" customHeight="1" x14ac:dyDescent="0.35">
      <c r="A31" s="46" t="s">
        <v>95</v>
      </c>
      <c r="B31" s="43">
        <f>IFERROR(IF(ISBLANK(INDEX('Dens-A-CvC'!$A$5:$P$55,MATCH($A31,'Dens-A-CvC'!$B$5:$B$55,0),MATCH("charter_est_units",'Dens-A-CvC'!$A$4:$P$4,0))),"",INDEX('Dens-A-CvC'!$A$5:$P$55,MATCH($A31,'Dens-A-CvC'!$B$5:$B$55,0),MATCH("charter_est_units",'Dens-A-CvC'!$A$4:$P$4,0))),"")</f>
        <v>99798</v>
      </c>
      <c r="C31" s="43">
        <f>IFERROR(IF(ISBLANK(INDEX('Dens-A-CvC'!$A$5:$P$55,MATCH($A31,'Dens-A-CvC'!$B$5:$B$55,0),MATCH("comcast_est_units",'Dens-A-CvC'!$A$4:$P$4,0))),"",INDEX('Dens-A-CvC'!$A$5:$P$55,MATCH($A31,'Dens-A-CvC'!$B$5:$B$55,0),MATCH("comcast_est_units",'Dens-A-CvC'!$A$4:$P$4,0))),"")</f>
        <v>503942</v>
      </c>
      <c r="D31" s="43">
        <f>IFERROR(IF(ISBLANK(INDEX('Dens-A-CvC'!$A$5:$P$55,MATCH($A31,'Dens-A-CvC'!$B$5:$B$55,0),MATCH("total_residential_units",'Dens-A-CvC'!$A$4:$P$4,0))),"",INDEX('Dens-A-CvC'!$A$5:$P$55,MATCH($A31,'Dens-A-CvC'!$B$5:$B$55,0),MATCH("total_residential_units",'Dens-A-CvC'!$A$4:$P$4,0))),"")</f>
        <v>717969</v>
      </c>
      <c r="E31" s="43">
        <f>IFERROR(IF(ISBLANK(INDEX('Dens-B-WFH'!$A$5:$L$55,MATCH($A31,'Dens-B-WFH'!$B$5:$B$55,0),MATCH("acs_worked_from_home",'Dens-B-WFH'!$A$4:$L$4,0))),"",INDEX('Dens-B-WFH'!$A$5:$L$55,MATCH($A31,'Dens-B-WFH'!$B$5:$B$55,0),MATCH("acs_worked_from_home",'Dens-B-WFH'!$A$4:$L$4,0))),"")</f>
        <v>120950</v>
      </c>
      <c r="F31" s="43">
        <f>IFERROR(IF(ISBLANK(INDEX('Dens-C-Large'!$A$5:$M$55,MATCH($A31,'Dens-C-Large'!$B$5:$B$55,0),MATCH("susb_employment_ge500",'Dens-C-Large'!$A$4:$M$4,0))),"",INDEX('Dens-C-Large'!$A$5:$M$55,MATCH($A31,'Dens-C-Large'!$B$5:$B$55,0),MATCH("susb_employment_ge500",'Dens-C-Large'!$A$4:$M$4,0))),"")</f>
        <v>305829</v>
      </c>
      <c r="G31" s="43">
        <f>IFERROR(IF(ISBLANK(INDEX('Dens-C-Large'!$A$5:$M$55,MATCH($A31,'Dens-C-Large'!$B$5:$B$55,0),MATCH("susb_employment_total",'Dens-C-Large'!$A$4:$M$4,0))),"",INDEX('Dens-C-Large'!$A$5:$M$55,MATCH($A31,'Dens-C-Large'!$B$5:$B$55,0),MATCH("susb_employment_total",'Dens-C-Large'!$A$4:$M$4,0))),"")</f>
        <v>615249</v>
      </c>
      <c r="H31" s="55">
        <f>IF(Table2[[#This Row],[Charter Units]]&lt;&gt;"", Table2[[#This Row],[Charter Units]]/Table2[[#This Row],[Total Residential Units]], "")</f>
        <v>0.1390004303806989</v>
      </c>
      <c r="I31" s="44">
        <f>IFERROR(IF(ISBLANK(INDEX('Dens-B-WFH'!$A$5:$L$55,MATCH($A31,'Dens-B-WFH'!$B$5:$B$55,0),MATCH("acs_wfh_rate_pct",'Dens-B-WFH'!$A$4:$L$4,0))),"",INDEX('Dens-B-WFH'!$A$5:$L$55,MATCH($A31,'Dens-B-WFH'!$B$5:$B$55,0),MATCH("acs_wfh_rate_pct",'Dens-B-WFH'!$A$4:$L$4,0))/100),"")</f>
        <v>0.16039093217698031</v>
      </c>
      <c r="J31" s="47">
        <f>IFERROR(IF(ISBLANK(INDEX('Dens-C-Large'!$A$5:$M$55,MATCH($A31,'Dens-C-Large'!$B$5:$B$55,0),MATCH("susb_share_ge500_pct",'Dens-C-Large'!$A$4:$M$4,0))),"",INDEX('Dens-C-Large'!$A$5:$M$55,MATCH($A31,'Dens-C-Large'!$B$5:$B$55,0),MATCH("susb_share_ge500_pct",'Dens-C-Large'!$A$4:$M$4,0))/100),"")</f>
        <v>0.497081669372888</v>
      </c>
    </row>
    <row r="32" spans="1:10" ht="18" customHeight="1" x14ac:dyDescent="0.35">
      <c r="A32" s="46" t="s">
        <v>125</v>
      </c>
      <c r="B32" s="43">
        <f>IFERROR(IF(ISBLANK(INDEX('Dens-A-CvC'!$A$5:$P$55,MATCH($A32,'Dens-A-CvC'!$B$5:$B$55,0),MATCH("charter_est_units",'Dens-A-CvC'!$A$4:$P$4,0))),"",INDEX('Dens-A-CvC'!$A$5:$P$55,MATCH($A32,'Dens-A-CvC'!$B$5:$B$55,0),MATCH("charter_est_units",'Dens-A-CvC'!$A$4:$P$4,0))),"")</f>
        <v>91648</v>
      </c>
      <c r="C32" s="43">
        <f>IFERROR(IF(ISBLANK(INDEX('Dens-A-CvC'!$A$5:$P$55,MATCH($A32,'Dens-A-CvC'!$B$5:$B$55,0),MATCH("comcast_est_units",'Dens-A-CvC'!$A$4:$P$4,0))),"",INDEX('Dens-A-CvC'!$A$5:$P$55,MATCH($A32,'Dens-A-CvC'!$B$5:$B$55,0),MATCH("comcast_est_units",'Dens-A-CvC'!$A$4:$P$4,0))),"")</f>
        <v>2387411</v>
      </c>
      <c r="D32" s="43">
        <f>IFERROR(IF(ISBLANK(INDEX('Dens-A-CvC'!$A$5:$P$55,MATCH($A32,'Dens-A-CvC'!$B$5:$B$55,0),MATCH("total_residential_units",'Dens-A-CvC'!$A$4:$P$4,0))),"",INDEX('Dens-A-CvC'!$A$5:$P$55,MATCH($A32,'Dens-A-CvC'!$B$5:$B$55,0),MATCH("total_residential_units",'Dens-A-CvC'!$A$4:$P$4,0))),"")</f>
        <v>4146970</v>
      </c>
      <c r="E32" s="43">
        <f>IFERROR(IF(ISBLANK(INDEX('Dens-B-WFH'!$A$5:$L$55,MATCH($A32,'Dens-B-WFH'!$B$5:$B$55,0),MATCH("acs_worked_from_home",'Dens-B-WFH'!$A$4:$L$4,0))),"",INDEX('Dens-B-WFH'!$A$5:$L$55,MATCH($A32,'Dens-B-WFH'!$B$5:$B$55,0),MATCH("acs_worked_from_home",'Dens-B-WFH'!$A$4:$L$4,0))),"")</f>
        <v>644549</v>
      </c>
      <c r="F32" s="43">
        <f>IFERROR(IF(ISBLANK(INDEX('Dens-C-Large'!$A$5:$M$55,MATCH($A32,'Dens-C-Large'!$B$5:$B$55,0),MATCH("susb_employment_ge500",'Dens-C-Large'!$A$4:$M$4,0))),"",INDEX('Dens-C-Large'!$A$5:$M$55,MATCH($A32,'Dens-C-Large'!$B$5:$B$55,0),MATCH("susb_employment_ge500",'Dens-C-Large'!$A$4:$M$4,0))),"")</f>
        <v>1952693</v>
      </c>
      <c r="G32" s="43">
        <f>IFERROR(IF(ISBLANK(INDEX('Dens-C-Large'!$A$5:$M$55,MATCH($A32,'Dens-C-Large'!$B$5:$B$55,0),MATCH("susb_employment_total",'Dens-C-Large'!$A$4:$M$4,0))),"",INDEX('Dens-C-Large'!$A$5:$M$55,MATCH($A32,'Dens-C-Large'!$B$5:$B$55,0),MATCH("susb_employment_total",'Dens-C-Large'!$A$4:$M$4,0))),"")</f>
        <v>3813702</v>
      </c>
      <c r="H32" s="55">
        <f>IF(Table2[[#This Row],[Charter Units]]&lt;&gt;"", Table2[[#This Row],[Charter Units]]/Table2[[#This Row],[Total Residential Units]], "")</f>
        <v>2.2099991077823084E-2</v>
      </c>
      <c r="I32" s="44">
        <f>IFERROR(IF(ISBLANK(INDEX('Dens-B-WFH'!$A$5:$L$55,MATCH($A32,'Dens-B-WFH'!$B$5:$B$55,0),MATCH("acs_wfh_rate_pct",'Dens-B-WFH'!$A$4:$L$4,0))),"",INDEX('Dens-B-WFH'!$A$5:$L$55,MATCH($A32,'Dens-B-WFH'!$B$5:$B$55,0),MATCH("acs_wfh_rate_pct",'Dens-B-WFH'!$A$4:$L$4,0))/100),"")</f>
        <v>0.13505960400894321</v>
      </c>
      <c r="J32" s="47">
        <f>IFERROR(IF(ISBLANK(INDEX('Dens-C-Large'!$A$5:$M$55,MATCH($A32,'Dens-C-Large'!$B$5:$B$55,0),MATCH("susb_share_ge500_pct",'Dens-C-Large'!$A$4:$M$4,0))),"",INDEX('Dens-C-Large'!$A$5:$M$55,MATCH($A32,'Dens-C-Large'!$B$5:$B$55,0),MATCH("susb_share_ge500_pct",'Dens-C-Large'!$A$4:$M$4,0))/100),"")</f>
        <v>0.51202034139007191</v>
      </c>
    </row>
    <row r="33" spans="1:10" ht="18" customHeight="1" x14ac:dyDescent="0.35">
      <c r="A33" s="46" t="s">
        <v>101</v>
      </c>
      <c r="B33" s="43">
        <f>IFERROR(IF(ISBLANK(INDEX('Dens-A-CvC'!$A$5:$P$55,MATCH($A33,'Dens-A-CvC'!$B$5:$B$55,0),MATCH("charter_est_units",'Dens-A-CvC'!$A$4:$P$4,0))),"",INDEX('Dens-A-CvC'!$A$5:$P$55,MATCH($A33,'Dens-A-CvC'!$B$5:$B$55,0),MATCH("charter_est_units",'Dens-A-CvC'!$A$4:$P$4,0))),"")</f>
        <v>14165</v>
      </c>
      <c r="C33" s="43">
        <f>IFERROR(IF(ISBLANK(INDEX('Dens-A-CvC'!$A$5:$P$55,MATCH($A33,'Dens-A-CvC'!$B$5:$B$55,0),MATCH("comcast_est_units",'Dens-A-CvC'!$A$4:$P$4,0))),"",INDEX('Dens-A-CvC'!$A$5:$P$55,MATCH($A33,'Dens-A-CvC'!$B$5:$B$55,0),MATCH("comcast_est_units",'Dens-A-CvC'!$A$4:$P$4,0))),"")</f>
        <v>628976</v>
      </c>
      <c r="D33" s="43">
        <f>IFERROR(IF(ISBLANK(INDEX('Dens-A-CvC'!$A$5:$P$55,MATCH($A33,'Dens-A-CvC'!$B$5:$B$55,0),MATCH("total_residential_units",'Dens-A-CvC'!$A$4:$P$4,0))),"",INDEX('Dens-A-CvC'!$A$5:$P$55,MATCH($A33,'Dens-A-CvC'!$B$5:$B$55,0),MATCH("total_residential_units",'Dens-A-CvC'!$A$4:$P$4,0))),"")</f>
        <v>1081272</v>
      </c>
      <c r="E33" s="43">
        <f>IFERROR(IF(ISBLANK(INDEX('Dens-B-WFH'!$A$5:$L$55,MATCH($A33,'Dens-B-WFH'!$B$5:$B$55,0),MATCH("acs_worked_from_home",'Dens-B-WFH'!$A$4:$L$4,0))),"",INDEX('Dens-B-WFH'!$A$5:$L$55,MATCH($A33,'Dens-B-WFH'!$B$5:$B$55,0),MATCH("acs_worked_from_home",'Dens-B-WFH'!$A$4:$L$4,0))),"")</f>
        <v>97946</v>
      </c>
      <c r="F33" s="43">
        <f>IFERROR(IF(ISBLANK(INDEX('Dens-C-Large'!$A$5:$M$55,MATCH($A33,'Dens-C-Large'!$B$5:$B$55,0),MATCH("susb_employment_ge500",'Dens-C-Large'!$A$4:$M$4,0))),"",INDEX('Dens-C-Large'!$A$5:$M$55,MATCH($A33,'Dens-C-Large'!$B$5:$B$55,0),MATCH("susb_employment_ge500",'Dens-C-Large'!$A$4:$M$4,0))),"")</f>
        <v>298412</v>
      </c>
      <c r="G33" s="43">
        <f>IFERROR(IF(ISBLANK(INDEX('Dens-C-Large'!$A$5:$M$55,MATCH($A33,'Dens-C-Large'!$B$5:$B$55,0),MATCH("susb_employment_total",'Dens-C-Large'!$A$4:$M$4,0))),"",INDEX('Dens-C-Large'!$A$5:$M$55,MATCH($A33,'Dens-C-Large'!$B$5:$B$55,0),MATCH("susb_employment_total",'Dens-C-Large'!$A$4:$M$4,0))),"")</f>
        <v>639118</v>
      </c>
      <c r="H33" s="55">
        <f>IF(Table2[[#This Row],[Charter Units]]&lt;&gt;"", Table2[[#This Row],[Charter Units]]/Table2[[#This Row],[Total Residential Units]], "")</f>
        <v>1.310031148499175E-2</v>
      </c>
      <c r="I33" s="44">
        <f>IFERROR(IF(ISBLANK(INDEX('Dens-B-WFH'!$A$5:$L$55,MATCH($A33,'Dens-B-WFH'!$B$5:$B$55,0),MATCH("acs_wfh_rate_pct",'Dens-B-WFH'!$A$4:$L$4,0))),"",INDEX('Dens-B-WFH'!$A$5:$L$55,MATCH($A33,'Dens-B-WFH'!$B$5:$B$55,0),MATCH("acs_wfh_rate_pct",'Dens-B-WFH'!$A$4:$L$4,0))/100),"")</f>
        <v>0.1026659650785199</v>
      </c>
      <c r="J33" s="47">
        <f>IFERROR(IF(ISBLANK(INDEX('Dens-C-Large'!$A$5:$M$55,MATCH($A33,'Dens-C-Large'!$B$5:$B$55,0),MATCH("susb_share_ge500_pct",'Dens-C-Large'!$A$4:$M$4,0))),"",INDEX('Dens-C-Large'!$A$5:$M$55,MATCH($A33,'Dens-C-Large'!$B$5:$B$55,0),MATCH("susb_share_ge500_pct",'Dens-C-Large'!$A$4:$M$4,0))/100),"")</f>
        <v>0.46691221339408373</v>
      </c>
    </row>
    <row r="34" spans="1:10" ht="18" customHeight="1" x14ac:dyDescent="0.35">
      <c r="A34" s="46" t="s">
        <v>18</v>
      </c>
      <c r="B34" s="43">
        <f>IFERROR(IF(ISBLANK(INDEX('Dens-A-CvC'!$A$5:$P$55,MATCH($A34,'Dens-A-CvC'!$B$5:$B$55,0),MATCH("charter_est_units",'Dens-A-CvC'!$A$4:$P$4,0))),"",INDEX('Dens-A-CvC'!$A$5:$P$55,MATCH($A34,'Dens-A-CvC'!$B$5:$B$55,0),MATCH("charter_est_units",'Dens-A-CvC'!$A$4:$P$4,0))),"")</f>
        <v>5580990</v>
      </c>
      <c r="C34" s="43">
        <f>IFERROR(IF(ISBLANK(INDEX('Dens-A-CvC'!$A$5:$P$55,MATCH($A34,'Dens-A-CvC'!$B$5:$B$55,0),MATCH("comcast_est_units",'Dens-A-CvC'!$A$4:$P$4,0))),"",INDEX('Dens-A-CvC'!$A$5:$P$55,MATCH($A34,'Dens-A-CvC'!$B$5:$B$55,0),MATCH("comcast_est_units",'Dens-A-CvC'!$A$4:$P$4,0))),"")</f>
        <v>44485</v>
      </c>
      <c r="D34" s="43">
        <f>IFERROR(IF(ISBLANK(INDEX('Dens-A-CvC'!$A$5:$P$55,MATCH($A34,'Dens-A-CvC'!$B$5:$B$55,0),MATCH("total_residential_units",'Dens-A-CvC'!$A$4:$P$4,0))),"",INDEX('Dens-A-CvC'!$A$5:$P$55,MATCH($A34,'Dens-A-CvC'!$B$5:$B$55,0),MATCH("total_residential_units",'Dens-A-CvC'!$A$4:$P$4,0))),"")</f>
        <v>9267668</v>
      </c>
      <c r="E34" s="43">
        <f>IFERROR(IF(ISBLANK(INDEX('Dens-B-WFH'!$A$5:$L$55,MATCH($A34,'Dens-B-WFH'!$B$5:$B$55,0),MATCH("acs_worked_from_home",'Dens-B-WFH'!$A$4:$L$4,0))),"",INDEX('Dens-B-WFH'!$A$5:$L$55,MATCH($A34,'Dens-B-WFH'!$B$5:$B$55,0),MATCH("acs_worked_from_home",'Dens-B-WFH'!$A$4:$L$4,0))),"")</f>
        <v>1124869</v>
      </c>
      <c r="F34" s="43">
        <f>IFERROR(IF(ISBLANK(INDEX('Dens-C-Large'!$A$5:$M$55,MATCH($A34,'Dens-C-Large'!$B$5:$B$55,0),MATCH("susb_employment_ge500",'Dens-C-Large'!$A$4:$M$4,0))),"",INDEX('Dens-C-Large'!$A$5:$M$55,MATCH($A34,'Dens-C-Large'!$B$5:$B$55,0),MATCH("susb_employment_ge500",'Dens-C-Large'!$A$4:$M$4,0))),"")</f>
        <v>4497387</v>
      </c>
      <c r="G34" s="43">
        <f>IFERROR(IF(ISBLANK(INDEX('Dens-C-Large'!$A$5:$M$55,MATCH($A34,'Dens-C-Large'!$B$5:$B$55,0),MATCH("susb_employment_total",'Dens-C-Large'!$A$4:$M$4,0))),"",INDEX('Dens-C-Large'!$A$5:$M$55,MATCH($A34,'Dens-C-Large'!$B$5:$B$55,0),MATCH("susb_employment_total",'Dens-C-Large'!$A$4:$M$4,0))),"")</f>
        <v>8429776</v>
      </c>
      <c r="H34" s="55">
        <f>IF(Table2[[#This Row],[Charter Units]]&lt;&gt;"", Table2[[#This Row],[Charter Units]]/Table2[[#This Row],[Total Residential Units]], "")</f>
        <v>0.60220003565082392</v>
      </c>
      <c r="I34" s="44">
        <f>IFERROR(IF(ISBLANK(INDEX('Dens-B-WFH'!$A$5:$L$55,MATCH($A34,'Dens-B-WFH'!$B$5:$B$55,0),MATCH("acs_wfh_rate_pct",'Dens-B-WFH'!$A$4:$L$4,0))),"",INDEX('Dens-B-WFH'!$A$5:$L$55,MATCH($A34,'Dens-B-WFH'!$B$5:$B$55,0),MATCH("acs_wfh_rate_pct",'Dens-B-WFH'!$A$4:$L$4,0))/100),"")</f>
        <v>0.117689727472086</v>
      </c>
      <c r="J34" s="47">
        <f>IFERROR(IF(ISBLANK(INDEX('Dens-C-Large'!$A$5:$M$55,MATCH($A34,'Dens-C-Large'!$B$5:$B$55,0),MATCH("susb_share_ge500_pct",'Dens-C-Large'!$A$4:$M$4,0))),"",INDEX('Dens-C-Large'!$A$5:$M$55,MATCH($A34,'Dens-C-Large'!$B$5:$B$55,0),MATCH("susb_share_ge500_pct",'Dens-C-Large'!$A$4:$M$4,0))/100),"")</f>
        <v>0.53351204112659689</v>
      </c>
    </row>
    <row r="35" spans="1:10" ht="18" customHeight="1" x14ac:dyDescent="0.35">
      <c r="A35" s="46" t="s">
        <v>28</v>
      </c>
      <c r="B35" s="43">
        <f>IFERROR(IF(ISBLANK(INDEX('Dens-A-CvC'!$A$5:$P$55,MATCH($A35,'Dens-A-CvC'!$B$5:$B$55,0),MATCH("charter_est_units",'Dens-A-CvC'!$A$4:$P$4,0))),"",INDEX('Dens-A-CvC'!$A$5:$P$55,MATCH($A35,'Dens-A-CvC'!$B$5:$B$55,0),MATCH("charter_est_units",'Dens-A-CvC'!$A$4:$P$4,0))),"")</f>
        <v>4365296</v>
      </c>
      <c r="C35" s="43">
        <f>IFERROR(IF(ISBLANK(INDEX('Dens-A-CvC'!$A$5:$P$55,MATCH($A35,'Dens-A-CvC'!$B$5:$B$55,0),MATCH("comcast_est_units",'Dens-A-CvC'!$A$4:$P$4,0))),"",INDEX('Dens-A-CvC'!$A$5:$P$55,MATCH($A35,'Dens-A-CvC'!$B$5:$B$55,0),MATCH("comcast_est_units",'Dens-A-CvC'!$A$4:$P$4,0))),"")</f>
        <v>2211</v>
      </c>
      <c r="D35" s="43">
        <f>IFERROR(IF(ISBLANK(INDEX('Dens-A-CvC'!$A$5:$P$55,MATCH($A35,'Dens-A-CvC'!$B$5:$B$55,0),MATCH("total_residential_units",'Dens-A-CvC'!$A$4:$P$4,0))),"",INDEX('Dens-A-CvC'!$A$5:$P$55,MATCH($A35,'Dens-A-CvC'!$B$5:$B$55,0),MATCH("total_residential_units",'Dens-A-CvC'!$A$4:$P$4,0))),"")</f>
        <v>5526391</v>
      </c>
      <c r="E35" s="43">
        <f>IFERROR(IF(ISBLANK(INDEX('Dens-B-WFH'!$A$5:$L$55,MATCH($A35,'Dens-B-WFH'!$B$5:$B$55,0),MATCH("acs_worked_from_home",'Dens-B-WFH'!$A$4:$L$4,0))),"",INDEX('Dens-B-WFH'!$A$5:$L$55,MATCH($A35,'Dens-B-WFH'!$B$5:$B$55,0),MATCH("acs_worked_from_home",'Dens-B-WFH'!$A$4:$L$4,0))),"")</f>
        <v>828181</v>
      </c>
      <c r="F35" s="43">
        <f>IFERROR(IF(ISBLANK(INDEX('Dens-C-Large'!$A$5:$M$55,MATCH($A35,'Dens-C-Large'!$B$5:$B$55,0),MATCH("susb_employment_ge500",'Dens-C-Large'!$A$4:$M$4,0))),"",INDEX('Dens-C-Large'!$A$5:$M$55,MATCH($A35,'Dens-C-Large'!$B$5:$B$55,0),MATCH("susb_employment_ge500",'Dens-C-Large'!$A$4:$M$4,0))),"")</f>
        <v>2291192</v>
      </c>
      <c r="G35" s="43">
        <f>IFERROR(IF(ISBLANK(INDEX('Dens-C-Large'!$A$5:$M$55,MATCH($A35,'Dens-C-Large'!$B$5:$B$55,0),MATCH("susb_employment_total",'Dens-C-Large'!$A$4:$M$4,0))),"",INDEX('Dens-C-Large'!$A$5:$M$55,MATCH($A35,'Dens-C-Large'!$B$5:$B$55,0),MATCH("susb_employment_total",'Dens-C-Large'!$A$4:$M$4,0))),"")</f>
        <v>4106761</v>
      </c>
      <c r="H35" s="55">
        <f>IF(Table2[[#This Row],[Charter Units]]&lt;&gt;"", Table2[[#This Row],[Charter Units]]/Table2[[#This Row],[Total Residential Units]], "")</f>
        <v>0.78989995459966544</v>
      </c>
      <c r="I35" s="44">
        <f>IFERROR(IF(ISBLANK(INDEX('Dens-B-WFH'!$A$5:$L$55,MATCH($A35,'Dens-B-WFH'!$B$5:$B$55,0),MATCH("acs_wfh_rate_pct",'Dens-B-WFH'!$A$4:$L$4,0))),"",INDEX('Dens-B-WFH'!$A$5:$L$55,MATCH($A35,'Dens-B-WFH'!$B$5:$B$55,0),MATCH("acs_wfh_rate_pct",'Dens-B-WFH'!$A$4:$L$4,0))/100),"")</f>
        <v>0.15405361717151289</v>
      </c>
      <c r="J35" s="47">
        <f>IFERROR(IF(ISBLANK(INDEX('Dens-C-Large'!$A$5:$M$55,MATCH($A35,'Dens-C-Large'!$B$5:$B$55,0),MATCH("susb_share_ge500_pct",'Dens-C-Large'!$A$4:$M$4,0))),"",INDEX('Dens-C-Large'!$A$5:$M$55,MATCH($A35,'Dens-C-Large'!$B$5:$B$55,0),MATCH("susb_share_ge500_pct",'Dens-C-Large'!$A$4:$M$4,0))/100),"")</f>
        <v>0.55790731430438734</v>
      </c>
    </row>
    <row r="36" spans="1:10" ht="18" customHeight="1" x14ac:dyDescent="0.35">
      <c r="A36" s="46" t="s">
        <v>76</v>
      </c>
      <c r="B36" s="43" t="str">
        <f>IFERROR(IF(ISBLANK(INDEX('Dens-A-CvC'!$A$5:$P$55,MATCH($A36,'Dens-A-CvC'!$B$5:$B$55,0),MATCH("charter_est_units",'Dens-A-CvC'!$A$4:$P$4,0))),"",INDEX('Dens-A-CvC'!$A$5:$P$55,MATCH($A36,'Dens-A-CvC'!$B$5:$B$55,0),MATCH("charter_est_units",'Dens-A-CvC'!$A$4:$P$4,0))),"")</f>
        <v/>
      </c>
      <c r="C36" s="43" t="str">
        <f>IFERROR(IF(ISBLANK(INDEX('Dens-A-CvC'!$A$5:$P$55,MATCH($A36,'Dens-A-CvC'!$B$5:$B$55,0),MATCH("comcast_est_units",'Dens-A-CvC'!$A$4:$P$4,0))),"",INDEX('Dens-A-CvC'!$A$5:$P$55,MATCH($A36,'Dens-A-CvC'!$B$5:$B$55,0),MATCH("comcast_est_units",'Dens-A-CvC'!$A$4:$P$4,0))),"")</f>
        <v/>
      </c>
      <c r="D36" s="43">
        <f>IFERROR(IF(ISBLANK(INDEX('Dens-A-CvC'!$A$5:$P$55,MATCH($A36,'Dens-A-CvC'!$B$5:$B$55,0),MATCH("total_residential_units",'Dens-A-CvC'!$A$4:$P$4,0))),"",INDEX('Dens-A-CvC'!$A$5:$P$55,MATCH($A36,'Dens-A-CvC'!$B$5:$B$55,0),MATCH("total_residential_units",'Dens-A-CvC'!$A$4:$P$4,0))),"")</f>
        <v>452871</v>
      </c>
      <c r="E36" s="43">
        <f>IFERROR(IF(ISBLANK(INDEX('Dens-B-WFH'!$A$5:$L$55,MATCH($A36,'Dens-B-WFH'!$B$5:$B$55,0),MATCH("acs_worked_from_home",'Dens-B-WFH'!$A$4:$L$4,0))),"",INDEX('Dens-B-WFH'!$A$5:$L$55,MATCH($A36,'Dens-B-WFH'!$B$5:$B$55,0),MATCH("acs_worked_from_home",'Dens-B-WFH'!$A$4:$L$4,0))),"")</f>
        <v>29953</v>
      </c>
      <c r="F36" s="43">
        <f>IFERROR(IF(ISBLANK(INDEX('Dens-C-Large'!$A$5:$M$55,MATCH($A36,'Dens-C-Large'!$B$5:$B$55,0),MATCH("susb_employment_ge500",'Dens-C-Large'!$A$4:$M$4,0))),"",INDEX('Dens-C-Large'!$A$5:$M$55,MATCH($A36,'Dens-C-Large'!$B$5:$B$55,0),MATCH("susb_employment_ge500",'Dens-C-Large'!$A$4:$M$4,0))),"")</f>
        <v>145133</v>
      </c>
      <c r="G36" s="43">
        <f>IFERROR(IF(ISBLANK(INDEX('Dens-C-Large'!$A$5:$M$55,MATCH($A36,'Dens-C-Large'!$B$5:$B$55,0),MATCH("susb_employment_total",'Dens-C-Large'!$A$4:$M$4,0))),"",INDEX('Dens-C-Large'!$A$5:$M$55,MATCH($A36,'Dens-C-Large'!$B$5:$B$55,0),MATCH("susb_employment_total",'Dens-C-Large'!$A$4:$M$4,0))),"")</f>
        <v>342345</v>
      </c>
      <c r="H36" s="55" t="str">
        <f>IF(Table2[[#This Row],[Charter Units]]&lt;&gt;"", Table2[[#This Row],[Charter Units]]/Table2[[#This Row],[Total Residential Units]], "")</f>
        <v/>
      </c>
      <c r="I36" s="44">
        <f>IFERROR(IF(ISBLANK(INDEX('Dens-B-WFH'!$A$5:$L$55,MATCH($A36,'Dens-B-WFH'!$B$5:$B$55,0),MATCH("acs_wfh_rate_pct",'Dens-B-WFH'!$A$4:$L$4,0))),"",INDEX('Dens-B-WFH'!$A$5:$L$55,MATCH($A36,'Dens-B-WFH'!$B$5:$B$55,0),MATCH("acs_wfh_rate_pct",'Dens-B-WFH'!$A$4:$L$4,0))/100),"")</f>
        <v>7.0901890606617946E-2</v>
      </c>
      <c r="J36" s="47">
        <f>IFERROR(IF(ISBLANK(INDEX('Dens-C-Large'!$A$5:$M$55,MATCH($A36,'Dens-C-Large'!$B$5:$B$55,0),MATCH("susb_share_ge500_pct",'Dens-C-Large'!$A$4:$M$4,0))),"",INDEX('Dens-C-Large'!$A$5:$M$55,MATCH($A36,'Dens-C-Large'!$B$5:$B$55,0),MATCH("susb_share_ge500_pct",'Dens-C-Large'!$A$4:$M$4,0))/100),"")</f>
        <v>0.42393784048255412</v>
      </c>
    </row>
    <row r="37" spans="1:10" ht="18" customHeight="1" x14ac:dyDescent="0.35">
      <c r="A37" s="46" t="s">
        <v>24</v>
      </c>
      <c r="B37" s="43">
        <f>IFERROR(IF(ISBLANK(INDEX('Dens-A-CvC'!$A$5:$P$55,MATCH($A37,'Dens-A-CvC'!$B$5:$B$55,0),MATCH("charter_est_units",'Dens-A-CvC'!$A$4:$P$4,0))),"",INDEX('Dens-A-CvC'!$A$5:$P$55,MATCH($A37,'Dens-A-CvC'!$B$5:$B$55,0),MATCH("charter_est_units",'Dens-A-CvC'!$A$4:$P$4,0))),"")</f>
        <v>4512248</v>
      </c>
      <c r="C37" s="43">
        <f>IFERROR(IF(ISBLANK(INDEX('Dens-A-CvC'!$A$5:$P$55,MATCH($A37,'Dens-A-CvC'!$B$5:$B$55,0),MATCH("comcast_est_units",'Dens-A-CvC'!$A$4:$P$4,0))),"",INDEX('Dens-A-CvC'!$A$5:$P$55,MATCH($A37,'Dens-A-CvC'!$B$5:$B$55,0),MATCH("comcast_est_units",'Dens-A-CvC'!$A$4:$P$4,0))),"")</f>
        <v>97420</v>
      </c>
      <c r="D37" s="43">
        <f>IFERROR(IF(ISBLANK(INDEX('Dens-A-CvC'!$A$5:$P$55,MATCH($A37,'Dens-A-CvC'!$B$5:$B$55,0),MATCH("total_residential_units",'Dens-A-CvC'!$A$4:$P$4,0))),"",INDEX('Dens-A-CvC'!$A$5:$P$55,MATCH($A37,'Dens-A-CvC'!$B$5:$B$55,0),MATCH("total_residential_units",'Dens-A-CvC'!$A$4:$P$4,0))),"")</f>
        <v>5833546</v>
      </c>
      <c r="E37" s="43">
        <f>IFERROR(IF(ISBLANK(INDEX('Dens-B-WFH'!$A$5:$L$55,MATCH($A37,'Dens-B-WFH'!$B$5:$B$55,0),MATCH("acs_worked_from_home",'Dens-B-WFH'!$A$4:$L$4,0))),"",INDEX('Dens-B-WFH'!$A$5:$L$55,MATCH($A37,'Dens-B-WFH'!$B$5:$B$55,0),MATCH("acs_worked_from_home",'Dens-B-WFH'!$A$4:$L$4,0))),"")</f>
        <v>687025</v>
      </c>
      <c r="F37" s="43">
        <f>IFERROR(IF(ISBLANK(INDEX('Dens-C-Large'!$A$5:$M$55,MATCH($A37,'Dens-C-Large'!$B$5:$B$55,0),MATCH("susb_employment_ge500",'Dens-C-Large'!$A$4:$M$4,0))),"",INDEX('Dens-C-Large'!$A$5:$M$55,MATCH($A37,'Dens-C-Large'!$B$5:$B$55,0),MATCH("susb_employment_ge500",'Dens-C-Large'!$A$4:$M$4,0))),"")</f>
        <v>2788779</v>
      </c>
      <c r="G37" s="43">
        <f>IFERROR(IF(ISBLANK(INDEX('Dens-C-Large'!$A$5:$M$55,MATCH($A37,'Dens-C-Large'!$B$5:$B$55,0),MATCH("susb_employment_total",'Dens-C-Large'!$A$4:$M$4,0))),"",INDEX('Dens-C-Large'!$A$5:$M$55,MATCH($A37,'Dens-C-Large'!$B$5:$B$55,0),MATCH("susb_employment_total",'Dens-C-Large'!$A$4:$M$4,0))),"")</f>
        <v>4963808</v>
      </c>
      <c r="H37" s="55">
        <f>IF(Table2[[#This Row],[Charter Units]]&lt;&gt;"", Table2[[#This Row],[Charter Units]]/Table2[[#This Row],[Total Residential Units]], "")</f>
        <v>0.7735000289703724</v>
      </c>
      <c r="I37" s="44">
        <f>IFERROR(IF(ISBLANK(INDEX('Dens-B-WFH'!$A$5:$L$55,MATCH($A37,'Dens-B-WFH'!$B$5:$B$55,0),MATCH("acs_wfh_rate_pct",'Dens-B-WFH'!$A$4:$L$4,0))),"",INDEX('Dens-B-WFH'!$A$5:$L$55,MATCH($A37,'Dens-B-WFH'!$B$5:$B$55,0),MATCH("acs_wfh_rate_pct",'Dens-B-WFH'!$A$4:$L$4,0))/100),"")</f>
        <v>0.11915789824216411</v>
      </c>
      <c r="J37" s="47">
        <f>IFERROR(IF(ISBLANK(INDEX('Dens-C-Large'!$A$5:$M$55,MATCH($A37,'Dens-C-Large'!$B$5:$B$55,0),MATCH("susb_share_ge500_pct",'Dens-C-Large'!$A$4:$M$4,0))),"",INDEX('Dens-C-Large'!$A$5:$M$55,MATCH($A37,'Dens-C-Large'!$B$5:$B$55,0),MATCH("susb_share_ge500_pct",'Dens-C-Large'!$A$4:$M$4,0))/100),"")</f>
        <v>0.56182249595471878</v>
      </c>
    </row>
    <row r="38" spans="1:10" ht="18" customHeight="1" x14ac:dyDescent="0.35">
      <c r="A38" s="46" t="s">
        <v>78</v>
      </c>
      <c r="B38" s="43" t="str">
        <f>IFERROR(IF(ISBLANK(INDEX('Dens-A-CvC'!$A$5:$P$55,MATCH($A38,'Dens-A-CvC'!$B$5:$B$55,0),MATCH("charter_est_units",'Dens-A-CvC'!$A$4:$P$4,0))),"",INDEX('Dens-A-CvC'!$A$5:$P$55,MATCH($A38,'Dens-A-CvC'!$B$5:$B$55,0),MATCH("charter_est_units",'Dens-A-CvC'!$A$4:$P$4,0))),"")</f>
        <v/>
      </c>
      <c r="C38" s="43" t="str">
        <f>IFERROR(IF(ISBLANK(INDEX('Dens-A-CvC'!$A$5:$P$55,MATCH($A38,'Dens-A-CvC'!$B$5:$B$55,0),MATCH("comcast_est_units",'Dens-A-CvC'!$A$4:$P$4,0))),"",INDEX('Dens-A-CvC'!$A$5:$P$55,MATCH($A38,'Dens-A-CvC'!$B$5:$B$55,0),MATCH("comcast_est_units",'Dens-A-CvC'!$A$4:$P$4,0))),"")</f>
        <v/>
      </c>
      <c r="D38" s="43">
        <f>IFERROR(IF(ISBLANK(INDEX('Dens-A-CvC'!$A$5:$P$55,MATCH($A38,'Dens-A-CvC'!$B$5:$B$55,0),MATCH("total_residential_units",'Dens-A-CvC'!$A$4:$P$4,0))),"",INDEX('Dens-A-CvC'!$A$5:$P$55,MATCH($A38,'Dens-A-CvC'!$B$5:$B$55,0),MATCH("total_residential_units",'Dens-A-CvC'!$A$4:$P$4,0))),"")</f>
        <v>2056192</v>
      </c>
      <c r="E38" s="43">
        <f>IFERROR(IF(ISBLANK(INDEX('Dens-B-WFH'!$A$5:$L$55,MATCH($A38,'Dens-B-WFH'!$B$5:$B$55,0),MATCH("acs_worked_from_home",'Dens-B-WFH'!$A$4:$L$4,0))),"",INDEX('Dens-B-WFH'!$A$5:$L$55,MATCH($A38,'Dens-B-WFH'!$B$5:$B$55,0),MATCH("acs_worked_from_home",'Dens-B-WFH'!$A$4:$L$4,0))),"")</f>
        <v>167486</v>
      </c>
      <c r="F38" s="43">
        <f>IFERROR(IF(ISBLANK(INDEX('Dens-C-Large'!$A$5:$M$55,MATCH($A38,'Dens-C-Large'!$B$5:$B$55,0),MATCH("susb_employment_ge500",'Dens-C-Large'!$A$4:$M$4,0))),"",INDEX('Dens-C-Large'!$A$5:$M$55,MATCH($A38,'Dens-C-Large'!$B$5:$B$55,0),MATCH("susb_employment_ge500",'Dens-C-Large'!$A$4:$M$4,0))),"")</f>
        <v>683562</v>
      </c>
      <c r="G38" s="43">
        <f>IFERROR(IF(ISBLANK(INDEX('Dens-C-Large'!$A$5:$M$55,MATCH($A38,'Dens-C-Large'!$B$5:$B$55,0),MATCH("susb_employment_total",'Dens-C-Large'!$A$4:$M$4,0))),"",INDEX('Dens-C-Large'!$A$5:$M$55,MATCH($A38,'Dens-C-Large'!$B$5:$B$55,0),MATCH("susb_employment_total",'Dens-C-Large'!$A$4:$M$4,0))),"")</f>
        <v>1390468</v>
      </c>
      <c r="H38" s="55" t="str">
        <f>IF(Table2[[#This Row],[Charter Units]]&lt;&gt;"", Table2[[#This Row],[Charter Units]]/Table2[[#This Row],[Total Residential Units]], "")</f>
        <v/>
      </c>
      <c r="I38" s="44">
        <f>IFERROR(IF(ISBLANK(INDEX('Dens-B-WFH'!$A$5:$L$55,MATCH($A38,'Dens-B-WFH'!$B$5:$B$55,0),MATCH("acs_wfh_rate_pct",'Dens-B-WFH'!$A$4:$L$4,0))),"",INDEX('Dens-B-WFH'!$A$5:$L$55,MATCH($A38,'Dens-B-WFH'!$B$5:$B$55,0),MATCH("acs_wfh_rate_pct",'Dens-B-WFH'!$A$4:$L$4,0))/100),"")</f>
        <v>8.927082822537144E-2</v>
      </c>
      <c r="J38" s="47">
        <f>IFERROR(IF(ISBLANK(INDEX('Dens-C-Large'!$A$5:$M$55,MATCH($A38,'Dens-C-Large'!$B$5:$B$55,0),MATCH("susb_share_ge500_pct",'Dens-C-Large'!$A$4:$M$4,0))),"",INDEX('Dens-C-Large'!$A$5:$M$55,MATCH($A38,'Dens-C-Large'!$B$5:$B$55,0),MATCH("susb_share_ge500_pct",'Dens-C-Large'!$A$4:$M$4,0))/100),"")</f>
        <v>0.49160570397880426</v>
      </c>
    </row>
    <row r="39" spans="1:10" ht="18" customHeight="1" x14ac:dyDescent="0.35">
      <c r="A39" s="46" t="s">
        <v>105</v>
      </c>
      <c r="B39" s="43">
        <f>IFERROR(IF(ISBLANK(INDEX('Dens-A-CvC'!$A$5:$P$55,MATCH($A39,'Dens-A-CvC'!$B$5:$B$55,0),MATCH("charter_est_units",'Dens-A-CvC'!$A$4:$P$4,0))),"",INDEX('Dens-A-CvC'!$A$5:$P$55,MATCH($A39,'Dens-A-CvC'!$B$5:$B$55,0),MATCH("charter_est_units",'Dens-A-CvC'!$A$4:$P$4,0))),"")</f>
        <v>429744</v>
      </c>
      <c r="C39" s="43">
        <f>IFERROR(IF(ISBLANK(INDEX('Dens-A-CvC'!$A$5:$P$55,MATCH($A39,'Dens-A-CvC'!$B$5:$B$55,0),MATCH("comcast_est_units",'Dens-A-CvC'!$A$4:$P$4,0))),"",INDEX('Dens-A-CvC'!$A$5:$P$55,MATCH($A39,'Dens-A-CvC'!$B$5:$B$55,0),MATCH("comcast_est_units",'Dens-A-CvC'!$A$4:$P$4,0))),"")</f>
        <v>1201997</v>
      </c>
      <c r="D39" s="43">
        <f>IFERROR(IF(ISBLANK(INDEX('Dens-A-CvC'!$A$5:$P$55,MATCH($A39,'Dens-A-CvC'!$B$5:$B$55,0),MATCH("total_residential_units",'Dens-A-CvC'!$A$4:$P$4,0))),"",INDEX('Dens-A-CvC'!$A$5:$P$55,MATCH($A39,'Dens-A-CvC'!$B$5:$B$55,0),MATCH("total_residential_units",'Dens-A-CvC'!$A$4:$P$4,0))),"")</f>
        <v>2072052</v>
      </c>
      <c r="E39" s="43">
        <f>IFERROR(IF(ISBLANK(INDEX('Dens-B-WFH'!$A$5:$L$55,MATCH($A39,'Dens-B-WFH'!$B$5:$B$55,0),MATCH("acs_worked_from_home",'Dens-B-WFH'!$A$4:$L$4,0))),"",INDEX('Dens-B-WFH'!$A$5:$L$55,MATCH($A39,'Dens-B-WFH'!$B$5:$B$55,0),MATCH("acs_worked_from_home",'Dens-B-WFH'!$A$4:$L$4,0))),"")</f>
        <v>354930</v>
      </c>
      <c r="F39" s="43">
        <f>IFERROR(IF(ISBLANK(INDEX('Dens-C-Large'!$A$5:$M$55,MATCH($A39,'Dens-C-Large'!$B$5:$B$55,0),MATCH("susb_employment_ge500",'Dens-C-Large'!$A$4:$M$4,0))),"",INDEX('Dens-C-Large'!$A$5:$M$55,MATCH($A39,'Dens-C-Large'!$B$5:$B$55,0),MATCH("susb_employment_ge500",'Dens-C-Large'!$A$4:$M$4,0))),"")</f>
        <v>777278</v>
      </c>
      <c r="G39" s="43">
        <f>IFERROR(IF(ISBLANK(INDEX('Dens-C-Large'!$A$5:$M$55,MATCH($A39,'Dens-C-Large'!$B$5:$B$55,0),MATCH("susb_employment_total",'Dens-C-Large'!$A$4:$M$4,0))),"",INDEX('Dens-C-Large'!$A$5:$M$55,MATCH($A39,'Dens-C-Large'!$B$5:$B$55,0),MATCH("susb_employment_total",'Dens-C-Large'!$A$4:$M$4,0))),"")</f>
        <v>1666806</v>
      </c>
      <c r="H39" s="55">
        <f>IF(Table2[[#This Row],[Charter Units]]&lt;&gt;"", Table2[[#This Row],[Charter Units]]/Table2[[#This Row],[Total Residential Units]], "")</f>
        <v>0.20740020038107151</v>
      </c>
      <c r="I39" s="44">
        <f>IFERROR(IF(ISBLANK(INDEX('Dens-B-WFH'!$A$5:$L$55,MATCH($A39,'Dens-B-WFH'!$B$5:$B$55,0),MATCH("acs_wfh_rate_pct",'Dens-B-WFH'!$A$4:$L$4,0))),"",INDEX('Dens-B-WFH'!$A$5:$L$55,MATCH($A39,'Dens-B-WFH'!$B$5:$B$55,0),MATCH("acs_wfh_rate_pct",'Dens-B-WFH'!$A$4:$L$4,0))/100),"")</f>
        <v>0.1706258878502426</v>
      </c>
      <c r="J39" s="47">
        <f>IFERROR(IF(ISBLANK(INDEX('Dens-C-Large'!$A$5:$M$55,MATCH($A39,'Dens-C-Large'!$B$5:$B$55,0),MATCH("susb_share_ge500_pct",'Dens-C-Large'!$A$4:$M$4,0))),"",INDEX('Dens-C-Large'!$A$5:$M$55,MATCH($A39,'Dens-C-Large'!$B$5:$B$55,0),MATCH("susb_share_ge500_pct",'Dens-C-Large'!$A$4:$M$4,0))/100),"")</f>
        <v>0.46632781499466652</v>
      </c>
    </row>
    <row r="40" spans="1:10" ht="18" customHeight="1" x14ac:dyDescent="0.35">
      <c r="A40" s="46" t="s">
        <v>135</v>
      </c>
      <c r="B40" s="43">
        <f>IFERROR(IF(ISBLANK(INDEX('Dens-A-CvC'!$A$5:$P$55,MATCH($A40,'Dens-A-CvC'!$B$5:$B$55,0),MATCH("charter_est_units",'Dens-A-CvC'!$A$4:$P$4,0))),"",INDEX('Dens-A-CvC'!$A$5:$P$55,MATCH($A40,'Dens-A-CvC'!$B$5:$B$55,0),MATCH("charter_est_units",'Dens-A-CvC'!$A$4:$P$4,0))),"")</f>
        <v>176083</v>
      </c>
      <c r="C40" s="43">
        <f>IFERROR(IF(ISBLANK(INDEX('Dens-A-CvC'!$A$5:$P$55,MATCH($A40,'Dens-A-CvC'!$B$5:$B$55,0),MATCH("comcast_est_units",'Dens-A-CvC'!$A$4:$P$4,0))),"",INDEX('Dens-A-CvC'!$A$5:$P$55,MATCH($A40,'Dens-A-CvC'!$B$5:$B$55,0),MATCH("comcast_est_units",'Dens-A-CvC'!$A$4:$P$4,0))),"")</f>
        <v>4533021</v>
      </c>
      <c r="D40" s="43">
        <f>IFERROR(IF(ISBLANK(INDEX('Dens-A-CvC'!$A$5:$P$55,MATCH($A40,'Dens-A-CvC'!$B$5:$B$55,0),MATCH("total_residential_units",'Dens-A-CvC'!$A$4:$P$4,0))),"",INDEX('Dens-A-CvC'!$A$5:$P$55,MATCH($A40,'Dens-A-CvC'!$B$5:$B$55,0),MATCH("total_residential_units",'Dens-A-CvC'!$A$4:$P$4,0))),"")</f>
        <v>6356781</v>
      </c>
      <c r="E40" s="43">
        <f>IFERROR(IF(ISBLANK(INDEX('Dens-B-WFH'!$A$5:$L$55,MATCH($A40,'Dens-B-WFH'!$B$5:$B$55,0),MATCH("acs_worked_from_home",'Dens-B-WFH'!$A$4:$L$4,0))),"",INDEX('Dens-B-WFH'!$A$5:$L$55,MATCH($A40,'Dens-B-WFH'!$B$5:$B$55,0),MATCH("acs_worked_from_home",'Dens-B-WFH'!$A$4:$L$4,0))),"")</f>
        <v>883654</v>
      </c>
      <c r="F40" s="43">
        <f>IFERROR(IF(ISBLANK(INDEX('Dens-C-Large'!$A$5:$M$55,MATCH($A40,'Dens-C-Large'!$B$5:$B$55,0),MATCH("susb_employment_ge500",'Dens-C-Large'!$A$4:$M$4,0))),"",INDEX('Dens-C-Large'!$A$5:$M$55,MATCH($A40,'Dens-C-Large'!$B$5:$B$55,0),MATCH("susb_employment_ge500",'Dens-C-Large'!$A$4:$M$4,0))),"")</f>
        <v>3058364</v>
      </c>
      <c r="G40" s="43">
        <f>IFERROR(IF(ISBLANK(INDEX('Dens-C-Large'!$A$5:$M$55,MATCH($A40,'Dens-C-Large'!$B$5:$B$55,0),MATCH("susb_employment_total",'Dens-C-Large'!$A$4:$M$4,0))),"",INDEX('Dens-C-Large'!$A$5:$M$55,MATCH($A40,'Dens-C-Large'!$B$5:$B$55,0),MATCH("susb_employment_total",'Dens-C-Large'!$A$4:$M$4,0))),"")</f>
        <v>5584830</v>
      </c>
      <c r="H40" s="55">
        <f>IF(Table2[[#This Row],[Charter Units]]&lt;&gt;"", Table2[[#This Row],[Charter Units]]/Table2[[#This Row],[Total Residential Units]], "")</f>
        <v>2.7700026161039684E-2</v>
      </c>
      <c r="I40" s="44">
        <f>IFERROR(IF(ISBLANK(INDEX('Dens-B-WFH'!$A$5:$L$55,MATCH($A40,'Dens-B-WFH'!$B$5:$B$55,0),MATCH("acs_wfh_rate_pct",'Dens-B-WFH'!$A$4:$L$4,0))),"",INDEX('Dens-B-WFH'!$A$5:$L$55,MATCH($A40,'Dens-B-WFH'!$B$5:$B$55,0),MATCH("acs_wfh_rate_pct",'Dens-B-WFH'!$A$4:$L$4,0))/100),"")</f>
        <v>0.13827430876068189</v>
      </c>
      <c r="J40" s="47">
        <f>IFERROR(IF(ISBLANK(INDEX('Dens-C-Large'!$A$5:$M$55,MATCH($A40,'Dens-C-Large'!$B$5:$B$55,0),MATCH("susb_share_ge500_pct",'Dens-C-Large'!$A$4:$M$4,0))),"",INDEX('Dens-C-Large'!$A$5:$M$55,MATCH($A40,'Dens-C-Large'!$B$5:$B$55,0),MATCH("susb_share_ge500_pct",'Dens-C-Large'!$A$4:$M$4,0))/100),"")</f>
        <v>0.54761989174245229</v>
      </c>
    </row>
    <row r="41" spans="1:10" ht="18" customHeight="1" x14ac:dyDescent="0.35">
      <c r="A41" s="46" t="s">
        <v>82</v>
      </c>
      <c r="B41" s="43">
        <f>IFERROR(IF(ISBLANK(INDEX('Dens-A-CvC'!$A$5:$P$55,MATCH($A41,'Dens-A-CvC'!$B$5:$B$55,0),MATCH("charter_est_units",'Dens-A-CvC'!$A$4:$P$4,0))),"",INDEX('Dens-A-CvC'!$A$5:$P$55,MATCH($A41,'Dens-A-CvC'!$B$5:$B$55,0),MATCH("charter_est_units",'Dens-A-CvC'!$A$4:$P$4,0))),"")</f>
        <v>106</v>
      </c>
      <c r="C41" s="43">
        <f>IFERROR(IF(ISBLANK(INDEX('Dens-A-CvC'!$A$5:$P$55,MATCH($A41,'Dens-A-CvC'!$B$5:$B$55,0),MATCH("comcast_est_units",'Dens-A-CvC'!$A$4:$P$4,0))),"",INDEX('Dens-A-CvC'!$A$5:$P$55,MATCH($A41,'Dens-A-CvC'!$B$5:$B$55,0),MATCH("comcast_est_units",'Dens-A-CvC'!$A$4:$P$4,0))),"")</f>
        <v>265</v>
      </c>
      <c r="D41" s="43">
        <f>IFERROR(IF(ISBLANK(INDEX('Dens-A-CvC'!$A$5:$P$55,MATCH($A41,'Dens-A-CvC'!$B$5:$B$55,0),MATCH("total_residential_units",'Dens-A-CvC'!$A$4:$P$4,0))),"",INDEX('Dens-A-CvC'!$A$5:$P$55,MATCH($A41,'Dens-A-CvC'!$B$5:$B$55,0),MATCH("total_residential_units",'Dens-A-CvC'!$A$4:$P$4,0))),"")</f>
        <v>530201</v>
      </c>
      <c r="E41" s="43">
        <f>IFERROR(IF(ISBLANK(INDEX('Dens-B-WFH'!$A$5:$L$55,MATCH($A41,'Dens-B-WFH'!$B$5:$B$55,0),MATCH("acs_worked_from_home",'Dens-B-WFH'!$A$4:$L$4,0))),"",INDEX('Dens-B-WFH'!$A$5:$L$55,MATCH($A41,'Dens-B-WFH'!$B$5:$B$55,0),MATCH("acs_worked_from_home",'Dens-B-WFH'!$A$4:$L$4,0))),"")</f>
        <v>65520</v>
      </c>
      <c r="F41" s="43">
        <f>IFERROR(IF(ISBLANK(INDEX('Dens-C-Large'!$A$5:$M$55,MATCH($A41,'Dens-C-Large'!$B$5:$B$55,0),MATCH("susb_employment_ge500",'Dens-C-Large'!$A$4:$M$4,0))),"",INDEX('Dens-C-Large'!$A$5:$M$55,MATCH($A41,'Dens-C-Large'!$B$5:$B$55,0),MATCH("susb_employment_ge500",'Dens-C-Large'!$A$4:$M$4,0))),"")</f>
        <v>214541</v>
      </c>
      <c r="G41" s="43">
        <f>IFERROR(IF(ISBLANK(INDEX('Dens-C-Large'!$A$5:$M$55,MATCH($A41,'Dens-C-Large'!$B$5:$B$55,0),MATCH("susb_employment_total",'Dens-C-Large'!$A$4:$M$4,0))),"",INDEX('Dens-C-Large'!$A$5:$M$55,MATCH($A41,'Dens-C-Large'!$B$5:$B$55,0),MATCH("susb_employment_total",'Dens-C-Large'!$A$4:$M$4,0))),"")</f>
        <v>439021</v>
      </c>
      <c r="H41" s="55">
        <f>IF(Table2[[#This Row],[Charter Units]]&lt;&gt;"", Table2[[#This Row],[Charter Units]]/Table2[[#This Row],[Total Residential Units]], "")</f>
        <v>1.9992417969788817E-4</v>
      </c>
      <c r="I41" s="44">
        <f>IFERROR(IF(ISBLANK(INDEX('Dens-B-WFH'!$A$5:$L$55,MATCH($A41,'Dens-B-WFH'!$B$5:$B$55,0),MATCH("acs_wfh_rate_pct",'Dens-B-WFH'!$A$4:$L$4,0))),"",INDEX('Dens-B-WFH'!$A$5:$L$55,MATCH($A41,'Dens-B-WFH'!$B$5:$B$55,0),MATCH("acs_wfh_rate_pct",'Dens-B-WFH'!$A$4:$L$4,0))/100),"")</f>
        <v>0.11578938067172689</v>
      </c>
      <c r="J41" s="47">
        <f>IFERROR(IF(ISBLANK(INDEX('Dens-C-Large'!$A$5:$M$55,MATCH($A41,'Dens-C-Large'!$B$5:$B$55,0),MATCH("susb_share_ge500_pct",'Dens-C-Large'!$A$4:$M$4,0))),"",INDEX('Dens-C-Large'!$A$5:$M$55,MATCH($A41,'Dens-C-Large'!$B$5:$B$55,0),MATCH("susb_share_ge500_pct",'Dens-C-Large'!$A$4:$M$4,0))/100),"")</f>
        <v>0.48868049592160739</v>
      </c>
    </row>
    <row r="42" spans="1:10" ht="18" customHeight="1" x14ac:dyDescent="0.35">
      <c r="A42" s="46" t="s">
        <v>47</v>
      </c>
      <c r="B42" s="43">
        <f>IFERROR(IF(ISBLANK(INDEX('Dens-A-CvC'!$A$5:$P$55,MATCH($A42,'Dens-A-CvC'!$B$5:$B$55,0),MATCH("charter_est_units",'Dens-A-CvC'!$A$4:$P$4,0))),"",INDEX('Dens-A-CvC'!$A$5:$P$55,MATCH($A42,'Dens-A-CvC'!$B$5:$B$55,0),MATCH("charter_est_units",'Dens-A-CvC'!$A$4:$P$4,0))),"")</f>
        <v>1660655</v>
      </c>
      <c r="C42" s="43">
        <f>IFERROR(IF(ISBLANK(INDEX('Dens-A-CvC'!$A$5:$P$55,MATCH($A42,'Dens-A-CvC'!$B$5:$B$55,0),MATCH("comcast_est_units",'Dens-A-CvC'!$A$4:$P$4,0))),"",INDEX('Dens-A-CvC'!$A$5:$P$55,MATCH($A42,'Dens-A-CvC'!$B$5:$B$55,0),MATCH("comcast_est_units",'Dens-A-CvC'!$A$4:$P$4,0))),"")</f>
        <v>410031</v>
      </c>
      <c r="D42" s="43">
        <f>IFERROR(IF(ISBLANK(INDEX('Dens-A-CvC'!$A$5:$P$55,MATCH($A42,'Dens-A-CvC'!$B$5:$B$55,0),MATCH("total_residential_units",'Dens-A-CvC'!$A$4:$P$4,0))),"",INDEX('Dens-A-CvC'!$A$5:$P$55,MATCH($A42,'Dens-A-CvC'!$B$5:$B$55,0),MATCH("total_residential_units",'Dens-A-CvC'!$A$4:$P$4,0))),"")</f>
        <v>2774232</v>
      </c>
      <c r="E42" s="43">
        <f>IFERROR(IF(ISBLANK(INDEX('Dens-B-WFH'!$A$5:$L$55,MATCH($A42,'Dens-B-WFH'!$B$5:$B$55,0),MATCH("acs_worked_from_home",'Dens-B-WFH'!$A$4:$L$4,0))),"",INDEX('Dens-B-WFH'!$A$5:$L$55,MATCH($A42,'Dens-B-WFH'!$B$5:$B$55,0),MATCH("acs_worked_from_home",'Dens-B-WFH'!$A$4:$L$4,0))),"")</f>
        <v>316801</v>
      </c>
      <c r="F42" s="43">
        <f>IFERROR(IF(ISBLANK(INDEX('Dens-C-Large'!$A$5:$M$55,MATCH($A42,'Dens-C-Large'!$B$5:$B$55,0),MATCH("susb_employment_ge500",'Dens-C-Large'!$A$4:$M$4,0))),"",INDEX('Dens-C-Large'!$A$5:$M$55,MATCH($A42,'Dens-C-Large'!$B$5:$B$55,0),MATCH("susb_employment_ge500",'Dens-C-Large'!$A$4:$M$4,0))),"")</f>
        <v>1149989</v>
      </c>
      <c r="G42" s="43">
        <f>IFERROR(IF(ISBLANK(INDEX('Dens-C-Large'!$A$5:$M$55,MATCH($A42,'Dens-C-Large'!$B$5:$B$55,0),MATCH("susb_employment_total",'Dens-C-Large'!$A$4:$M$4,0))),"",INDEX('Dens-C-Large'!$A$5:$M$55,MATCH($A42,'Dens-C-Large'!$B$5:$B$55,0),MATCH("susb_employment_total",'Dens-C-Large'!$A$4:$M$4,0))),"")</f>
        <v>2013315</v>
      </c>
      <c r="H42" s="55">
        <f>IF(Table2[[#This Row],[Charter Units]]&lt;&gt;"", Table2[[#This Row],[Charter Units]]/Table2[[#This Row],[Total Residential Units]], "")</f>
        <v>0.59859990080137493</v>
      </c>
      <c r="I42" s="44">
        <f>IFERROR(IF(ISBLANK(INDEX('Dens-B-WFH'!$A$5:$L$55,MATCH($A42,'Dens-B-WFH'!$B$5:$B$55,0),MATCH("acs_wfh_rate_pct",'Dens-B-WFH'!$A$4:$L$4,0))),"",INDEX('Dens-B-WFH'!$A$5:$L$55,MATCH($A42,'Dens-B-WFH'!$B$5:$B$55,0),MATCH("acs_wfh_rate_pct",'Dens-B-WFH'!$A$4:$L$4,0))/100),"")</f>
        <v>0.123202859790688</v>
      </c>
      <c r="J42" s="47">
        <f>IFERROR(IF(ISBLANK(INDEX('Dens-C-Large'!$A$5:$M$55,MATCH($A42,'Dens-C-Large'!$B$5:$B$55,0),MATCH("susb_share_ge500_pct",'Dens-C-Large'!$A$4:$M$4,0))),"",INDEX('Dens-C-Large'!$A$5:$M$55,MATCH($A42,'Dens-C-Large'!$B$5:$B$55,0),MATCH("susb_share_ge500_pct",'Dens-C-Large'!$A$4:$M$4,0))/100),"")</f>
        <v>0.57119179065372294</v>
      </c>
    </row>
    <row r="43" spans="1:10" ht="18" customHeight="1" x14ac:dyDescent="0.35">
      <c r="A43" s="46" t="s">
        <v>80</v>
      </c>
      <c r="B43" s="43" t="str">
        <f>IFERROR(IF(ISBLANK(INDEX('Dens-A-CvC'!$A$5:$P$55,MATCH($A43,'Dens-A-CvC'!$B$5:$B$55,0),MATCH("charter_est_units",'Dens-A-CvC'!$A$4:$P$4,0))),"",INDEX('Dens-A-CvC'!$A$5:$P$55,MATCH($A43,'Dens-A-CvC'!$B$5:$B$55,0),MATCH("charter_est_units",'Dens-A-CvC'!$A$4:$P$4,0))),"")</f>
        <v/>
      </c>
      <c r="C43" s="43" t="str">
        <f>IFERROR(IF(ISBLANK(INDEX('Dens-A-CvC'!$A$5:$P$55,MATCH($A43,'Dens-A-CvC'!$B$5:$B$55,0),MATCH("comcast_est_units",'Dens-A-CvC'!$A$4:$P$4,0))),"",INDEX('Dens-A-CvC'!$A$5:$P$55,MATCH($A43,'Dens-A-CvC'!$B$5:$B$55,0),MATCH("comcast_est_units",'Dens-A-CvC'!$A$4:$P$4,0))),"")</f>
        <v/>
      </c>
      <c r="D43" s="43">
        <f>IFERROR(IF(ISBLANK(INDEX('Dens-A-CvC'!$A$5:$P$55,MATCH($A43,'Dens-A-CvC'!$B$5:$B$55,0),MATCH("total_residential_units",'Dens-A-CvC'!$A$4:$P$4,0))),"",INDEX('Dens-A-CvC'!$A$5:$P$55,MATCH($A43,'Dens-A-CvC'!$B$5:$B$55,0),MATCH("total_residential_units",'Dens-A-CvC'!$A$4:$P$4,0))),"")</f>
        <v>498516</v>
      </c>
      <c r="E43" s="43">
        <f>IFERROR(IF(ISBLANK(INDEX('Dens-B-WFH'!$A$5:$L$55,MATCH($A43,'Dens-B-WFH'!$B$5:$B$55,0),MATCH("acs_worked_from_home",'Dens-B-WFH'!$A$4:$L$4,0))),"",INDEX('Dens-B-WFH'!$A$5:$L$55,MATCH($A43,'Dens-B-WFH'!$B$5:$B$55,0),MATCH("acs_worked_from_home",'Dens-B-WFH'!$A$4:$L$4,0))),"")</f>
        <v>38257</v>
      </c>
      <c r="F43" s="43">
        <f>IFERROR(IF(ISBLANK(INDEX('Dens-C-Large'!$A$5:$M$55,MATCH($A43,'Dens-C-Large'!$B$5:$B$55,0),MATCH("susb_employment_ge500",'Dens-C-Large'!$A$4:$M$4,0))),"",INDEX('Dens-C-Large'!$A$5:$M$55,MATCH($A43,'Dens-C-Large'!$B$5:$B$55,0),MATCH("susb_employment_ge500",'Dens-C-Large'!$A$4:$M$4,0))),"")</f>
        <v>157158</v>
      </c>
      <c r="G43" s="43">
        <f>IFERROR(IF(ISBLANK(INDEX('Dens-C-Large'!$A$5:$M$55,MATCH($A43,'Dens-C-Large'!$B$5:$B$55,0),MATCH("susb_employment_total",'Dens-C-Large'!$A$4:$M$4,0))),"",INDEX('Dens-C-Large'!$A$5:$M$55,MATCH($A43,'Dens-C-Large'!$B$5:$B$55,0),MATCH("susb_employment_total",'Dens-C-Large'!$A$4:$M$4,0))),"")</f>
        <v>373863</v>
      </c>
      <c r="H43" s="55" t="str">
        <f>IF(Table2[[#This Row],[Charter Units]]&lt;&gt;"", Table2[[#This Row],[Charter Units]]/Table2[[#This Row],[Total Residential Units]], "")</f>
        <v/>
      </c>
      <c r="I43" s="44">
        <f>IFERROR(IF(ISBLANK(INDEX('Dens-B-WFH'!$A$5:$L$55,MATCH($A43,'Dens-B-WFH'!$B$5:$B$55,0),MATCH("acs_wfh_rate_pct",'Dens-B-WFH'!$A$4:$L$4,0))),"",INDEX('Dens-B-WFH'!$A$5:$L$55,MATCH($A43,'Dens-B-WFH'!$B$5:$B$55,0),MATCH("acs_wfh_rate_pct",'Dens-B-WFH'!$A$4:$L$4,0))/100),"")</f>
        <v>8.0386541237579129E-2</v>
      </c>
      <c r="J43" s="47">
        <f>IFERROR(IF(ISBLANK(INDEX('Dens-C-Large'!$A$5:$M$55,MATCH($A43,'Dens-C-Large'!$B$5:$B$55,0),MATCH("susb_share_ge500_pct",'Dens-C-Large'!$A$4:$M$4,0))),"",INDEX('Dens-C-Large'!$A$5:$M$55,MATCH($A43,'Dens-C-Large'!$B$5:$B$55,0),MATCH("susb_share_ge500_pct",'Dens-C-Large'!$A$4:$M$4,0))/100),"")</f>
        <v>0.42036253921891176</v>
      </c>
    </row>
    <row r="44" spans="1:10" ht="18" customHeight="1" x14ac:dyDescent="0.35">
      <c r="A44" s="46" t="s">
        <v>109</v>
      </c>
      <c r="B44" s="43">
        <f>IFERROR(IF(ISBLANK(INDEX('Dens-A-CvC'!$A$5:$P$55,MATCH($A44,'Dens-A-CvC'!$B$5:$B$55,0),MATCH("charter_est_units",'Dens-A-CvC'!$A$4:$P$4,0))),"",INDEX('Dens-A-CvC'!$A$5:$P$55,MATCH($A44,'Dens-A-CvC'!$B$5:$B$55,0),MATCH("charter_est_units",'Dens-A-CvC'!$A$4:$P$4,0))),"")</f>
        <v>988389</v>
      </c>
      <c r="C44" s="43">
        <f>IFERROR(IF(ISBLANK(INDEX('Dens-A-CvC'!$A$5:$P$55,MATCH($A44,'Dens-A-CvC'!$B$5:$B$55,0),MATCH("comcast_est_units",'Dens-A-CvC'!$A$4:$P$4,0))),"",INDEX('Dens-A-CvC'!$A$5:$P$55,MATCH($A44,'Dens-A-CvC'!$B$5:$B$55,0),MATCH("comcast_est_units",'Dens-A-CvC'!$A$4:$P$4,0))),"")</f>
        <v>1954210</v>
      </c>
      <c r="D44" s="43">
        <f>IFERROR(IF(ISBLANK(INDEX('Dens-A-CvC'!$A$5:$P$55,MATCH($A44,'Dens-A-CvC'!$B$5:$B$55,0),MATCH("total_residential_units",'Dens-A-CvC'!$A$4:$P$4,0))),"",INDEX('Dens-A-CvC'!$A$5:$P$55,MATCH($A44,'Dens-A-CvC'!$B$5:$B$55,0),MATCH("total_residential_units",'Dens-A-CvC'!$A$4:$P$4,0))),"")</f>
        <v>3526181</v>
      </c>
      <c r="E44" s="43">
        <f>IFERROR(IF(ISBLANK(INDEX('Dens-B-WFH'!$A$5:$L$55,MATCH($A44,'Dens-B-WFH'!$B$5:$B$55,0),MATCH("acs_worked_from_home",'Dens-B-WFH'!$A$4:$L$4,0))),"",INDEX('Dens-B-WFH'!$A$5:$L$55,MATCH($A44,'Dens-B-WFH'!$B$5:$B$55,0),MATCH("acs_worked_from_home",'Dens-B-WFH'!$A$4:$L$4,0))),"")</f>
        <v>441140</v>
      </c>
      <c r="F44" s="43">
        <f>IFERROR(IF(ISBLANK(INDEX('Dens-C-Large'!$A$5:$M$55,MATCH($A44,'Dens-C-Large'!$B$5:$B$55,0),MATCH("susb_employment_ge500",'Dens-C-Large'!$A$4:$M$4,0))),"",INDEX('Dens-C-Large'!$A$5:$M$55,MATCH($A44,'Dens-C-Large'!$B$5:$B$55,0),MATCH("susb_employment_ge500",'Dens-C-Large'!$A$4:$M$4,0))),"")</f>
        <v>1664444</v>
      </c>
      <c r="G44" s="43">
        <f>IFERROR(IF(ISBLANK(INDEX('Dens-C-Large'!$A$5:$M$55,MATCH($A44,'Dens-C-Large'!$B$5:$B$55,0),MATCH("susb_employment_total",'Dens-C-Large'!$A$4:$M$4,0))),"",INDEX('Dens-C-Large'!$A$5:$M$55,MATCH($A44,'Dens-C-Large'!$B$5:$B$55,0),MATCH("susb_employment_total",'Dens-C-Large'!$A$4:$M$4,0))),"")</f>
        <v>2846881</v>
      </c>
      <c r="H44" s="55">
        <f>IF(Table2[[#This Row],[Charter Units]]&lt;&gt;"", Table2[[#This Row],[Charter Units]]/Table2[[#This Row],[Total Residential Units]], "")</f>
        <v>0.28030013206922733</v>
      </c>
      <c r="I44" s="44">
        <f>IFERROR(IF(ISBLANK(INDEX('Dens-B-WFH'!$A$5:$L$55,MATCH($A44,'Dens-B-WFH'!$B$5:$B$55,0),MATCH("acs_wfh_rate_pct",'Dens-B-WFH'!$A$4:$L$4,0))),"",INDEX('Dens-B-WFH'!$A$5:$L$55,MATCH($A44,'Dens-B-WFH'!$B$5:$B$55,0),MATCH("acs_wfh_rate_pct",'Dens-B-WFH'!$A$4:$L$4,0))/100),"")</f>
        <v>0.12677183569721781</v>
      </c>
      <c r="J44" s="47">
        <f>IFERROR(IF(ISBLANK(INDEX('Dens-C-Large'!$A$5:$M$55,MATCH($A44,'Dens-C-Large'!$B$5:$B$55,0),MATCH("susb_share_ge500_pct",'Dens-C-Large'!$A$4:$M$4,0))),"",INDEX('Dens-C-Large'!$A$5:$M$55,MATCH($A44,'Dens-C-Large'!$B$5:$B$55,0),MATCH("susb_share_ge500_pct",'Dens-C-Large'!$A$4:$M$4,0))/100),"")</f>
        <v>0.58465527712609</v>
      </c>
    </row>
    <row r="45" spans="1:10" ht="18" customHeight="1" x14ac:dyDescent="0.35">
      <c r="A45" s="46" t="s">
        <v>32</v>
      </c>
      <c r="B45" s="43">
        <f>IFERROR(IF(ISBLANK(INDEX('Dens-A-CvC'!$A$5:$P$55,MATCH($A45,'Dens-A-CvC'!$B$5:$B$55,0),MATCH("charter_est_units",'Dens-A-CvC'!$A$4:$P$4,0))),"",INDEX('Dens-A-CvC'!$A$5:$P$55,MATCH($A45,'Dens-A-CvC'!$B$5:$B$55,0),MATCH("charter_est_units",'Dens-A-CvC'!$A$4:$P$4,0))),"")</f>
        <v>6809213</v>
      </c>
      <c r="C45" s="43">
        <f>IFERROR(IF(ISBLANK(INDEX('Dens-A-CvC'!$A$5:$P$55,MATCH($A45,'Dens-A-CvC'!$B$5:$B$55,0),MATCH("comcast_est_units",'Dens-A-CvC'!$A$4:$P$4,0))),"",INDEX('Dens-A-CvC'!$A$5:$P$55,MATCH($A45,'Dens-A-CvC'!$B$5:$B$55,0),MATCH("comcast_est_units",'Dens-A-CvC'!$A$4:$P$4,0))),"")</f>
        <v>3046153</v>
      </c>
      <c r="D45" s="43">
        <f>IFERROR(IF(ISBLANK(INDEX('Dens-A-CvC'!$A$5:$P$55,MATCH($A45,'Dens-A-CvC'!$B$5:$B$55,0),MATCH("total_residential_units",'Dens-A-CvC'!$A$4:$P$4,0))),"",INDEX('Dens-A-CvC'!$A$5:$P$55,MATCH($A45,'Dens-A-CvC'!$B$5:$B$55,0),MATCH("total_residential_units",'Dens-A-CvC'!$A$4:$P$4,0))),"")</f>
        <v>13947589</v>
      </c>
      <c r="E45" s="43">
        <f>IFERROR(IF(ISBLANK(INDEX('Dens-B-WFH'!$A$5:$L$55,MATCH($A45,'Dens-B-WFH'!$B$5:$B$55,0),MATCH("acs_worked_from_home",'Dens-B-WFH'!$A$4:$L$4,0))),"",INDEX('Dens-B-WFH'!$A$5:$L$55,MATCH($A45,'Dens-B-WFH'!$B$5:$B$55,0),MATCH("acs_worked_from_home",'Dens-B-WFH'!$A$4:$L$4,0))),"")</f>
        <v>1956349</v>
      </c>
      <c r="F45" s="43">
        <f>IFERROR(IF(ISBLANK(INDEX('Dens-C-Large'!$A$5:$M$55,MATCH($A45,'Dens-C-Large'!$B$5:$B$55,0),MATCH("susb_employment_ge500",'Dens-C-Large'!$A$4:$M$4,0))),"",INDEX('Dens-C-Large'!$A$5:$M$55,MATCH($A45,'Dens-C-Large'!$B$5:$B$55,0),MATCH("susb_employment_ge500",'Dens-C-Large'!$A$4:$M$4,0))),"")</f>
        <v>6399634</v>
      </c>
      <c r="G45" s="43">
        <f>IFERROR(IF(ISBLANK(INDEX('Dens-C-Large'!$A$5:$M$55,MATCH($A45,'Dens-C-Large'!$B$5:$B$55,0),MATCH("susb_employment_total",'Dens-C-Large'!$A$4:$M$4,0))),"",INDEX('Dens-C-Large'!$A$5:$M$55,MATCH($A45,'Dens-C-Large'!$B$5:$B$55,0),MATCH("susb_employment_total",'Dens-C-Large'!$A$4:$M$4,0))),"")</f>
        <v>11507642</v>
      </c>
      <c r="H45" s="55">
        <f>IF(Table2[[#This Row],[Charter Units]]&lt;&gt;"", Table2[[#This Row],[Charter Units]]/Table2[[#This Row],[Total Residential Units]], "")</f>
        <v>0.48820000359918836</v>
      </c>
      <c r="I45" s="44">
        <f>IFERROR(IF(ISBLANK(INDEX('Dens-B-WFH'!$A$5:$L$55,MATCH($A45,'Dens-B-WFH'!$B$5:$B$55,0),MATCH("acs_wfh_rate_pct",'Dens-B-WFH'!$A$4:$L$4,0))),"",INDEX('Dens-B-WFH'!$A$5:$L$55,MATCH($A45,'Dens-B-WFH'!$B$5:$B$55,0),MATCH("acs_wfh_rate_pct",'Dens-B-WFH'!$A$4:$L$4,0))/100),"")</f>
        <v>0.1292974906551973</v>
      </c>
      <c r="J45" s="47">
        <f>IFERROR(IF(ISBLANK(INDEX('Dens-C-Large'!$A$5:$M$55,MATCH($A45,'Dens-C-Large'!$B$5:$B$55,0),MATCH("susb_share_ge500_pct",'Dens-C-Large'!$A$4:$M$4,0))),"",INDEX('Dens-C-Large'!$A$5:$M$55,MATCH($A45,'Dens-C-Large'!$B$5:$B$55,0),MATCH("susb_share_ge500_pct",'Dens-C-Large'!$A$4:$M$4,0))/100),"")</f>
        <v>0.55612035897536605</v>
      </c>
    </row>
    <row r="46" spans="1:10" ht="18" customHeight="1" x14ac:dyDescent="0.35">
      <c r="A46" s="46" t="s">
        <v>111</v>
      </c>
      <c r="B46" s="43" t="str">
        <f>IFERROR(IF(ISBLANK(INDEX('Dens-A-CvC'!$A$5:$P$55,MATCH($A46,'Dens-A-CvC'!$B$5:$B$55,0),MATCH("charter_est_units",'Dens-A-CvC'!$A$4:$P$4,0))),"",INDEX('Dens-A-CvC'!$A$5:$P$55,MATCH($A46,'Dens-A-CvC'!$B$5:$B$55,0),MATCH("charter_est_units",'Dens-A-CvC'!$A$4:$P$4,0))),"")</f>
        <v/>
      </c>
      <c r="C46" s="43">
        <f>IFERROR(IF(ISBLANK(INDEX('Dens-A-CvC'!$A$5:$P$55,MATCH($A46,'Dens-A-CvC'!$B$5:$B$55,0),MATCH("comcast_est_units",'Dens-A-CvC'!$A$4:$P$4,0))),"",INDEX('Dens-A-CvC'!$A$5:$P$55,MATCH($A46,'Dens-A-CvC'!$B$5:$B$55,0),MATCH("comcast_est_units",'Dens-A-CvC'!$A$4:$P$4,0))),"")</f>
        <v>1078558</v>
      </c>
      <c r="D46" s="43">
        <f>IFERROR(IF(ISBLANK(INDEX('Dens-A-CvC'!$A$5:$P$55,MATCH($A46,'Dens-A-CvC'!$B$5:$B$55,0),MATCH("total_residential_units",'Dens-A-CvC'!$A$4:$P$4,0))),"",INDEX('Dens-A-CvC'!$A$5:$P$55,MATCH($A46,'Dens-A-CvC'!$B$5:$B$55,0),MATCH("total_residential_units",'Dens-A-CvC'!$A$4:$P$4,0))),"")</f>
        <v>1405470</v>
      </c>
      <c r="E46" s="43">
        <f>IFERROR(IF(ISBLANK(INDEX('Dens-B-WFH'!$A$5:$L$55,MATCH($A46,'Dens-B-WFH'!$B$5:$B$55,0),MATCH("acs_worked_from_home",'Dens-B-WFH'!$A$4:$L$4,0))),"",INDEX('Dens-B-WFH'!$A$5:$L$55,MATCH($A46,'Dens-B-WFH'!$B$5:$B$55,0),MATCH("acs_worked_from_home",'Dens-B-WFH'!$A$4:$L$4,0))),"")</f>
        <v>277963</v>
      </c>
      <c r="F46" s="43">
        <f>IFERROR(IF(ISBLANK(INDEX('Dens-C-Large'!$A$5:$M$55,MATCH($A46,'Dens-C-Large'!$B$5:$B$55,0),MATCH("susb_employment_ge500",'Dens-C-Large'!$A$4:$M$4,0))),"",INDEX('Dens-C-Large'!$A$5:$M$55,MATCH($A46,'Dens-C-Large'!$B$5:$B$55,0),MATCH("susb_employment_ge500",'Dens-C-Large'!$A$4:$M$4,0))),"")</f>
        <v>831571</v>
      </c>
      <c r="G46" s="43">
        <f>IFERROR(IF(ISBLANK(INDEX('Dens-C-Large'!$A$5:$M$55,MATCH($A46,'Dens-C-Large'!$B$5:$B$55,0),MATCH("susb_employment_total",'Dens-C-Large'!$A$4:$M$4,0))),"",INDEX('Dens-C-Large'!$A$5:$M$55,MATCH($A46,'Dens-C-Large'!$B$5:$B$55,0),MATCH("susb_employment_total",'Dens-C-Large'!$A$4:$M$4,0))),"")</f>
        <v>1521640</v>
      </c>
      <c r="H46" s="55" t="str">
        <f>IF(Table2[[#This Row],[Charter Units]]&lt;&gt;"", Table2[[#This Row],[Charter Units]]/Table2[[#This Row],[Total Residential Units]], "")</f>
        <v/>
      </c>
      <c r="I46" s="44">
        <f>IFERROR(IF(ISBLANK(INDEX('Dens-B-WFH'!$A$5:$L$55,MATCH($A46,'Dens-B-WFH'!$B$5:$B$55,0),MATCH("acs_wfh_rate_pct",'Dens-B-WFH'!$A$4:$L$4,0))),"",INDEX('Dens-B-WFH'!$A$5:$L$55,MATCH($A46,'Dens-B-WFH'!$B$5:$B$55,0),MATCH("acs_wfh_rate_pct",'Dens-B-WFH'!$A$4:$L$4,0))/100),"")</f>
        <v>0.15692970758635949</v>
      </c>
      <c r="J46" s="47">
        <f>IFERROR(IF(ISBLANK(INDEX('Dens-C-Large'!$A$5:$M$55,MATCH($A46,'Dens-C-Large'!$B$5:$B$55,0),MATCH("susb_share_ge500_pct",'Dens-C-Large'!$A$4:$M$4,0))),"",INDEX('Dens-C-Large'!$A$5:$M$55,MATCH($A46,'Dens-C-Large'!$B$5:$B$55,0),MATCH("susb_share_ge500_pct",'Dens-C-Large'!$A$4:$M$4,0))/100),"")</f>
        <v>0.54649654320338581</v>
      </c>
    </row>
    <row r="47" spans="1:10" ht="18" customHeight="1" x14ac:dyDescent="0.35">
      <c r="A47" s="46" t="s">
        <v>87</v>
      </c>
      <c r="B47" s="43">
        <f>IFERROR(IF(ISBLANK(INDEX('Dens-A-CvC'!$A$5:$P$55,MATCH($A47,'Dens-A-CvC'!$B$5:$B$55,0),MATCH("charter_est_units",'Dens-A-CvC'!$A$4:$P$4,0))),"",INDEX('Dens-A-CvC'!$A$5:$P$55,MATCH($A47,'Dens-A-CvC'!$B$5:$B$55,0),MATCH("charter_est_units",'Dens-A-CvC'!$A$4:$P$4,0))),"")</f>
        <v>22092</v>
      </c>
      <c r="C47" s="43">
        <f>IFERROR(IF(ISBLANK(INDEX('Dens-A-CvC'!$A$5:$P$55,MATCH($A47,'Dens-A-CvC'!$B$5:$B$55,0),MATCH("comcast_est_units",'Dens-A-CvC'!$A$4:$P$4,0))),"",INDEX('Dens-A-CvC'!$A$5:$P$55,MATCH($A47,'Dens-A-CvC'!$B$5:$B$55,0),MATCH("comcast_est_units",'Dens-A-CvC'!$A$4:$P$4,0))),"")</f>
        <v>246531</v>
      </c>
      <c r="D47" s="43">
        <f>IFERROR(IF(ISBLANK(INDEX('Dens-A-CvC'!$A$5:$P$55,MATCH($A47,'Dens-A-CvC'!$B$5:$B$55,0),MATCH("total_residential_units",'Dens-A-CvC'!$A$4:$P$4,0))),"",INDEX('Dens-A-CvC'!$A$5:$P$55,MATCH($A47,'Dens-A-CvC'!$B$5:$B$55,0),MATCH("total_residential_units",'Dens-A-CvC'!$A$4:$P$4,0))),"")</f>
        <v>374439</v>
      </c>
      <c r="E47" s="43">
        <f>IFERROR(IF(ISBLANK(INDEX('Dens-B-WFH'!$A$5:$L$55,MATCH($A47,'Dens-B-WFH'!$B$5:$B$55,0),MATCH("acs_worked_from_home",'Dens-B-WFH'!$A$4:$L$4,0))),"",INDEX('Dens-B-WFH'!$A$5:$L$55,MATCH($A47,'Dens-B-WFH'!$B$5:$B$55,0),MATCH("acs_worked_from_home",'Dens-B-WFH'!$A$4:$L$4,0))),"")</f>
        <v>54357</v>
      </c>
      <c r="F47" s="43">
        <f>IFERROR(IF(ISBLANK(INDEX('Dens-C-Large'!$A$5:$M$55,MATCH($A47,'Dens-C-Large'!$B$5:$B$55,0),MATCH("susb_employment_ge500",'Dens-C-Large'!$A$4:$M$4,0))),"",INDEX('Dens-C-Large'!$A$5:$M$55,MATCH($A47,'Dens-C-Large'!$B$5:$B$55,0),MATCH("susb_employment_ge500",'Dens-C-Large'!$A$4:$M$4,0))),"")</f>
        <v>96512</v>
      </c>
      <c r="G47" s="43">
        <f>IFERROR(IF(ISBLANK(INDEX('Dens-C-Large'!$A$5:$M$55,MATCH($A47,'Dens-C-Large'!$B$5:$B$55,0),MATCH("susb_employment_total",'Dens-C-Large'!$A$4:$M$4,0))),"",INDEX('Dens-C-Large'!$A$5:$M$55,MATCH($A47,'Dens-C-Large'!$B$5:$B$55,0),MATCH("susb_employment_total",'Dens-C-Large'!$A$4:$M$4,0))),"")</f>
        <v>254471</v>
      </c>
      <c r="H47" s="55">
        <f>IF(Table2[[#This Row],[Charter Units]]&lt;&gt;"", Table2[[#This Row],[Charter Units]]/Table2[[#This Row],[Total Residential Units]], "")</f>
        <v>5.9000264395535719E-2</v>
      </c>
      <c r="I47" s="44">
        <f>IFERROR(IF(ISBLANK(INDEX('Dens-B-WFH'!$A$5:$L$55,MATCH($A47,'Dens-B-WFH'!$B$5:$B$55,0),MATCH("acs_wfh_rate_pct",'Dens-B-WFH'!$A$4:$L$4,0))),"",INDEX('Dens-B-WFH'!$A$5:$L$55,MATCH($A47,'Dens-B-WFH'!$B$5:$B$55,0),MATCH("acs_wfh_rate_pct",'Dens-B-WFH'!$A$4:$L$4,0))/100),"")</f>
        <v>0.1596082979754232</v>
      </c>
      <c r="J47" s="47">
        <f>IFERROR(IF(ISBLANK(INDEX('Dens-C-Large'!$A$5:$M$55,MATCH($A47,'Dens-C-Large'!$B$5:$B$55,0),MATCH("susb_share_ge500_pct",'Dens-C-Large'!$A$4:$M$4,0))),"",INDEX('Dens-C-Large'!$A$5:$M$55,MATCH($A47,'Dens-C-Large'!$B$5:$B$55,0),MATCH("susb_share_ge500_pct",'Dens-C-Large'!$A$4:$M$4,0))/100),"")</f>
        <v>0.37926522079136715</v>
      </c>
    </row>
    <row r="48" spans="1:10" ht="18" customHeight="1" x14ac:dyDescent="0.35">
      <c r="A48" s="46" t="s">
        <v>117</v>
      </c>
      <c r="B48" s="43">
        <f>IFERROR(IF(ISBLANK(INDEX('Dens-A-CvC'!$A$5:$P$55,MATCH($A48,'Dens-A-CvC'!$B$5:$B$55,0),MATCH("charter_est_units",'Dens-A-CvC'!$A$4:$P$4,0))),"",INDEX('Dens-A-CvC'!$A$5:$P$55,MATCH($A48,'Dens-A-CvC'!$B$5:$B$55,0),MATCH("charter_est_units",'Dens-A-CvC'!$A$4:$P$4,0))),"")</f>
        <v>133546</v>
      </c>
      <c r="C48" s="43">
        <f>IFERROR(IF(ISBLANK(INDEX('Dens-A-CvC'!$A$5:$P$55,MATCH($A48,'Dens-A-CvC'!$B$5:$B$55,0),MATCH("comcast_est_units",'Dens-A-CvC'!$A$4:$P$4,0))),"",INDEX('Dens-A-CvC'!$A$5:$P$55,MATCH($A48,'Dens-A-CvC'!$B$5:$B$55,0),MATCH("comcast_est_units",'Dens-A-CvC'!$A$4:$P$4,0))),"")</f>
        <v>1891293</v>
      </c>
      <c r="D48" s="43">
        <f>IFERROR(IF(ISBLANK(INDEX('Dens-A-CvC'!$A$5:$P$55,MATCH($A48,'Dens-A-CvC'!$B$5:$B$55,0),MATCH("total_residential_units",'Dens-A-CvC'!$A$4:$P$4,0))),"",INDEX('Dens-A-CvC'!$A$5:$P$55,MATCH($A48,'Dens-A-CvC'!$B$5:$B$55,0),MATCH("total_residential_units",'Dens-A-CvC'!$A$4:$P$4,0))),"")</f>
        <v>4083985</v>
      </c>
      <c r="E48" s="43">
        <f>IFERROR(IF(ISBLANK(INDEX('Dens-B-WFH'!$A$5:$L$55,MATCH($A48,'Dens-B-WFH'!$B$5:$B$55,0),MATCH("acs_worked_from_home",'Dens-B-WFH'!$A$4:$L$4,0))),"",INDEX('Dens-B-WFH'!$A$5:$L$55,MATCH($A48,'Dens-B-WFH'!$B$5:$B$55,0),MATCH("acs_worked_from_home",'Dens-B-WFH'!$A$4:$L$4,0))),"")</f>
        <v>703153</v>
      </c>
      <c r="F48" s="43">
        <f>IFERROR(IF(ISBLANK(INDEX('Dens-C-Large'!$A$5:$M$55,MATCH($A48,'Dens-C-Large'!$B$5:$B$55,0),MATCH("susb_employment_ge500",'Dens-C-Large'!$A$4:$M$4,0))),"",INDEX('Dens-C-Large'!$A$5:$M$55,MATCH($A48,'Dens-C-Large'!$B$5:$B$55,0),MATCH("susb_employment_ge500",'Dens-C-Large'!$A$4:$M$4,0))),"")</f>
        <v>1892088</v>
      </c>
      <c r="G48" s="43">
        <f>IFERROR(IF(ISBLANK(INDEX('Dens-C-Large'!$A$5:$M$55,MATCH($A48,'Dens-C-Large'!$B$5:$B$55,0),MATCH("susb_employment_total",'Dens-C-Large'!$A$4:$M$4,0))),"",INDEX('Dens-C-Large'!$A$5:$M$55,MATCH($A48,'Dens-C-Large'!$B$5:$B$55,0),MATCH("susb_employment_total",'Dens-C-Large'!$A$4:$M$4,0))),"")</f>
        <v>3494956</v>
      </c>
      <c r="H48" s="55">
        <f>IF(Table2[[#This Row],[Charter Units]]&lt;&gt;"", Table2[[#This Row],[Charter Units]]/Table2[[#This Row],[Total Residential Units]], "")</f>
        <v>3.269992421617611E-2</v>
      </c>
      <c r="I48" s="44">
        <f>IFERROR(IF(ISBLANK(INDEX('Dens-B-WFH'!$A$5:$L$55,MATCH($A48,'Dens-B-WFH'!$B$5:$B$55,0),MATCH("acs_wfh_rate_pct",'Dens-B-WFH'!$A$4:$L$4,0))),"",INDEX('Dens-B-WFH'!$A$5:$L$55,MATCH($A48,'Dens-B-WFH'!$B$5:$B$55,0),MATCH("acs_wfh_rate_pct",'Dens-B-WFH'!$A$4:$L$4,0))/100),"")</f>
        <v>0.1581802209767022</v>
      </c>
      <c r="J48" s="47">
        <f>IFERROR(IF(ISBLANK(INDEX('Dens-C-Large'!$A$5:$M$55,MATCH($A48,'Dens-C-Large'!$B$5:$B$55,0),MATCH("susb_share_ge500_pct",'Dens-C-Large'!$A$4:$M$4,0))),"",INDEX('Dens-C-Large'!$A$5:$M$55,MATCH($A48,'Dens-C-Large'!$B$5:$B$55,0),MATCH("susb_share_ge500_pct",'Dens-C-Large'!$A$4:$M$4,0))/100),"")</f>
        <v>0.54137677269756757</v>
      </c>
    </row>
    <row r="49" spans="1:10" ht="18" customHeight="1" x14ac:dyDescent="0.35">
      <c r="A49" s="46" t="s">
        <v>127</v>
      </c>
      <c r="B49" s="43">
        <f>IFERROR(IF(ISBLANK(INDEX('Dens-A-CvC'!$A$5:$P$55,MATCH($A49,'Dens-A-CvC'!$B$5:$B$55,0),MATCH("charter_est_units",'Dens-A-CvC'!$A$4:$P$4,0))),"",INDEX('Dens-A-CvC'!$A$5:$P$55,MATCH($A49,'Dens-A-CvC'!$B$5:$B$55,0),MATCH("charter_est_units",'Dens-A-CvC'!$A$4:$P$4,0))),"")</f>
        <v>317027</v>
      </c>
      <c r="C49" s="43">
        <f>IFERROR(IF(ISBLANK(INDEX('Dens-A-CvC'!$A$5:$P$55,MATCH($A49,'Dens-A-CvC'!$B$5:$B$55,0),MATCH("comcast_est_units",'Dens-A-CvC'!$A$4:$P$4,0))),"",INDEX('Dens-A-CvC'!$A$5:$P$55,MATCH($A49,'Dens-A-CvC'!$B$5:$B$55,0),MATCH("comcast_est_units",'Dens-A-CvC'!$A$4:$P$4,0))),"")</f>
        <v>2666565</v>
      </c>
      <c r="D49" s="43">
        <f>IFERROR(IF(ISBLANK(INDEX('Dens-A-CvC'!$A$5:$P$55,MATCH($A49,'Dens-A-CvC'!$B$5:$B$55,0),MATCH("total_residential_units",'Dens-A-CvC'!$A$4:$P$4,0))),"",INDEX('Dens-A-CvC'!$A$5:$P$55,MATCH($A49,'Dens-A-CvC'!$B$5:$B$55,0),MATCH("total_residential_units",'Dens-A-CvC'!$A$4:$P$4,0))),"")</f>
        <v>3682084</v>
      </c>
      <c r="E49" s="43">
        <f>IFERROR(IF(ISBLANK(INDEX('Dens-B-WFH'!$A$5:$L$55,MATCH($A49,'Dens-B-WFH'!$B$5:$B$55,0),MATCH("acs_worked_from_home",'Dens-B-WFH'!$A$4:$L$4,0))),"",INDEX('Dens-B-WFH'!$A$5:$L$55,MATCH($A49,'Dens-B-WFH'!$B$5:$B$55,0),MATCH("acs_worked_from_home",'Dens-B-WFH'!$A$4:$L$4,0))),"")</f>
        <v>645514</v>
      </c>
      <c r="F49" s="43">
        <f>IFERROR(IF(ISBLANK(INDEX('Dens-C-Large'!$A$5:$M$55,MATCH($A49,'Dens-C-Large'!$B$5:$B$55,0),MATCH("susb_employment_ge500",'Dens-C-Large'!$A$4:$M$4,0))),"",INDEX('Dens-C-Large'!$A$5:$M$55,MATCH($A49,'Dens-C-Large'!$B$5:$B$55,0),MATCH("susb_employment_ge500",'Dens-C-Large'!$A$4:$M$4,0))),"")</f>
        <v>1526660</v>
      </c>
      <c r="G49" s="43">
        <f>IFERROR(IF(ISBLANK(INDEX('Dens-C-Large'!$A$5:$M$55,MATCH($A49,'Dens-C-Large'!$B$5:$B$55,0),MATCH("susb_employment_total",'Dens-C-Large'!$A$4:$M$4,0))),"",INDEX('Dens-C-Large'!$A$5:$M$55,MATCH($A49,'Dens-C-Large'!$B$5:$B$55,0),MATCH("susb_employment_total",'Dens-C-Large'!$A$4:$M$4,0))),"")</f>
        <v>2978277</v>
      </c>
      <c r="H49" s="55">
        <f>IF(Table2[[#This Row],[Charter Units]]&lt;&gt;"", Table2[[#This Row],[Charter Units]]/Table2[[#This Row],[Total Residential Units]], "")</f>
        <v>8.6099882566503097E-2</v>
      </c>
      <c r="I49" s="44">
        <f>IFERROR(IF(ISBLANK(INDEX('Dens-B-WFH'!$A$5:$L$55,MATCH($A49,'Dens-B-WFH'!$B$5:$B$55,0),MATCH("acs_wfh_rate_pct",'Dens-B-WFH'!$A$4:$L$4,0))),"",INDEX('Dens-B-WFH'!$A$5:$L$55,MATCH($A49,'Dens-B-WFH'!$B$5:$B$55,0),MATCH("acs_wfh_rate_pct",'Dens-B-WFH'!$A$4:$L$4,0))/100),"")</f>
        <v>0.1641353585154654</v>
      </c>
      <c r="J49" s="47">
        <f>IFERROR(IF(ISBLANK(INDEX('Dens-C-Large'!$A$5:$M$55,MATCH($A49,'Dens-C-Large'!$B$5:$B$55,0),MATCH("susb_share_ge500_pct",'Dens-C-Large'!$A$4:$M$4,0))),"",INDEX('Dens-C-Large'!$A$5:$M$55,MATCH($A49,'Dens-C-Large'!$B$5:$B$55,0),MATCH("susb_share_ge500_pct",'Dens-C-Large'!$A$4:$M$4,0))/100),"")</f>
        <v>0.51259839162038989</v>
      </c>
    </row>
    <row r="50" spans="1:10" ht="18" customHeight="1" x14ac:dyDescent="0.35">
      <c r="A50" s="46" t="s">
        <v>89</v>
      </c>
      <c r="B50" s="43">
        <f>IFERROR(IF(ISBLANK(INDEX('Dens-A-CvC'!$A$5:$P$55,MATCH($A50,'Dens-A-CvC'!$B$5:$B$55,0),MATCH("charter_est_units",'Dens-A-CvC'!$A$4:$P$4,0))),"",INDEX('Dens-A-CvC'!$A$5:$P$55,MATCH($A50,'Dens-A-CvC'!$B$5:$B$55,0),MATCH("charter_est_units",'Dens-A-CvC'!$A$4:$P$4,0))),"")</f>
        <v>33378</v>
      </c>
      <c r="C50" s="43">
        <f>IFERROR(IF(ISBLANK(INDEX('Dens-A-CvC'!$A$5:$P$55,MATCH($A50,'Dens-A-CvC'!$B$5:$B$55,0),MATCH("comcast_est_units",'Dens-A-CvC'!$A$4:$P$4,0))),"",INDEX('Dens-A-CvC'!$A$5:$P$55,MATCH($A50,'Dens-A-CvC'!$B$5:$B$55,0),MATCH("comcast_est_units",'Dens-A-CvC'!$A$4:$P$4,0))),"")</f>
        <v>288945</v>
      </c>
      <c r="D50" s="43">
        <f>IFERROR(IF(ISBLANK(INDEX('Dens-A-CvC'!$A$5:$P$55,MATCH($A50,'Dens-A-CvC'!$B$5:$B$55,0),MATCH("total_residential_units",'Dens-A-CvC'!$A$4:$P$4,0))),"",INDEX('Dens-A-CvC'!$A$5:$P$55,MATCH($A50,'Dens-A-CvC'!$B$5:$B$55,0),MATCH("total_residential_units",'Dens-A-CvC'!$A$4:$P$4,0))),"")</f>
        <v>996362</v>
      </c>
      <c r="E50" s="43">
        <f>IFERROR(IF(ISBLANK(INDEX('Dens-B-WFH'!$A$5:$L$55,MATCH($A50,'Dens-B-WFH'!$B$5:$B$55,0),MATCH("acs_worked_from_home",'Dens-B-WFH'!$A$4:$L$4,0))),"",INDEX('Dens-B-WFH'!$A$5:$L$55,MATCH($A50,'Dens-B-WFH'!$B$5:$B$55,0),MATCH("acs_worked_from_home",'Dens-B-WFH'!$A$4:$L$4,0))),"")</f>
        <v>66915</v>
      </c>
      <c r="F50" s="43">
        <f>IFERROR(IF(ISBLANK(INDEX('Dens-C-Large'!$A$5:$M$55,MATCH($A50,'Dens-C-Large'!$B$5:$B$55,0),MATCH("susb_employment_ge500",'Dens-C-Large'!$A$4:$M$4,0))),"",INDEX('Dens-C-Large'!$A$5:$M$55,MATCH($A50,'Dens-C-Large'!$B$5:$B$55,0),MATCH("susb_employment_ge500",'Dens-C-Large'!$A$4:$M$4,0))),"")</f>
        <v>284187</v>
      </c>
      <c r="G50" s="43">
        <f>IFERROR(IF(ISBLANK(INDEX('Dens-C-Large'!$A$5:$M$55,MATCH($A50,'Dens-C-Large'!$B$5:$B$55,0),MATCH("susb_employment_total",'Dens-C-Large'!$A$4:$M$4,0))),"",INDEX('Dens-C-Large'!$A$5:$M$55,MATCH($A50,'Dens-C-Large'!$B$5:$B$55,0),MATCH("susb_employment_total",'Dens-C-Large'!$A$4:$M$4,0))),"")</f>
        <v>540468</v>
      </c>
      <c r="H50" s="55">
        <f>IF(Table2[[#This Row],[Charter Units]]&lt;&gt;"", Table2[[#This Row],[Charter Units]]/Table2[[#This Row],[Total Residential Units]], "")</f>
        <v>3.3499872536287015E-2</v>
      </c>
      <c r="I50" s="44">
        <f>IFERROR(IF(ISBLANK(INDEX('Dens-B-WFH'!$A$5:$L$55,MATCH($A50,'Dens-B-WFH'!$B$5:$B$55,0),MATCH("acs_wfh_rate_pct",'Dens-B-WFH'!$A$4:$L$4,0))),"",INDEX('Dens-B-WFH'!$A$5:$L$55,MATCH($A50,'Dens-B-WFH'!$B$5:$B$55,0),MATCH("acs_wfh_rate_pct",'Dens-B-WFH'!$A$4:$L$4,0))/100),"")</f>
        <v>8.8107960066678426E-2</v>
      </c>
      <c r="J50" s="47">
        <f>IFERROR(IF(ISBLANK(INDEX('Dens-C-Large'!$A$5:$M$55,MATCH($A50,'Dens-C-Large'!$B$5:$B$55,0),MATCH("susb_share_ge500_pct",'Dens-C-Large'!$A$4:$M$4,0))),"",INDEX('Dens-C-Large'!$A$5:$M$55,MATCH($A50,'Dens-C-Large'!$B$5:$B$55,0),MATCH("susb_share_ge500_pct",'Dens-C-Large'!$A$4:$M$4,0))/100),"")</f>
        <v>0.52581651457625611</v>
      </c>
    </row>
    <row r="51" spans="1:10" ht="18" customHeight="1" x14ac:dyDescent="0.35">
      <c r="A51" s="46" t="s">
        <v>35</v>
      </c>
      <c r="B51" s="43">
        <f>IFERROR(IF(ISBLANK(INDEX('Dens-A-CvC'!$A$5:$P$55,MATCH($A51,'Dens-A-CvC'!$B$5:$B$55,0),MATCH("charter_est_units",'Dens-A-CvC'!$A$4:$P$4,0))),"",INDEX('Dens-A-CvC'!$A$5:$P$55,MATCH($A51,'Dens-A-CvC'!$B$5:$B$55,0),MATCH("charter_est_units",'Dens-A-CvC'!$A$4:$P$4,0))),"")</f>
        <v>2348841</v>
      </c>
      <c r="C51" s="43">
        <f>IFERROR(IF(ISBLANK(INDEX('Dens-A-CvC'!$A$5:$P$55,MATCH($A51,'Dens-A-CvC'!$B$5:$B$55,0),MATCH("comcast_est_units",'Dens-A-CvC'!$A$4:$P$4,0))),"",INDEX('Dens-A-CvC'!$A$5:$P$55,MATCH($A51,'Dens-A-CvC'!$B$5:$B$55,0),MATCH("comcast_est_units",'Dens-A-CvC'!$A$4:$P$4,0))),"")</f>
        <v>39079</v>
      </c>
      <c r="D51" s="43">
        <f>IFERROR(IF(ISBLANK(INDEX('Dens-A-CvC'!$A$5:$P$55,MATCH($A51,'Dens-A-CvC'!$B$5:$B$55,0),MATCH("total_residential_units",'Dens-A-CvC'!$A$4:$P$4,0))),"",INDEX('Dens-A-CvC'!$A$5:$P$55,MATCH($A51,'Dens-A-CvC'!$B$5:$B$55,0),MATCH("total_residential_units",'Dens-A-CvC'!$A$4:$P$4,0))),"")</f>
        <v>3151537</v>
      </c>
      <c r="E51" s="43">
        <f>IFERROR(IF(ISBLANK(INDEX('Dens-B-WFH'!$A$5:$L$55,MATCH($A51,'Dens-B-WFH'!$B$5:$B$55,0),MATCH("acs_worked_from_home",'Dens-B-WFH'!$A$4:$L$4,0))),"",INDEX('Dens-B-WFH'!$A$5:$L$55,MATCH($A51,'Dens-B-WFH'!$B$5:$B$55,0),MATCH("acs_worked_from_home",'Dens-B-WFH'!$A$4:$L$4,0))),"")</f>
        <v>360127</v>
      </c>
      <c r="F51" s="43">
        <f>IFERROR(IF(ISBLANK(INDEX('Dens-C-Large'!$A$5:$M$55,MATCH($A51,'Dens-C-Large'!$B$5:$B$55,0),MATCH("susb_employment_ge500",'Dens-C-Large'!$A$4:$M$4,0))),"",INDEX('Dens-C-Large'!$A$5:$M$55,MATCH($A51,'Dens-C-Large'!$B$5:$B$55,0),MATCH("susb_employment_ge500",'Dens-C-Large'!$A$4:$M$4,0))),"")</f>
        <v>1352428</v>
      </c>
      <c r="G51" s="43">
        <f>IFERROR(IF(ISBLANK(INDEX('Dens-C-Large'!$A$5:$M$55,MATCH($A51,'Dens-C-Large'!$B$5:$B$55,0),MATCH("susb_employment_total",'Dens-C-Large'!$A$4:$M$4,0))),"",INDEX('Dens-C-Large'!$A$5:$M$55,MATCH($A51,'Dens-C-Large'!$B$5:$B$55,0),MATCH("susb_employment_total",'Dens-C-Large'!$A$4:$M$4,0))),"")</f>
        <v>2600303</v>
      </c>
      <c r="H51" s="55">
        <f>IF(Table2[[#This Row],[Charter Units]]&lt;&gt;"", Table2[[#This Row],[Charter Units]]/Table2[[#This Row],[Total Residential Units]], "")</f>
        <v>0.74530015037107289</v>
      </c>
      <c r="I51" s="44">
        <f>IFERROR(IF(ISBLANK(INDEX('Dens-B-WFH'!$A$5:$L$55,MATCH($A51,'Dens-B-WFH'!$B$5:$B$55,0),MATCH("acs_wfh_rate_pct",'Dens-B-WFH'!$A$4:$L$4,0))),"",INDEX('Dens-B-WFH'!$A$5:$L$55,MATCH($A51,'Dens-B-WFH'!$B$5:$B$55,0),MATCH("acs_wfh_rate_pct",'Dens-B-WFH'!$A$4:$L$4,0))/100),"")</f>
        <v>0.11805267357293509</v>
      </c>
      <c r="J51" s="47">
        <f>IFERROR(IF(ISBLANK(INDEX('Dens-C-Large'!$A$5:$M$55,MATCH($A51,'Dens-C-Large'!$B$5:$B$55,0),MATCH("susb_share_ge500_pct",'Dens-C-Large'!$A$4:$M$4,0))),"",INDEX('Dens-C-Large'!$A$5:$M$55,MATCH($A51,'Dens-C-Large'!$B$5:$B$55,0),MATCH("susb_share_ge500_pct",'Dens-C-Large'!$A$4:$M$4,0))/100),"")</f>
        <v>0.520104003264235</v>
      </c>
    </row>
    <row r="52" spans="1:10" ht="18" customHeight="1" x14ac:dyDescent="0.35">
      <c r="A52" s="48" t="s">
        <v>65</v>
      </c>
      <c r="B52" s="49">
        <f>IFERROR(IF(ISBLANK(INDEX('Dens-A-CvC'!$A$5:$P$55,MATCH($A52,'Dens-A-CvC'!$B$5:$B$55,0),MATCH("charter_est_units",'Dens-A-CvC'!$A$4:$P$4,0))),"",INDEX('Dens-A-CvC'!$A$5:$P$55,MATCH($A52,'Dens-A-CvC'!$B$5:$B$55,0),MATCH("charter_est_units",'Dens-A-CvC'!$A$4:$P$4,0))),"")</f>
        <v>161029</v>
      </c>
      <c r="C52" s="49" t="str">
        <f>IFERROR(IF(ISBLANK(INDEX('Dens-A-CvC'!$A$5:$P$55,MATCH($A52,'Dens-A-CvC'!$B$5:$B$55,0),MATCH("comcast_est_units",'Dens-A-CvC'!$A$4:$P$4,0))),"",INDEX('Dens-A-CvC'!$A$5:$P$55,MATCH($A52,'Dens-A-CvC'!$B$5:$B$55,0),MATCH("comcast_est_units",'Dens-A-CvC'!$A$4:$P$4,0))),"")</f>
        <v/>
      </c>
      <c r="D52" s="49">
        <f>IFERROR(IF(ISBLANK(INDEX('Dens-A-CvC'!$A$5:$P$55,MATCH($A52,'Dens-A-CvC'!$B$5:$B$55,0),MATCH("total_residential_units",'Dens-A-CvC'!$A$4:$P$4,0))),"",INDEX('Dens-A-CvC'!$A$5:$P$55,MATCH($A52,'Dens-A-CvC'!$B$5:$B$55,0),MATCH("total_residential_units",'Dens-A-CvC'!$A$4:$P$4,0))),"")</f>
        <v>311347</v>
      </c>
      <c r="E52" s="49">
        <f>IFERROR(IF(ISBLANK(INDEX('Dens-B-WFH'!$A$5:$L$55,MATCH($A52,'Dens-B-WFH'!$B$5:$B$55,0),MATCH("acs_worked_from_home",'Dens-B-WFH'!$A$4:$L$4,0))),"",INDEX('Dens-B-WFH'!$A$5:$L$55,MATCH($A52,'Dens-B-WFH'!$B$5:$B$55,0),MATCH("acs_worked_from_home",'Dens-B-WFH'!$A$4:$L$4,0))),"")</f>
        <v>28679</v>
      </c>
      <c r="F52" s="49">
        <f>IFERROR(IF(ISBLANK(INDEX('Dens-C-Large'!$A$5:$M$55,MATCH($A52,'Dens-C-Large'!$B$5:$B$55,0),MATCH("susb_employment_ge500",'Dens-C-Large'!$A$4:$M$4,0))),"",INDEX('Dens-C-Large'!$A$5:$M$55,MATCH($A52,'Dens-C-Large'!$B$5:$B$55,0),MATCH("susb_employment_ge500",'Dens-C-Large'!$A$4:$M$4,0))),"")</f>
        <v>72388</v>
      </c>
      <c r="G52" s="49">
        <f>IFERROR(IF(ISBLANK(INDEX('Dens-C-Large'!$A$5:$M$55,MATCH($A52,'Dens-C-Large'!$B$5:$B$55,0),MATCH("susb_employment_total",'Dens-C-Large'!$A$4:$M$4,0))),"",INDEX('Dens-C-Large'!$A$5:$M$55,MATCH($A52,'Dens-C-Large'!$B$5:$B$55,0),MATCH("susb_employment_total",'Dens-C-Large'!$A$4:$M$4,0))),"")</f>
        <v>208024</v>
      </c>
      <c r="H52" s="56">
        <f>IF(Table2[[#This Row],[Charter Units]]&lt;&gt;"", Table2[[#This Row],[Charter Units]]/Table2[[#This Row],[Total Residential Units]], "")</f>
        <v>0.51720106504960706</v>
      </c>
      <c r="I52" s="50">
        <f>IFERROR(IF(ISBLANK(INDEX('Dens-B-WFH'!$A$5:$L$55,MATCH($A52,'Dens-B-WFH'!$B$5:$B$55,0),MATCH("acs_wfh_rate_pct",'Dens-B-WFH'!$A$4:$L$4,0))),"",INDEX('Dens-B-WFH'!$A$5:$L$55,MATCH($A52,'Dens-B-WFH'!$B$5:$B$55,0),MATCH("acs_wfh_rate_pct",'Dens-B-WFH'!$A$4:$L$4,0))/100),"")</f>
        <v>9.7243320222433205E-2</v>
      </c>
      <c r="J52" s="51">
        <f>IFERROR(IF(ISBLANK(INDEX('Dens-C-Large'!$A$5:$M$55,MATCH($A52,'Dens-C-Large'!$B$5:$B$55,0),MATCH("susb_share_ge500_pct",'Dens-C-Large'!$A$4:$M$4,0))),"",INDEX('Dens-C-Large'!$A$5:$M$55,MATCH($A52,'Dens-C-Large'!$B$5:$B$55,0),MATCH("susb_share_ge500_pct",'Dens-C-Large'!$A$4:$M$4,0))/100),"")</f>
        <v>0.34797907933699962</v>
      </c>
    </row>
    <row r="54" spans="1:10" ht="36" customHeight="1" x14ac:dyDescent="0.35">
      <c r="A54" s="45" t="s">
        <v>3253</v>
      </c>
      <c r="B54" s="45"/>
      <c r="C54" s="45"/>
      <c r="D54" s="45"/>
      <c r="E54" s="45"/>
      <c r="F54" s="45"/>
      <c r="G54" s="45"/>
      <c r="H54" s="45"/>
      <c r="I54" s="45"/>
      <c r="J54" s="45"/>
    </row>
  </sheetData>
  <mergeCells count="1">
    <mergeCell ref="A54:J54"/>
  </mergeCells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TOC</vt:lpstr>
      <vt:lpstr>Emp-Notes</vt:lpstr>
      <vt:lpstr>Emp-US</vt:lpstr>
      <vt:lpstr>Emp-States</vt:lpstr>
      <vt:lpstr>Emp-MetrosHiLo</vt:lpstr>
      <vt:lpstr>Emp-MetrosFull</vt:lpstr>
      <vt:lpstr>Emp-MSAFull</vt:lpstr>
      <vt:lpstr>Emp-CutoffSens</vt:lpstr>
      <vt:lpstr>WFH-Notes</vt:lpstr>
      <vt:lpstr>WFH-US</vt:lpstr>
      <vt:lpstr>WFH-States</vt:lpstr>
      <vt:lpstr>WFH-Seniority</vt:lpstr>
      <vt:lpstr>WFH-FirmSize</vt:lpstr>
      <vt:lpstr>Brok-Notes</vt:lpstr>
      <vt:lpstr>Brok-Core</vt:lpstr>
      <vt:lpstr>Brok-Later</vt:lpstr>
      <vt:lpstr>Brok-InHand</vt:lpstr>
      <vt:lpstr>BrkDn-Notes</vt:lpstr>
      <vt:lpstr>BrkDn-Score</vt:lpstr>
      <vt:lpstr>BrkDn-M1</vt:lpstr>
      <vt:lpstr>BrkDn-M2</vt:lpstr>
      <vt:lpstr>BrkDn-M5</vt:lpstr>
      <vt:lpstr>BrkDn-M9</vt:lpstr>
      <vt:lpstr>BrkDn-M13</vt:lpstr>
      <vt:lpstr>BrkDn-Analogues</vt:lpstr>
      <vt:lpstr>CvC-Notes</vt:lpstr>
      <vt:lpstr>CvC-Leads</vt:lpstr>
      <vt:lpstr>CvC-Charter</vt:lpstr>
      <vt:lpstr>CvC-Comcast</vt:lpstr>
      <vt:lpstr>CvC-Neither</vt:lpstr>
      <vt:lpstr>Dens-Notes</vt:lpstr>
      <vt:lpstr>Dens-State</vt:lpstr>
      <vt:lpstr>Dens-Division</vt:lpstr>
      <vt:lpstr>Dens-A-CvC</vt:lpstr>
      <vt:lpstr>Dens-B-WFH</vt:lpstr>
      <vt:lpstr>Dens-C-Large</vt:lpstr>
      <vt:lpstr>State 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Conger, Kyle E.</cp:lastModifiedBy>
  <dcterms:created xsi:type="dcterms:W3CDTF">2026-09-22T17:04:02Z</dcterms:created>
  <dcterms:modified xsi:type="dcterms:W3CDTF">2026-09-22T17:29:08Z</dcterms:modified>
</cp:coreProperties>
</file>