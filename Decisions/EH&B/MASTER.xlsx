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ables/table1.xml" ContentType="application/vnd.openxmlformats-officedocument.spreadsheetml.table+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30" activeTab="36" autoFilterDateGrouping="1"/>
  </bookViews>
  <sheets>
    <sheet xmlns:r="http://schemas.openxmlformats.org/officeDocument/2006/relationships" name="TOC" sheetId="1" state="visible" r:id="rId1"/>
    <sheet xmlns:r="http://schemas.openxmlformats.org/officeDocument/2006/relationships" name="Emp-Notes" sheetId="2" state="visible" r:id="rId2"/>
    <sheet xmlns:r="http://schemas.openxmlformats.org/officeDocument/2006/relationships" name="Emp-US" sheetId="3" state="visible" r:id="rId3"/>
    <sheet xmlns:r="http://schemas.openxmlformats.org/officeDocument/2006/relationships" name="Emp-States" sheetId="4" state="visible" r:id="rId4"/>
    <sheet xmlns:r="http://schemas.openxmlformats.org/officeDocument/2006/relationships" name="Emp-MetrosHiLo" sheetId="5" state="visible" r:id="rId5"/>
    <sheet xmlns:r="http://schemas.openxmlformats.org/officeDocument/2006/relationships" name="Emp-MetrosFull" sheetId="6" state="visible" r:id="rId6"/>
    <sheet xmlns:r="http://schemas.openxmlformats.org/officeDocument/2006/relationships" name="Emp-MSAFull" sheetId="7" state="visible" r:id="rId7"/>
    <sheet xmlns:r="http://schemas.openxmlformats.org/officeDocument/2006/relationships" name="Emp-CutoffSens" sheetId="8" state="visible" r:id="rId8"/>
    <sheet xmlns:r="http://schemas.openxmlformats.org/officeDocument/2006/relationships" name="WFH-Notes" sheetId="9" state="visible" r:id="rId9"/>
    <sheet xmlns:r="http://schemas.openxmlformats.org/officeDocument/2006/relationships" name="WFH-US" sheetId="10" state="visible" r:id="rId10"/>
    <sheet xmlns:r="http://schemas.openxmlformats.org/officeDocument/2006/relationships" name="WFH-States" sheetId="11" state="visible" r:id="rId11"/>
    <sheet xmlns:r="http://schemas.openxmlformats.org/officeDocument/2006/relationships" name="WFH-Seniority" sheetId="12" state="visible" r:id="rId12"/>
    <sheet xmlns:r="http://schemas.openxmlformats.org/officeDocument/2006/relationships" name="WFH-FirmSize" sheetId="13" state="visible" r:id="rId13"/>
    <sheet xmlns:r="http://schemas.openxmlformats.org/officeDocument/2006/relationships" name="Brok-Notes" sheetId="14" state="visible" r:id="rId14"/>
    <sheet xmlns:r="http://schemas.openxmlformats.org/officeDocument/2006/relationships" name="Brok-Core" sheetId="15" state="visible" r:id="rId15"/>
    <sheet xmlns:r="http://schemas.openxmlformats.org/officeDocument/2006/relationships" name="Brok-Later" sheetId="16" state="visible" r:id="rId16"/>
    <sheet xmlns:r="http://schemas.openxmlformats.org/officeDocument/2006/relationships" name="Brok-InHand" sheetId="17" state="visible" r:id="rId17"/>
    <sheet xmlns:r="http://schemas.openxmlformats.org/officeDocument/2006/relationships" name="BrkDn-Notes" sheetId="18" state="visible" r:id="rId18"/>
    <sheet xmlns:r="http://schemas.openxmlformats.org/officeDocument/2006/relationships" name="BrkDn-Score" sheetId="19" state="visible" r:id="rId19"/>
    <sheet xmlns:r="http://schemas.openxmlformats.org/officeDocument/2006/relationships" name="BrkDn-M1" sheetId="20" state="visible" r:id="rId20"/>
    <sheet xmlns:r="http://schemas.openxmlformats.org/officeDocument/2006/relationships" name="BrkDn-M2" sheetId="21" state="visible" r:id="rId21"/>
    <sheet xmlns:r="http://schemas.openxmlformats.org/officeDocument/2006/relationships" name="BrkDn-M5" sheetId="22" state="visible" r:id="rId22"/>
    <sheet xmlns:r="http://schemas.openxmlformats.org/officeDocument/2006/relationships" name="BrkDn-M9" sheetId="23" state="visible" r:id="rId23"/>
    <sheet xmlns:r="http://schemas.openxmlformats.org/officeDocument/2006/relationships" name="BrkDn-M13" sheetId="24" state="visible" r:id="rId24"/>
    <sheet xmlns:r="http://schemas.openxmlformats.org/officeDocument/2006/relationships" name="BrkDn-Analogues" sheetId="25" state="visible" r:id="rId25"/>
    <sheet xmlns:r="http://schemas.openxmlformats.org/officeDocument/2006/relationships" name="CvC-Notes" sheetId="26" state="visible" r:id="rId26"/>
    <sheet xmlns:r="http://schemas.openxmlformats.org/officeDocument/2006/relationships" name="CvC-Leads" sheetId="27" state="visible" r:id="rId27"/>
    <sheet xmlns:r="http://schemas.openxmlformats.org/officeDocument/2006/relationships" name="CvC-Charter" sheetId="28" state="visible" r:id="rId28"/>
    <sheet xmlns:r="http://schemas.openxmlformats.org/officeDocument/2006/relationships" name="CvC-Comcast" sheetId="29" state="visible" r:id="rId29"/>
    <sheet xmlns:r="http://schemas.openxmlformats.org/officeDocument/2006/relationships" name="CvC-Neither" sheetId="30" state="visible" r:id="rId30"/>
    <sheet xmlns:r="http://schemas.openxmlformats.org/officeDocument/2006/relationships" name="Dens-Notes" sheetId="31" state="visible" r:id="rId31"/>
    <sheet xmlns:r="http://schemas.openxmlformats.org/officeDocument/2006/relationships" name="Dens-State" sheetId="32" state="visible" r:id="rId32"/>
    <sheet xmlns:r="http://schemas.openxmlformats.org/officeDocument/2006/relationships" name="Dens-Division" sheetId="33" state="visible" r:id="rId33"/>
    <sheet xmlns:r="http://schemas.openxmlformats.org/officeDocument/2006/relationships" name="Dens-A-CvC" sheetId="34" state="visible" r:id="rId34"/>
    <sheet xmlns:r="http://schemas.openxmlformats.org/officeDocument/2006/relationships" name="Dens-B-WFH" sheetId="35" state="visible" r:id="rId35"/>
    <sheet xmlns:r="http://schemas.openxmlformats.org/officeDocument/2006/relationships" name="Dens-C-Large" sheetId="36" state="visible" r:id="rId36"/>
    <sheet xmlns:r="http://schemas.openxmlformats.org/officeDocument/2006/relationships" name="State Combined" sheetId="37" state="visible" r:id="rId37"/>
    <sheet xmlns:r="http://schemas.openxmlformats.org/officeDocument/2006/relationships" name="Product Mix" sheetId="38" state="visible" r:id="rId38"/>
    <sheet xmlns:r="http://schemas.openxmlformats.org/officeDocument/2006/relationships" name="Product Trends" sheetId="39" state="visible" r:id="rId39"/>
    <sheet xmlns:r="http://schemas.openxmlformats.org/officeDocument/2006/relationships" name="Unit Economics" sheetId="40" state="visible" r:id="rId40"/>
    <sheet xmlns:r="http://schemas.openxmlformats.org/officeDocument/2006/relationships" name="Executive Summary" sheetId="41" state="visible" r:id="rId41"/>
  </sheets>
  <definedNames>
    <definedName name="_xlchart.v5.0" hidden="1">'State Combined'!$A$1</definedName>
    <definedName name="_xlchart.v5.1" hidden="1">'State Combined'!$A$2:$A$52</definedName>
    <definedName name="_xlchart.v5.10" hidden="1">'State Combined'!$A$1</definedName>
    <definedName name="_xlchart.v5.11" hidden="1">'State Combined'!$A$2:$A$52</definedName>
    <definedName name="_xlchart.v5.12" hidden="1">'State Combined'!$H$1</definedName>
    <definedName name="_xlchart.v5.13" hidden="1">'State Combined'!$H$2:$H$52</definedName>
    <definedName name="_xlchart.v5.14" hidden="1">'State Combined'!$A$1</definedName>
    <definedName name="_xlchart.v5.15" hidden="1">'State Combined'!$A$1:$A$36</definedName>
    <definedName name="_xlchart.v5.16" hidden="1">'State Combined'!$A$1:$A$52</definedName>
    <definedName name="_xlchart.v5.17" hidden="1">'State Combined'!$A$2:$A$52</definedName>
    <definedName name="_xlchart.v5.18" hidden="1">'State Combined'!$I$1</definedName>
    <definedName name="_xlchart.v5.19" hidden="1">'State Combined'!$I$2:$I$52</definedName>
    <definedName name="_xlchart.v5.2" hidden="1">'State Combined'!$H$1</definedName>
    <definedName name="_xlchart.v5.20" hidden="1">'State Combined'!$J$1</definedName>
    <definedName name="_xlchart.v5.21" hidden="1">'State Combined'!$J$1:$J$44</definedName>
    <definedName name="_xlchart.v5.22" hidden="1">'State Combined'!$J$1:$J$52</definedName>
    <definedName name="_xlchart.v5.23" hidden="1">'State Combined'!$J$2:$J$52</definedName>
    <definedName name="_xlchart.v5.24" hidden="1">'State Combined'!$J$52</definedName>
    <definedName name="_xlchart.v5.25" hidden="1">'State Combined'!$A$1</definedName>
    <definedName name="_xlchart.v5.26" hidden="1">'State Combined'!$A$1:$A$36</definedName>
    <definedName name="_xlchart.v5.27" hidden="1">'State Combined'!$A$1:$A$52</definedName>
    <definedName name="_xlchart.v5.28" hidden="1">'State Combined'!$A$2:$A$52</definedName>
    <definedName name="_xlchart.v5.29" hidden="1">'State Combined'!$I$1</definedName>
    <definedName name="_xlchart.v5.3" hidden="1">'State Combined'!$H$2:$H$52</definedName>
    <definedName name="_xlchart.v5.30" hidden="1">'State Combined'!$I$2:$I$52</definedName>
    <definedName name="_xlchart.v5.31" hidden="1">'State Combined'!$J$1</definedName>
    <definedName name="_xlchart.v5.32" hidden="1">'State Combined'!$J$1:$J$44</definedName>
    <definedName name="_xlchart.v5.33" hidden="1">'State Combined'!$J$1:$J$52</definedName>
    <definedName name="_xlchart.v5.34" hidden="1">'State Combined'!$J$2:$J$52</definedName>
    <definedName name="_xlchart.v5.35" hidden="1">'State Combined'!$J$52</definedName>
    <definedName name="_xlchart.v5.36" hidden="1">'State Combined'!$A$1</definedName>
    <definedName name="_xlchart.v5.37" hidden="1">'State Combined'!$A$2:$A$52</definedName>
    <definedName name="_xlchart.v5.38" hidden="1">'State Combined'!$H$1</definedName>
    <definedName name="_xlchart.v5.39" hidden="1">'State Combined'!$H$2:$H$52</definedName>
    <definedName name="_xlchart.v5.4" hidden="1">'State Combined'!$J$1</definedName>
    <definedName name="_xlchart.v5.5" hidden="1">'State Combined'!$J$2:$J$52</definedName>
    <definedName name="_xlchart.v5.6" hidden="1">'State Combined'!$A$1</definedName>
    <definedName name="_xlchart.v5.7" hidden="1">'State Combined'!$A$2:$A$52</definedName>
    <definedName name="_xlchart.v5.8" hidden="1">'State Combined'!$I$1</definedName>
    <definedName name="_xlchart.v5.9" hidden="1">'State Combined'!$I$2:$I$52</definedName>
    <definedName name="_xlnm._FilterDatabase" localSheetId="1" hidden="1">'Emp-Notes'!$A$1:$B$26</definedName>
    <definedName name="_xlnm._FilterDatabase" localSheetId="3" hidden="1">'Emp-States'!$A$1:$J$52</definedName>
    <definedName name="_xlnm._FilterDatabase" localSheetId="4" hidden="1">'Emp-MetrosHiLo'!$A$1:$I$21</definedName>
    <definedName name="_xlnm._FilterDatabase" localSheetId="5" hidden="1">'Emp-MetrosFull'!$A$1:$J$390</definedName>
    <definedName name="_xlnm._FilterDatabase" localSheetId="6" hidden="1">'Emp-MSAFull'!$A$1:$J$926</definedName>
    <definedName name="_xlnm._FilterDatabase" localSheetId="7" hidden="1">'Emp-CutoffSens'!$A$1:$E$7</definedName>
    <definedName name="_xlnm._FilterDatabase" localSheetId="8" hidden="1">'WFH-Notes'!$A$1:$D$16</definedName>
    <definedName name="_xlnm._FilterDatabase" localSheetId="9" hidden="1">'WFH-US'!$A$1:$L$2</definedName>
    <definedName name="_xlnm._FilterDatabase" localSheetId="10" hidden="1">'WFH-States'!$A$1:$H$52</definedName>
    <definedName name="_xlnm._FilterDatabase" localSheetId="11" hidden="1">'WFH-Seniority'!$A$1:$N$22</definedName>
    <definedName name="_xlnm._FilterDatabase" localSheetId="12" hidden="1">'WFH-FirmSize'!$A$1:$P$7</definedName>
    <definedName name="_xlnm._FilterDatabase" localSheetId="13" hidden="1">'Brok-Notes'!$A$1:$B$13</definedName>
    <definedName name="_xlnm._FilterDatabase" localSheetId="14" hidden="1">'Brok-Core'!$A$1:$K$9</definedName>
    <definedName name="_xlnm._FilterDatabase" localSheetId="15" hidden="1">'Brok-Later'!$A$1:$L$8</definedName>
    <definedName name="_xlnm._FilterDatabase" localSheetId="16" hidden="1">'Brok-InHand'!$A$1:$D$13</definedName>
    <definedName name="_xlnm._FilterDatabase" localSheetId="17" hidden="1">'BrkDn-Notes'!$A$1:$B$15</definedName>
    <definedName name="_xlnm._FilterDatabase" localSheetId="18" hidden="1">'BrkDn-Score'!$A$1:$G$6</definedName>
    <definedName name="_xlnm._FilterDatabase" localSheetId="19" hidden="1">'BrkDn-M1'!$A$1:$H$30</definedName>
    <definedName name="_xlnm._FilterDatabase" localSheetId="20" hidden="1">'BrkDn-M2'!$A$1:$H$28</definedName>
    <definedName name="_xlnm._FilterDatabase" localSheetId="21" hidden="1">'BrkDn-M5'!$A$1:$H$21</definedName>
    <definedName name="_xlnm._FilterDatabase" localSheetId="22" hidden="1">'BrkDn-M9'!$A$1:$H$22</definedName>
    <definedName name="_xlnm._FilterDatabase" localSheetId="23" hidden="1">'BrkDn-M13'!$A$1:$H$23</definedName>
    <definedName name="_xlnm._FilterDatabase" localSheetId="24" hidden="1">'BrkDn-Analogues'!$A$1:$L$31</definedName>
    <definedName name="_xlnm._FilterDatabase" localSheetId="25" hidden="1">'CvC-Notes'!$A$1:$B$29</definedName>
    <definedName name="_xlnm._FilterDatabase" localSheetId="26" hidden="1">'CvC-Leads'!$A$1:$M$52</definedName>
    <definedName name="_xlnm._FilterDatabase" localSheetId="27" hidden="1">'CvC-Charter'!$A$1:$M$20</definedName>
    <definedName name="_xlnm._FilterDatabase" localSheetId="28" hidden="1">'CvC-Comcast'!$A$1:$M$28</definedName>
    <definedName name="_xlnm._FilterDatabase" localSheetId="29" hidden="1">'CvC-Neither'!$A$1:$M$6</definedName>
    <definedName name="_xlnm._FilterDatabase" localSheetId="31" hidden="1">'Dens-State'!$A$1:$X$52</definedName>
    <definedName name="_xlnm._FilterDatabase" localSheetId="33" hidden="1">'Dens-A-CvC'!$A$4:$P$55</definedName>
    <definedName name="_xlnm._FilterDatabase" localSheetId="34" hidden="1">'Dens-B-WFH'!$A$4:$L$55</definedName>
    <definedName name="_xlnm._FilterDatabase" localSheetId="35" hidden="1">'Dens-C-Large'!$A$4:$M$55</definedName>
    <definedName name="_xlnm._FilterDatabase" localSheetId="37" hidden="1">'Product Mix'!$A$4:$L$23</definedName>
    <definedName name="_xlnm.Print_Titles" localSheetId="37">'Product Mix'!$1:$4</definedName>
    <definedName name="_xlnm._FilterDatabase" localSheetId="38" hidden="1">'Product Trends'!$A$4:$K$15</definedName>
    <definedName name="_xlnm.Print_Titles" localSheetId="38">'Product Trends'!$1:$4</definedName>
    <definedName name="_xlnm._FilterDatabase" localSheetId="39" hidden="1">'Unit Economics'!$A$4:$H$25</definedName>
    <definedName name="_xlnm.Print_Titles" localSheetId="39">'Unit Economics'!$1:$4</definedName>
    <definedName name="_xlnm.Print_Titles" localSheetId="40">'Executive Summary'!$1:$1</definedName>
  </definedNames>
  <calcPr calcId="191029" fullCalcOnLoad="1"/>
</workbook>
</file>

<file path=xl/styles.xml><?xml version="1.0" encoding="utf-8"?>
<styleSheet xmlns="http://schemas.openxmlformats.org/spreadsheetml/2006/main">
  <numFmts count="5">
    <numFmt numFmtId="164" formatCode="0.0"/>
    <numFmt numFmtId="165" formatCode="0.000000000000000"/>
    <numFmt numFmtId="166" formatCode="#,##0.0"/>
    <numFmt numFmtId="167" formatCode="0.0%"/>
    <numFmt numFmtId="168" formatCode="&quot;$&quot;#,##0.00"/>
  </numFmts>
  <fonts count="22">
    <font>
      <name val="Calibri"/>
      <family val="2"/>
      <color theme="1"/>
      <sz val="11"/>
      <scheme val="minor"/>
    </font>
    <font>
      <name val="Calibri"/>
      <family val="2"/>
      <b val="1"/>
      <sz val="11"/>
    </font>
    <font>
      <name val="Georgia"/>
      <family val="1"/>
      <b val="1"/>
      <color rgb="FF1F4E79"/>
      <sz val="14"/>
    </font>
    <font>
      <name val="Georgia"/>
      <family val="1"/>
      <b val="1"/>
      <color rgb="FF1A1A1A"/>
      <sz val="10"/>
    </font>
    <font>
      <name val="Georgia"/>
      <family val="1"/>
      <color rgb="FF1A1A1A"/>
      <sz val="10"/>
    </font>
    <font>
      <name val="Georgia"/>
      <family val="1"/>
      <b val="1"/>
      <color rgb="FFFFFFFF"/>
      <sz val="10"/>
    </font>
    <font>
      <name val="Georgia"/>
      <family val="1"/>
      <i val="1"/>
      <color rgb="FF595959"/>
      <sz val="9"/>
    </font>
    <font>
      <name val="Calibri"/>
      <family val="2"/>
      <b val="1"/>
      <color rgb="FF1A1A1A"/>
      <sz val="16"/>
    </font>
    <font>
      <name val="Calibri"/>
      <family val="2"/>
      <i val="1"/>
      <color rgb="FF555555"/>
      <sz val="10"/>
    </font>
    <font>
      <name val="Calibri"/>
      <family val="2"/>
      <b val="1"/>
      <color rgb="FFFFFFFF"/>
      <sz val="11"/>
    </font>
    <font>
      <name val="Calibri"/>
      <family val="2"/>
      <sz val="11"/>
    </font>
    <font>
      <name val="Georgia"/>
      <family val="1"/>
      <b val="1"/>
      <sz val="11"/>
    </font>
    <font>
      <name val="Georgia"/>
      <family val="1"/>
      <color theme="1"/>
      <sz val="11"/>
    </font>
    <font>
      <name val="Georgia"/>
      <family val="1"/>
      <sz val="11"/>
    </font>
    <font>
      <name val="Georgia"/>
      <family val="1"/>
      <i val="1"/>
      <color rgb="FF555555"/>
      <sz val="9"/>
    </font>
    <font>
      <name val="Calibri"/>
      <sz val="10"/>
    </font>
    <font>
      <name val="Calibri"/>
      <b val="1"/>
      <sz val="14"/>
    </font>
    <font>
      <name val="Calibri"/>
      <i val="1"/>
      <color rgb="00595959"/>
      <sz val="10"/>
    </font>
    <font>
      <name val="Calibri"/>
      <b val="1"/>
      <sz val="10"/>
    </font>
    <font>
      <name val="Calibri"/>
      <b val="1"/>
      <color rgb="001A1A1A"/>
      <sz val="16"/>
    </font>
    <font>
      <name val="Calibri"/>
      <b val="1"/>
      <color rgb="001A1A1A"/>
      <sz val="13"/>
    </font>
    <font>
      <b val="1"/>
    </font>
  </fonts>
  <fills count="16">
    <fill>
      <patternFill/>
    </fill>
    <fill>
      <patternFill patternType="gray125"/>
    </fill>
    <fill>
      <patternFill patternType="solid">
        <fgColor rgb="FFF2F2F2"/>
      </patternFill>
    </fill>
    <fill>
      <patternFill patternType="solid">
        <fgColor rgb="FFFFF4D6"/>
      </patternFill>
    </fill>
    <fill>
      <patternFill patternType="solid">
        <fgColor rgb="FFF3F3F3"/>
      </patternFill>
    </fill>
    <fill>
      <patternFill patternType="solid">
        <fgColor rgb="FF1F4E79"/>
      </patternFill>
    </fill>
    <fill>
      <patternFill patternType="solid">
        <fgColor rgb="FFD6E3F0"/>
      </patternFill>
    </fill>
    <fill>
      <patternFill patternType="solid">
        <fgColor rgb="FFFFF2CC"/>
      </patternFill>
    </fill>
    <fill>
      <patternFill patternType="solid">
        <fgColor rgb="FFFFFFFF"/>
      </patternFill>
    </fill>
    <fill>
      <patternFill patternType="solid">
        <fgColor rgb="FFC6EFCE"/>
      </patternFill>
    </fill>
    <fill>
      <patternFill patternType="solid">
        <fgColor rgb="FF4A4A4A"/>
      </patternFill>
    </fill>
    <fill>
      <patternFill patternType="solid">
        <fgColor theme="4" tint="0.5999938962981048"/>
        <bgColor indexed="64"/>
      </patternFill>
    </fill>
    <fill>
      <patternFill patternType="solid">
        <fgColor rgb="00F2F2F2"/>
      </patternFill>
    </fill>
    <fill>
      <patternFill patternType="solid">
        <fgColor rgb="00E8E8E8"/>
      </patternFill>
    </fill>
    <fill>
      <patternFill patternType="solid">
        <fgColor rgb="00F3F3F3"/>
      </patternFill>
    </fill>
    <fill>
      <patternFill patternType="solid">
        <fgColor rgb="00F8ECEC"/>
      </patternFill>
    </fill>
  </fills>
  <borders count="15">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right/>
      <top style="thin">
        <color rgb="FFD0D0D0"/>
      </top>
      <bottom/>
      <diagonal/>
    </border>
    <border>
      <left style="thin">
        <color rgb="00D0D0D0"/>
      </left>
      <right style="thin">
        <color rgb="00D0D0D0"/>
      </right>
      <top style="thin">
        <color rgb="00D0D0D0"/>
      </top>
      <bottom style="thin">
        <color rgb="00D0D0D0"/>
      </bottom>
    </border>
    <border>
      <left style="thin">
        <color rgb="00DDDDDD"/>
      </left>
      <right style="thin">
        <color rgb="00DDDDDD"/>
      </right>
      <top style="thin">
        <color rgb="00DDDDDD"/>
      </top>
      <bottom style="thin">
        <color rgb="00DDDDDD"/>
      </bottom>
    </border>
  </borders>
  <cellStyleXfs count="1">
    <xf numFmtId="0" fontId="0" fillId="0" borderId="0"/>
  </cellStyleXfs>
  <cellXfs count="88">
    <xf numFmtId="0" fontId="0" fillId="0" borderId="0" pivotButton="0" quotePrefix="0" xfId="0"/>
    <xf numFmtId="0" fontId="9" fillId="10" borderId="1" applyAlignment="1" pivotButton="0" quotePrefix="0" xfId="0">
      <alignment vertical="center" wrapText="1"/>
    </xf>
    <xf numFmtId="0" fontId="10" fillId="0" borderId="1"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5" fillId="5" borderId="1" applyAlignment="1" pivotButton="0" quotePrefix="0" xfId="0">
      <alignment vertical="center" wrapText="1"/>
    </xf>
    <xf numFmtId="0" fontId="4" fillId="6" borderId="1" applyAlignment="1" pivotButton="0" quotePrefix="0" xfId="0">
      <alignment vertical="center" wrapText="1"/>
    </xf>
    <xf numFmtId="2" fontId="4" fillId="6" borderId="1" applyAlignment="1" pivotButton="0" quotePrefix="0" xfId="0">
      <alignment vertical="center" wrapText="1"/>
    </xf>
    <xf numFmtId="3" fontId="4" fillId="6" borderId="1" applyAlignment="1" pivotButton="0" quotePrefix="0" xfId="0">
      <alignment vertical="center" wrapText="1"/>
    </xf>
    <xf numFmtId="0" fontId="4" fillId="7" borderId="1" applyAlignment="1" pivotButton="0" quotePrefix="0" xfId="0">
      <alignment vertical="center" wrapText="1"/>
    </xf>
    <xf numFmtId="2" fontId="4" fillId="7" borderId="1" applyAlignment="1" pivotButton="0" quotePrefix="0" xfId="0">
      <alignment vertical="center" wrapText="1"/>
    </xf>
    <xf numFmtId="3" fontId="4" fillId="7" borderId="1" applyAlignment="1" pivotButton="0" quotePrefix="0" xfId="0">
      <alignment vertical="center" wrapText="1"/>
    </xf>
    <xf numFmtId="0" fontId="4" fillId="8" borderId="1" applyAlignment="1" pivotButton="0" quotePrefix="0" xfId="0">
      <alignment vertical="center" wrapText="1"/>
    </xf>
    <xf numFmtId="2" fontId="4" fillId="8" borderId="1" applyAlignment="1" pivotButton="0" quotePrefix="0" xfId="0">
      <alignment vertical="center" wrapText="1"/>
    </xf>
    <xf numFmtId="3" fontId="4" fillId="8" borderId="1" applyAlignment="1" pivotButton="0" quotePrefix="0" xfId="0">
      <alignment vertical="center" wrapText="1"/>
    </xf>
    <xf numFmtId="0" fontId="4" fillId="9" borderId="1" applyAlignment="1" pivotButton="0" quotePrefix="0" xfId="0">
      <alignment vertical="center" wrapText="1"/>
    </xf>
    <xf numFmtId="2" fontId="4" fillId="9" borderId="1" applyAlignment="1" pivotButton="0" quotePrefix="0" xfId="0">
      <alignment vertical="center" wrapText="1"/>
    </xf>
    <xf numFmtId="3" fontId="4" fillId="9" borderId="1" applyAlignment="1" pivotButton="0" quotePrefix="0" xfId="0">
      <alignment vertical="center" wrapText="1"/>
    </xf>
    <xf numFmtId="0" fontId="4" fillId="0" borderId="1" applyAlignment="1" pivotButton="0" quotePrefix="0" xfId="0">
      <alignment vertical="center" wrapText="1"/>
    </xf>
    <xf numFmtId="3" fontId="4" fillId="0" borderId="1" applyAlignment="1" pivotButton="0" quotePrefix="0" xfId="0">
      <alignment vertical="center" wrapText="1"/>
    </xf>
    <xf numFmtId="2" fontId="4" fillId="0" borderId="1" applyAlignment="1" pivotButton="0" quotePrefix="0" xfId="0">
      <alignment vertical="center" wrapText="1"/>
    </xf>
    <xf numFmtId="0" fontId="3" fillId="0" borderId="1" applyAlignment="1" pivotButton="0" quotePrefix="0" xfId="0">
      <alignment vertical="center" wrapText="1"/>
    </xf>
    <xf numFmtId="0" fontId="10" fillId="0" borderId="5" applyAlignment="1" pivotButton="0" quotePrefix="0" xfId="0">
      <alignment vertical="center" wrapText="1"/>
    </xf>
    <xf numFmtId="0" fontId="6" fillId="0" borderId="0" pivotButton="0" quotePrefix="0" xfId="0"/>
    <xf numFmtId="0" fontId="0" fillId="0" borderId="0" pivotButton="0" quotePrefix="0" xfId="0"/>
    <xf numFmtId="0" fontId="2" fillId="0" borderId="0" pivotButton="0" quotePrefix="0" xfId="0"/>
    <xf numFmtId="0" fontId="7" fillId="0" borderId="0" pivotButton="0" quotePrefix="0" xfId="0"/>
    <xf numFmtId="0" fontId="8" fillId="0" borderId="0" applyAlignment="1" pivotButton="0" quotePrefix="0" xfId="0">
      <alignment vertical="center" wrapText="1"/>
    </xf>
    <xf numFmtId="0" fontId="0" fillId="0" borderId="0" applyAlignment="1" pivotButton="0" quotePrefix="0" xfId="0">
      <alignment vertical="top" wrapText="1"/>
    </xf>
    <xf numFmtId="0" fontId="4" fillId="0" borderId="1" applyAlignment="1" pivotButton="0" quotePrefix="0" xfId="0">
      <alignment vertical="center" wrapText="1"/>
    </xf>
    <xf numFmtId="0" fontId="0" fillId="0" borderId="2" pivotButton="0" quotePrefix="0" xfId="0"/>
    <xf numFmtId="0" fontId="0" fillId="0" borderId="3" pivotButton="0" quotePrefix="0" xfId="0"/>
    <xf numFmtId="0" fontId="12" fillId="0" borderId="0" pivotButton="0" quotePrefix="0" xfId="0"/>
    <xf numFmtId="3" fontId="13" fillId="0" borderId="5" applyAlignment="1" pivotButton="0" quotePrefix="0" xfId="0">
      <alignment horizontal="right" vertical="center"/>
    </xf>
    <xf numFmtId="167" fontId="13" fillId="0" borderId="5" applyAlignment="1" pivotButton="0" quotePrefix="0" xfId="0">
      <alignment horizontal="right" vertical="center"/>
    </xf>
    <xf numFmtId="0" fontId="14" fillId="0" borderId="0" applyAlignment="1" pivotButton="0" quotePrefix="0" xfId="0">
      <alignment vertical="center" wrapText="1"/>
    </xf>
    <xf numFmtId="0" fontId="13" fillId="0" borderId="3" applyAlignment="1" pivotButton="0" quotePrefix="0" xfId="0">
      <alignment horizontal="left" vertical="center"/>
    </xf>
    <xf numFmtId="167" fontId="13" fillId="0" borderId="6" applyAlignment="1" pivotButton="0" quotePrefix="0" xfId="0">
      <alignment horizontal="right" vertical="center"/>
    </xf>
    <xf numFmtId="0" fontId="13" fillId="0" borderId="4" applyAlignment="1" pivotButton="0" quotePrefix="0" xfId="0">
      <alignment horizontal="left" vertical="center"/>
    </xf>
    <xf numFmtId="3" fontId="13" fillId="0" borderId="10" applyAlignment="1" pivotButton="0" quotePrefix="0" xfId="0">
      <alignment horizontal="right" vertical="center"/>
    </xf>
    <xf numFmtId="167" fontId="13" fillId="0" borderId="10" applyAlignment="1" pivotButton="0" quotePrefix="0" xfId="0">
      <alignment horizontal="right" vertical="center"/>
    </xf>
    <xf numFmtId="167" fontId="13" fillId="0" borderId="11" applyAlignment="1" pivotButton="0" quotePrefix="0" xfId="0">
      <alignment horizontal="right" vertical="center"/>
    </xf>
    <xf numFmtId="0" fontId="11" fillId="11" borderId="7" applyAlignment="1" pivotButton="0" quotePrefix="0" xfId="0">
      <alignment wrapText="1"/>
    </xf>
    <xf numFmtId="0" fontId="11" fillId="11" borderId="8" applyAlignment="1" pivotButton="0" quotePrefix="0" xfId="0">
      <alignment wrapText="1"/>
    </xf>
    <xf numFmtId="0" fontId="11" fillId="11" borderId="9" applyAlignment="1" pivotButton="0" quotePrefix="0" xfId="0">
      <alignment wrapText="1"/>
    </xf>
    <xf numFmtId="10" fontId="13" fillId="0" borderId="5" applyAlignment="1" pivotButton="0" quotePrefix="0" xfId="0">
      <alignment horizontal="right" vertical="center"/>
    </xf>
    <xf numFmtId="10" fontId="13" fillId="0" borderId="10" applyAlignment="1" pivotButton="0" quotePrefix="0" xfId="0">
      <alignment horizontal="right" vertical="center"/>
    </xf>
    <xf numFmtId="0" fontId="15" fillId="0" borderId="0" pivotButton="0" quotePrefix="0" xfId="0"/>
    <xf numFmtId="0" fontId="4" fillId="0" borderId="5" applyAlignment="1" pivotButton="0" quotePrefix="0" xfId="0">
      <alignment vertical="center" wrapText="1"/>
    </xf>
    <xf numFmtId="0" fontId="16" fillId="0" borderId="0" applyAlignment="1" pivotButton="0" quotePrefix="0" xfId="0">
      <alignment vertical="center" wrapText="1"/>
    </xf>
    <xf numFmtId="0" fontId="17" fillId="0" borderId="0" applyAlignment="1" pivotButton="0" quotePrefix="0" xfId="0">
      <alignment vertical="center" wrapText="1"/>
    </xf>
    <xf numFmtId="0" fontId="18" fillId="12" borderId="13" applyAlignment="1" pivotButton="0" quotePrefix="0" xfId="0">
      <alignment vertical="center" wrapText="1"/>
    </xf>
    <xf numFmtId="0" fontId="15" fillId="0" borderId="13" applyAlignment="1" pivotButton="0" quotePrefix="0" xfId="0">
      <alignment vertical="center"/>
    </xf>
    <xf numFmtId="3" fontId="15" fillId="0" borderId="13" applyAlignment="1" pivotButton="0" quotePrefix="0" xfId="0">
      <alignment vertical="center"/>
    </xf>
    <xf numFmtId="167" fontId="15" fillId="0" borderId="13" applyAlignment="1" pivotButton="0" quotePrefix="0" xfId="0">
      <alignment vertical="center"/>
    </xf>
    <xf numFmtId="0" fontId="15" fillId="0" borderId="13" applyAlignment="1" pivotButton="0" quotePrefix="0" xfId="0">
      <alignment vertical="center" wrapText="1"/>
    </xf>
    <xf numFmtId="2" fontId="15" fillId="0" borderId="13" applyAlignment="1" pivotButton="0" quotePrefix="0" xfId="0">
      <alignment vertical="center"/>
    </xf>
    <xf numFmtId="0" fontId="15" fillId="0" borderId="13" applyAlignment="1" pivotButton="0" quotePrefix="0" xfId="0">
      <alignment vertical="center"/>
    </xf>
    <xf numFmtId="3" fontId="15" fillId="0" borderId="13" applyAlignment="1" pivotButton="0" quotePrefix="0" xfId="0">
      <alignment vertical="center"/>
    </xf>
    <xf numFmtId="167" fontId="15" fillId="0" borderId="13" applyAlignment="1" pivotButton="0" quotePrefix="0" xfId="0">
      <alignment vertical="center"/>
    </xf>
    <xf numFmtId="2" fontId="15" fillId="0" borderId="13" applyAlignment="1" pivotButton="0" quotePrefix="0" xfId="0">
      <alignment vertical="center"/>
    </xf>
    <xf numFmtId="164" fontId="15" fillId="0" borderId="13" applyAlignment="1" pivotButton="0" quotePrefix="0" xfId="0">
      <alignment vertical="center"/>
    </xf>
    <xf numFmtId="0" fontId="19" fillId="0" borderId="0" applyAlignment="1" pivotButton="0" quotePrefix="0" xfId="0">
      <alignment vertical="center"/>
    </xf>
    <xf numFmtId="0" fontId="20" fillId="13" borderId="0" applyAlignment="1" pivotButton="0" quotePrefix="0" xfId="0">
      <alignment vertical="center"/>
    </xf>
    <xf numFmtId="0" fontId="0" fillId="13" borderId="0" pivotButton="0" quotePrefix="0" xfId="0"/>
    <xf numFmtId="0" fontId="21" fillId="14" borderId="14" applyAlignment="1" pivotButton="0" quotePrefix="0" xfId="0">
      <alignment vertical="top" wrapText="1"/>
    </xf>
    <xf numFmtId="0" fontId="0" fillId="0" borderId="14" applyAlignment="1" pivotButton="0" quotePrefix="0" xfId="0">
      <alignment vertical="top" wrapText="1"/>
    </xf>
    <xf numFmtId="3" fontId="0" fillId="0" borderId="14" applyAlignment="1" pivotButton="0" quotePrefix="0" xfId="0">
      <alignment vertical="top" wrapText="1"/>
    </xf>
    <xf numFmtId="167" fontId="0" fillId="0" borderId="14" applyAlignment="1" pivotButton="0" quotePrefix="0" xfId="0">
      <alignment vertical="top" wrapText="1"/>
    </xf>
    <xf numFmtId="168" fontId="0" fillId="0" borderId="14" applyAlignment="1" pivotButton="0" quotePrefix="0" xfId="0">
      <alignment vertical="top" wrapText="1"/>
    </xf>
    <xf numFmtId="164" fontId="0" fillId="0" borderId="14" applyAlignment="1" pivotButton="0" quotePrefix="0" xfId="0">
      <alignment vertical="top" wrapText="1"/>
    </xf>
    <xf numFmtId="4" fontId="0" fillId="0" borderId="14" applyAlignment="1" pivotButton="0" quotePrefix="0" xfId="0">
      <alignment vertical="top" wrapText="1"/>
    </xf>
    <xf numFmtId="0" fontId="0" fillId="15" borderId="14" applyAlignment="1" pivotButton="0" quotePrefix="0" xfId="0">
      <alignment vertical="top" wrapText="1"/>
    </xf>
    <xf numFmtId="3" fontId="0" fillId="15" borderId="14" applyAlignment="1" pivotButton="0" quotePrefix="0" xfId="0">
      <alignment vertical="top" wrapText="1"/>
    </xf>
    <xf numFmtId="167" fontId="0" fillId="15" borderId="14" applyAlignment="1" pivotButton="0" quotePrefix="0" xfId="0">
      <alignment vertical="top" wrapText="1"/>
    </xf>
    <xf numFmtId="3" fontId="21" fillId="0" borderId="0" pivotButton="0" quotePrefix="0" xfId="0"/>
    <xf numFmtId="167" fontId="0" fillId="0" borderId="0" pivotButton="0" quotePrefix="0" xfId="0"/>
    <xf numFmtId="166" fontId="0" fillId="0" borderId="14" applyAlignment="1" pivotButton="0" quotePrefix="0" xfId="0">
      <alignment vertical="top" wrapText="1"/>
    </xf>
  </cellXfs>
  <cellStyles count="1">
    <cellStyle name="Normal" xfId="0" builtinId="0"/>
  </cellStyles>
  <dxfs count="15">
    <dxf>
      <font>
        <name val="Georgia"/>
        <family val="1"/>
        <strike val="0"/>
        <outline val="0"/>
        <shadow val="0"/>
        <condense val="0"/>
        <color auto="1"/>
        <extend val="0"/>
        <sz val="11"/>
        <vertAlign val="baseline"/>
      </font>
      <numFmt numFmtId="14" formatCode="0.00%"/>
      <alignment horizontal="right" vertical="center"/>
      <border>
        <left style="thin">
          <color rgb="FFD0D0D0"/>
        </left>
        <right style="thin">
          <color rgb="FFD0D0D0"/>
        </right>
        <top style="thin">
          <color rgb="FFD0D0D0"/>
        </top>
        <bottom style="thin">
          <color rgb="FFD0D0D0"/>
        </bottom>
      </border>
    </dxf>
    <dxf>
      <font>
        <name val="Georgia"/>
        <family val="1"/>
        <strike val="0"/>
        <outline val="0"/>
        <shadow val="0"/>
        <condense val="0"/>
        <color auto="1"/>
        <extend val="0"/>
        <sz val="11"/>
        <vertAlign val="baseline"/>
      </font>
      <numFmt numFmtId="167" formatCode="0.0%"/>
      <alignment horizontal="right" vertical="center"/>
      <border outline="0">
        <left style="thin">
          <color rgb="FFD0D0D0"/>
        </left>
        <right style="thin">
          <color rgb="FFD0D0D0"/>
        </right>
        <top style="thin">
          <color rgb="FFD0D0D0"/>
        </top>
        <bottom style="thin">
          <color rgb="FFD0D0D0"/>
        </bottom>
      </border>
    </dxf>
    <dxf>
      <font>
        <name val="Georgia"/>
        <family val="1"/>
        <strike val="0"/>
        <outline val="0"/>
        <shadow val="0"/>
        <condense val="0"/>
        <color auto="1"/>
        <extend val="0"/>
        <sz val="11"/>
        <vertAlign val="baseline"/>
      </font>
      <numFmt numFmtId="3" formatCode="#,##0"/>
      <alignment horizontal="right" vertical="center"/>
      <border outline="0">
        <left style="thin">
          <color rgb="FFD0D0D0"/>
        </left>
        <right style="thin">
          <color rgb="FFD0D0D0"/>
        </right>
        <top style="thin">
          <color rgb="FFD0D0D0"/>
        </top>
        <bottom style="thin">
          <color rgb="FFD0D0D0"/>
        </bottom>
      </border>
    </dxf>
    <dxf>
      <font>
        <name val="Georgia"/>
        <family val="1"/>
        <b val="1"/>
        <strike val="0"/>
        <outline val="0"/>
        <shadow val="0"/>
        <condense val="0"/>
        <color auto="1"/>
        <extend val="0"/>
        <sz val="11"/>
        <vertAlign val="baseline"/>
      </font>
      <fill>
        <patternFill patternType="solid">
          <fgColor indexed="64"/>
          <bgColor theme="4" tint="0.5999938962981048"/>
        </patternFill>
      </fill>
      <alignment horizontal="general" vertical="bottom" wrapText="1"/>
      <border outline="0">
        <left style="thin">
          <color rgb="FFD0D0D0"/>
        </left>
        <right style="thin">
          <color rgb="FFD0D0D0"/>
        </right>
        <top/>
        <bottom/>
      </border>
    </dxf>
    <dxf>
      <font>
        <name val="Georgia"/>
        <family val="1"/>
        <strike val="0"/>
        <outline val="0"/>
        <shadow val="0"/>
        <condense val="0"/>
        <color auto="1"/>
        <extend val="0"/>
        <sz val="11"/>
        <vertAlign val="baseline"/>
      </font>
      <alignment horizontal="right" vertical="center"/>
    </dxf>
    <dxf>
      <font>
        <name val="Georgia"/>
        <family val="1"/>
        <strike val="0"/>
        <outline val="0"/>
        <shadow val="0"/>
        <condense val="0"/>
        <color auto="1"/>
        <extend val="0"/>
        <sz val="11"/>
        <vertAlign val="baseline"/>
      </font>
      <numFmt numFmtId="167" formatCode="0.0%"/>
      <alignment horizontal="right" vertical="center"/>
      <border>
        <left style="thin">
          <color rgb="FFD0D0D0"/>
        </left>
        <right/>
        <top style="thin">
          <color rgb="FFD0D0D0"/>
        </top>
        <bottom style="thin">
          <color rgb="FFD0D0D0"/>
        </bottom>
        <vertical/>
        <horizontal/>
      </border>
    </dxf>
    <dxf>
      <font>
        <name val="Georgia"/>
        <family val="1"/>
        <strike val="0"/>
        <outline val="0"/>
        <shadow val="0"/>
        <condense val="0"/>
        <color auto="1"/>
        <extend val="0"/>
        <sz val="11"/>
        <vertAlign val="baseline"/>
      </font>
      <numFmt numFmtId="3" formatCode="#,##0"/>
      <alignment horizontal="right" vertical="center"/>
      <border>
        <left style="thin">
          <color rgb="FFD0D0D0"/>
        </left>
        <right style="thin">
          <color rgb="FFD0D0D0"/>
        </right>
        <top style="thin">
          <color rgb="FFD0D0D0"/>
        </top>
        <bottom style="thin">
          <color rgb="FFD0D0D0"/>
        </bottom>
        <vertical/>
        <horizontal/>
      </border>
    </dxf>
    <dxf>
      <font>
        <name val="Georgia"/>
        <family val="1"/>
        <strike val="0"/>
        <outline val="0"/>
        <shadow val="0"/>
        <condense val="0"/>
        <color auto="1"/>
        <extend val="0"/>
        <sz val="11"/>
        <vertAlign val="baseline"/>
      </font>
      <numFmt numFmtId="3" formatCode="#,##0"/>
      <alignment horizontal="right" vertical="center"/>
      <border>
        <left style="thin">
          <color rgb="FFD0D0D0"/>
        </left>
        <right style="thin">
          <color rgb="FFD0D0D0"/>
        </right>
        <top style="thin">
          <color rgb="FFD0D0D0"/>
        </top>
        <bottom style="thin">
          <color rgb="FFD0D0D0"/>
        </bottom>
        <vertical/>
        <horizontal/>
      </border>
    </dxf>
    <dxf>
      <font>
        <name val="Georgia"/>
        <family val="1"/>
        <strike val="0"/>
        <outline val="0"/>
        <shadow val="0"/>
        <condense val="0"/>
        <color auto="1"/>
        <extend val="0"/>
        <sz val="11"/>
        <vertAlign val="baseline"/>
      </font>
      <numFmt numFmtId="3" formatCode="#,##0"/>
      <alignment horizontal="right" vertical="center"/>
      <border>
        <left style="thin">
          <color rgb="FFD0D0D0"/>
        </left>
        <right style="thin">
          <color rgb="FFD0D0D0"/>
        </right>
        <top style="thin">
          <color rgb="FFD0D0D0"/>
        </top>
        <bottom style="thin">
          <color rgb="FFD0D0D0"/>
        </bottom>
        <vertical/>
        <horizontal/>
      </border>
    </dxf>
    <dxf>
      <font>
        <name val="Georgia"/>
        <family val="1"/>
        <strike val="0"/>
        <outline val="0"/>
        <shadow val="0"/>
        <condense val="0"/>
        <color auto="1"/>
        <extend val="0"/>
        <sz val="11"/>
        <vertAlign val="baseline"/>
      </font>
      <numFmt numFmtId="3" formatCode="#,##0"/>
      <alignment horizontal="right" vertical="center"/>
      <border>
        <left style="thin">
          <color rgb="FFD0D0D0"/>
        </left>
        <right style="thin">
          <color rgb="FFD0D0D0"/>
        </right>
        <top style="thin">
          <color rgb="FFD0D0D0"/>
        </top>
        <bottom style="thin">
          <color rgb="FFD0D0D0"/>
        </bottom>
        <vertical/>
        <horizontal/>
      </border>
    </dxf>
    <dxf>
      <font>
        <name val="Georgia"/>
        <family val="1"/>
        <strike val="0"/>
        <outline val="0"/>
        <shadow val="0"/>
        <condense val="0"/>
        <color auto="1"/>
        <extend val="0"/>
        <sz val="11"/>
        <vertAlign val="baseline"/>
      </font>
      <numFmt numFmtId="3" formatCode="#,##0"/>
      <alignment horizontal="right" vertical="center"/>
      <border>
        <left style="thin">
          <color rgb="FFD0D0D0"/>
        </left>
        <right style="thin">
          <color rgb="FFD0D0D0"/>
        </right>
        <top style="thin">
          <color rgb="FFD0D0D0"/>
        </top>
        <bottom style="thin">
          <color rgb="FFD0D0D0"/>
        </bottom>
        <vertical/>
        <horizontal/>
      </border>
    </dxf>
    <dxf>
      <font>
        <name val="Georgia"/>
        <family val="1"/>
        <strike val="0"/>
        <outline val="0"/>
        <shadow val="0"/>
        <condense val="0"/>
        <color auto="1"/>
        <extend val="0"/>
        <sz val="11"/>
        <vertAlign val="baseline"/>
      </font>
      <alignment horizontal="left" vertical="center"/>
      <border>
        <left/>
        <right style="thin">
          <color rgb="FFD0D0D0"/>
        </right>
        <top style="thin">
          <color rgb="FFD0D0D0"/>
        </top>
        <bottom style="thin">
          <color rgb="FFD0D0D0"/>
        </bottom>
        <vertical/>
        <horizontal/>
      </border>
    </dxf>
    <dxf>
      <border outline="0">
        <top style="thin">
          <color rgb="FFD0D0D0"/>
        </top>
      </border>
    </dxf>
    <dxf>
      <border outline="0">
        <bottom style="thin">
          <color rgb="FFD0D0D0"/>
        </bottom>
      </border>
    </dxf>
    <dxf>
      <border outline="0">
        <left style="thin">
          <color rgb="FFD0D0D0"/>
        </left>
        <right style="thin">
          <color rgb="FFD0D0D0"/>
        </right>
        <top style="thin">
          <color rgb="FFD0D0D0"/>
        </top>
        <bottom style="thin">
          <color rgb="FFD0D0D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ables/table1.xml><?xml version="1.0" encoding="utf-8"?>
<table xmlns="http://schemas.openxmlformats.org/spreadsheetml/2006/main" id="1" name="Table2" displayName="Table2" ref="A1:J52" headerRowCount="1" totalsRowShown="0" headerRowDxfId="3" dataDxfId="4" headerRowBorderDxfId="13" tableBorderDxfId="14" totalsRowBorderDxfId="12">
  <autoFilter ref="A1:J52"/>
  <tableColumns count="10">
    <tableColumn id="1" name="State" dataDxfId="11"/>
    <tableColumn id="2" name="Charter Units" dataDxfId="10">
      <calculatedColumnFormula>IFERROR(IF(ISBLANK(INDEX('Dens-A-CvC'!$A$5:$P$55,MATCH($A2,'Dens-A-CvC'!$B$5:$B$55,0),MATCH("charter_est_units",'Dens-A-CvC'!$A$4:$P$4,0))),"",INDEX('Dens-A-CvC'!$A$5:$P$55,MATCH($A2,'Dens-A-CvC'!$B$5:$B$55,0),MATCH("charter_est_units",'Dens-A-CvC'!$A$4:$P$4,0))),"")</calculatedColumnFormula>
    </tableColumn>
    <tableColumn id="3" name="Comcast Units" dataDxfId="9">
      <calculatedColumnFormula>IFERROR(IF(ISBLANK(INDEX('Dens-A-CvC'!$A$5:$P$55,MATCH($A2,'Dens-A-CvC'!$B$5:$B$55,0),MATCH("comcast_est_units",'Dens-A-CvC'!$A$4:$P$4,0))),"",INDEX('Dens-A-CvC'!$A$5:$P$55,MATCH($A2,'Dens-A-CvC'!$B$5:$B$55,0),MATCH("comcast_est_units",'Dens-A-CvC'!$A$4:$P$4,0))),"")</calculatedColumnFormula>
    </tableColumn>
    <tableColumn id="4" name="Total Residential Units" dataDxfId="8">
      <calculatedColumnFormula>IFERROR(IF(ISBLANK(INDEX('Dens-A-CvC'!$A$5:$P$55,MATCH($A2,'Dens-A-CvC'!$B$5:$B$55,0),MATCH("total_residential_units",'Dens-A-CvC'!$A$4:$P$4,0))),"",INDEX('Dens-A-CvC'!$A$5:$P$55,MATCH($A2,'Dens-A-CvC'!$B$5:$B$55,0),MATCH("total_residential_units",'Dens-A-CvC'!$A$4:$P$4,0))),"")</calculatedColumnFormula>
    </tableColumn>
    <tableColumn id="5" name="WFH Workers" dataDxfId="7">
      <calculatedColumnFormula>IFERROR(IF(ISBLANK(INDEX('Dens-B-WFH'!$A$5:$L$55,MATCH($A2,'Dens-B-WFH'!$B$5:$B$55,0),MATCH("acs_worked_from_home",'Dens-B-WFH'!$A$4:$L$4,0))),"",INDEX('Dens-B-WFH'!$A$5:$L$55,MATCH($A2,'Dens-B-WFH'!$B$5:$B$55,0),MATCH("acs_worked_from_home",'Dens-B-WFH'!$A$4:$L$4,0))),"")</calculatedColumnFormula>
    </tableColumn>
    <tableColumn id="6" name="Large Firm Employment Workers" dataDxfId="6">
      <calculatedColumnFormula>IFERROR(IF(ISBLANK(INDEX('Dens-C-Large'!$A$5:$M$55,MATCH($A2,'Dens-C-Large'!$B$5:$B$55,0),MATCH("susb_employment_ge500",'Dens-C-Large'!$A$4:$M$4,0))),"",INDEX('Dens-C-Large'!$A$5:$M$55,MATCH($A2,'Dens-C-Large'!$B$5:$B$55,0),MATCH("susb_employment_ge500",'Dens-C-Large'!$A$4:$M$4,0))),"")</calculatedColumnFormula>
    </tableColumn>
    <tableColumn id="7" name="All Firm Employment Workers" dataDxfId="2">
      <calculatedColumnFormula>IFERROR(IF(ISBLANK(INDEX('Dens-C-Large'!$A$5:$M$55,MATCH($A2,'Dens-C-Large'!$B$5:$B$55,0),MATCH("susb_employment_total",'Dens-C-Large'!$A$4:$M$4,0))),"",INDEX('Dens-C-Large'!$A$5:$M$55,MATCH($A2,'Dens-C-Large'!$B$5:$B$55,0),MATCH("susb_employment_total",'Dens-C-Large'!$A$4:$M$4,0))),"")</calculatedColumnFormula>
    </tableColumn>
    <tableColumn id="10" name="Percentage Charter" dataDxfId="0">
      <calculatedColumnFormula>IF(Table2[[#This Row],[Charter Units]]&lt;&gt;"", Table2[[#This Row],[Charter Units]]/Table2[[#This Row],[Total Residential Units]], "")</calculatedColumnFormula>
    </tableColumn>
    <tableColumn id="8" name="Percentage WFH" dataDxfId="1">
      <calculatedColumnFormula>IFERROR(IF(ISBLANK(INDEX('Dens-B-WFH'!$A$5:$L$55,MATCH($A2,'Dens-B-WFH'!$B$5:$B$55,0),MATCH("acs_wfh_rate_pct",'Dens-B-WFH'!$A$4:$L$4,0))),"",INDEX('Dens-B-WFH'!$A$5:$L$55,MATCH($A2,'Dens-B-WFH'!$B$5:$B$55,0),MATCH("acs_wfh_rate_pct",'Dens-B-WFH'!$A$4:$L$4,0))/100),"")</calculatedColumnFormula>
    </tableColumn>
    <tableColumn id="9" name="Percentage Large" dataDxfId="5">
      <calculatedColumnFormula>IFERROR(IF(ISBLANK(INDEX('Dens-C-Large'!$A$5:$M$55,MATCH($A2,'Dens-C-Large'!$B$5:$B$55,0),MATCH("susb_share_ge500_pct",'Dens-C-Large'!$A$4:$M$4,0))),"",INDEX('Dens-C-Large'!$A$5:$M$55,MATCH($A2,'Dens-C-Large'!$B$5:$B$55,0),MATCH("susb_share_ge500_pct",'Dens-C-Large'!$A$4:$M$4,0))/100),"")</calculatedColumnFormula>
    </tableColumn>
  </tableColumns>
  <tableStyleInfo name="TableStyleLight9"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C9" sqref="C9"/>
    </sheetView>
  </sheetViews>
  <sheetFormatPr baseColWidth="8" defaultRowHeight="14.5"/>
  <cols>
    <col width="42" customWidth="1" style="34" min="1" max="1"/>
    <col width="16" customWidth="1" style="34" min="2" max="2"/>
    <col width="62" customWidth="1" style="34" min="3" max="4"/>
  </cols>
  <sheetData>
    <row r="1" ht="22" customHeight="1" s="34">
      <c r="A1" s="36" t="inlineStr">
        <is>
          <t>EH&amp;B MASTER — compiled copy of every workbook in this folder</t>
        </is>
      </c>
    </row>
    <row r="2" ht="32" customHeight="1" s="34">
      <c r="A2" s="37" t="inlineStr">
        <is>
          <t>Compiled 2026-09-22. Every number is a copy. Source workbooks remain the originals and are unchanged. Do not treat MASTER as the system of record.</t>
        </is>
      </c>
    </row>
    <row r="3" ht="20" customHeight="1" s="34">
      <c r="A3" s="1" t="inlineStr">
        <is>
          <t>Source file</t>
        </is>
      </c>
      <c r="B3" s="1" t="inlineStr">
        <is>
          <t>Date compiled</t>
        </is>
      </c>
      <c r="C3" s="1" t="inlineStr">
        <is>
          <t>MASTER tabs from this file</t>
        </is>
      </c>
      <c r="D3" s="1" t="inlineStr">
        <is>
          <t>Source sheets (original names)</t>
        </is>
      </c>
    </row>
    <row r="4" ht="36" customHeight="1" s="34">
      <c r="A4" s="2" t="inlineStr">
        <is>
          <t>Small Large Employment Shares.xlsx</t>
        </is>
      </c>
      <c r="B4" s="2" t="inlineStr">
        <is>
          <t>2026-09-22</t>
        </is>
      </c>
      <c r="C4" s="2" t="inlineStr">
        <is>
          <t>Emp-Notes, Emp-US, Emp-States, Emp-MetrosHiLo, Emp-MetrosFull, Emp-MSAFull, Emp-CutoffSens</t>
        </is>
      </c>
      <c r="D4" s="2" t="inlineStr">
        <is>
          <t>Notes, United States, States, Metros Exhibit High Low, Metros Full (387), MSA Full File, Cutoff Sensitivity</t>
        </is>
      </c>
    </row>
    <row r="5" ht="36" customHeight="1" s="34">
      <c r="A5" s="2" t="inlineStr">
        <is>
          <t>Work from Home Rates.xlsx</t>
        </is>
      </c>
      <c r="B5" s="2" t="inlineStr">
        <is>
          <t>2026-09-22</t>
        </is>
      </c>
      <c r="C5" s="2" t="inlineStr">
        <is>
          <t>WFH-Notes, WFH-US, WFH-States, WFH-Seniority, WFH-FirmSize</t>
        </is>
      </c>
      <c r="D5" s="2" t="inlineStr">
        <is>
          <t>Notes, United States, States, Seniority proxies, Firm size</t>
        </is>
      </c>
    </row>
    <row r="6" ht="36" customHeight="1" s="34">
      <c r="A6" s="2" t="inlineStr">
        <is>
          <t>Brokerage Metrics.xlsx</t>
        </is>
      </c>
      <c r="B6" s="2" t="inlineStr">
        <is>
          <t>2026-09-22</t>
        </is>
      </c>
      <c r="C6" s="2" t="inlineStr">
        <is>
          <t>Brok-Notes, Brok-Core, Brok-Later, Brok-InHand</t>
        </is>
      </c>
      <c r="D6" s="2" t="inlineStr">
        <is>
          <t>Notes, Core metrics, Later demoted, Already in hand</t>
        </is>
      </c>
    </row>
    <row r="7" ht="36" customHeight="1" s="34">
      <c r="A7" s="2" t="inlineStr">
        <is>
          <t>Brokerage Metrics Breakdown.xlsx</t>
        </is>
      </c>
      <c r="B7" s="2" t="inlineStr">
        <is>
          <t>2026-09-22</t>
        </is>
      </c>
      <c r="C7" s="2" t="inlineStr">
        <is>
          <t>BrkDn-Notes, BrkDn-Score, BrkDn-M1, BrkDn-M2, BrkDn-M5, BrkDn-M9, BrkDn-M13, BrkDn-Analogues</t>
        </is>
      </c>
      <c r="D7" s="2" t="inlineStr">
        <is>
          <t>Notes, Scorecard, M1, M2, M5, M9, M13, Analogues</t>
        </is>
      </c>
    </row>
    <row r="8" ht="36" customHeight="1" s="34">
      <c r="A8" s="2" t="inlineStr">
        <is>
          <t>Comcast vs Charter.xlsx</t>
        </is>
      </c>
      <c r="B8" s="2" t="inlineStr">
        <is>
          <t>2026-09-22</t>
        </is>
      </c>
      <c r="C8" s="2" t="inlineStr">
        <is>
          <t>CvC-Notes, CvC-Leads, CvC-Charter, CvC-Comcast, CvC-Neither</t>
        </is>
      </c>
      <c r="D8" s="2" t="inlineStr">
        <is>
          <t>Notes, State leads, Charter lead states, Comcast lead states, Neither</t>
        </is>
      </c>
    </row>
    <row r="9" ht="36" customHeight="1" s="34">
      <c r="A9" s="2" t="inlineStr">
        <is>
          <t>State Region Density Maps.xlsx</t>
        </is>
      </c>
      <c r="B9" s="2" t="inlineStr">
        <is>
          <t>2026-09-22</t>
        </is>
      </c>
      <c r="C9" s="2" t="inlineStr">
        <is>
          <t>Dens-Notes, Dens-State, Dens-Division, Dens-A-CvC, Dens-B-WFH, Dens-C-Large</t>
        </is>
      </c>
      <c r="D9" s="2" t="inlineStr">
        <is>
          <t>Notes, State combined, Division rollup, A Charter vs Comcast, B WFH ACS, C Large-firm 500+</t>
        </is>
      </c>
    </row>
    <row r="10" ht="36" customHeight="1" s="34">
      <c r="A10" s="32" t="inlineStr">
        <is>
          <t>MASTER.xlsx (this workbook)</t>
        </is>
      </c>
      <c r="B10" s="32" t="inlineStr">
        <is>
          <t>2026-09-22</t>
        </is>
      </c>
      <c r="C10" s="32" t="inlineStr">
        <is>
          <t>State Combined</t>
        </is>
      </c>
      <c r="D10" s="32" t="inlineStr">
        <is>
          <t>Join of Dens-A-CvC + Dens-B-WFH + Dens-C-Large (51 states + DC; live formulas)</t>
        </is>
      </c>
    </row>
    <row r="11">
      <c r="A11" t="inlineStr">
        <is>
          <t>State Combined: INDEX/MATCH to Dens-* snake_case headers (fixed 2026-09-22).</t>
        </is>
      </c>
    </row>
    <row r="12">
      <c r="A12" s="57" t="inlineStr">
        <is>
          <t>Analysis/ehb-unit-economics/ (appended; MASTER was not recompiled)</t>
        </is>
      </c>
      <c r="B12" s="57" t="inlineStr">
        <is>
          <t>2026-09-27</t>
        </is>
      </c>
      <c r="C12" s="57" t="inlineStr">
        <is>
          <t>Product Mix, Product Trends, Unit Economics</t>
        </is>
      </c>
      <c r="D12" s="57" t="inlineStr">
        <is>
          <t>product_mix.csv, product_trends.csv, unit_economics.csv</t>
        </is>
      </c>
    </row>
    <row r="13">
      <c r="A13" s="57" t="inlineStr">
        <is>
          <t>Appended 2026-09-27 from Analysis/ehb-unit-economics. _compile_master.py was not re-run. Earlier tabs are unchanged.</t>
        </is>
      </c>
      <c r="B13" s="57" t="n"/>
      <c r="C13" s="57" t="n"/>
      <c r="D13" s="57" t="n"/>
    </row>
    <row r="14">
      <c r="A14" s="57" t="inlineStr">
        <is>
          <t>EH&amp;B Executive Summary.xlsx</t>
        </is>
      </c>
      <c r="B14" s="57" t="inlineStr">
        <is>
          <t>2026-09-28</t>
        </is>
      </c>
      <c r="C14" s="57" t="inlineStr">
        <is>
          <t>Executive Summary</t>
        </is>
      </c>
      <c r="D14" s="57" t="inlineStr">
        <is>
          <t>Notes (titled Recommendation), Critical values, Mix, Rate vs volume, Plant and leverage, Play fit, Do not claim</t>
        </is>
      </c>
    </row>
    <row r="15">
      <c r="A15" s="57" t="inlineStr">
        <is>
          <t>Appended 2026-09-28 from Decisions/EH&amp;B/EH&amp;B Executive Summary.xlsx. _compile_master.py was not re-run. Earlier tabs are unchanged.</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4.5"/>
  <cols>
    <col width="28" customWidth="1" style="34" min="1" max="1"/>
    <col width="110" customWidth="1" style="34" min="2" max="2"/>
  </cols>
  <sheetData>
    <row r="1">
      <c r="A1" s="3" t="inlineStr">
        <is>
          <t>Field</t>
        </is>
      </c>
      <c r="B1" s="3" t="inlineStr">
        <is>
          <t>Content</t>
        </is>
      </c>
    </row>
    <row r="2" ht="18" customHeight="1" s="34">
      <c r="A2" t="inlineStr">
        <is>
          <t>Title</t>
        </is>
      </c>
      <c r="B2" s="38" t="inlineStr">
        <is>
          <t>Where people work: small vs large firms — chart and table contents</t>
        </is>
      </c>
    </row>
    <row r="3" ht="18" customHeight="1" s="34">
      <c r="A3" t="inlineStr">
        <is>
          <t>Canvas</t>
        </is>
      </c>
      <c r="B3" s="38" t="inlineStr">
        <is>
          <t>Chtr Small Large Employment Shares (chtr-small-large-employment-shares.canvas.tsx)</t>
        </is>
      </c>
    </row>
    <row r="4" ht="18" customHeight="1" s="34">
      <c r="A4" t="inlineStr">
        <is>
          <t>Year</t>
        </is>
      </c>
      <c r="B4" s="38" t="inlineStr">
        <is>
          <t>2022</t>
        </is>
      </c>
    </row>
    <row r="5" ht="18" customHeight="1" s="34">
      <c r="A5" t="inlineStr">
        <is>
          <t>Origin</t>
        </is>
      </c>
      <c r="B5" s="38" t="inlineStr">
        <is>
          <t>RETRIEVED</t>
        </is>
      </c>
    </row>
    <row r="6" ht="18" customHeight="1" s="34">
      <c r="A6" t="inlineStr">
        <is>
          <t>Primary cutoff</t>
        </is>
      </c>
      <c r="B6" s="38" t="inlineStr">
        <is>
          <t>SBA &lt;500 employees (enterprise)</t>
        </is>
      </c>
    </row>
    <row r="7" ht="18" customHeight="1" s="34">
      <c r="A7" t="inlineStr">
        <is>
          <t>Definition</t>
        </is>
      </c>
      <c r="B7" s="38" t="inlineStr">
        <is>
          <t>SUSB employment is mid-March payroll employment at employer establishments, classified by enterprise (firm) employment size; excludes nonemployers, most government, and most of agriculture.</t>
        </is>
      </c>
    </row>
    <row r="8" ht="18" customHeight="1" s="34">
      <c r="A8" t="inlineStr">
        <is>
          <t>Measure</t>
        </is>
      </c>
      <c r="B8" s="38" t="inlineStr">
        <is>
          <t>mid-March payroll employment at employer establishments, classified by enterprise (firm) employment size; primary split firms &lt;500 vs 500+ employees (SBA cutoff)</t>
        </is>
      </c>
    </row>
    <row r="9" ht="18" customHeight="1" s="34">
      <c r="A9" t="inlineStr">
        <is>
          <t>Vintage note</t>
        </is>
      </c>
      <c r="B9" s="38" t="inlineStr">
        <is>
          <t>US, state, and MSA/µSA enterprise-size employment all from SUSB 2022 (same vintage; MSA revised 2025-07-22). No year mixing.</t>
        </is>
      </c>
    </row>
    <row r="10" ht="18" customHeight="1" s="34">
      <c r="A10" t="inlineStr">
        <is>
          <t>Agency</t>
        </is>
      </c>
      <c r="B10" s="38" t="inlineStr">
        <is>
          <t>U.S. Census Bureau</t>
        </is>
      </c>
    </row>
    <row r="11" ht="18" customHeight="1" s="34">
      <c r="A11" t="inlineStr">
        <is>
          <t>Program</t>
        </is>
      </c>
      <c r="B11" s="38" t="inlineStr">
        <is>
          <t>Statistics of U.S. Businesses (SUSB)</t>
        </is>
      </c>
    </row>
    <row r="12" ht="18" customHeight="1" s="34">
      <c r="A12" t="inlineStr">
        <is>
          <t>Landing page</t>
        </is>
      </c>
      <c r="B12" s="38" t="inlineStr">
        <is>
          <t>https://www.census.gov/data/datasets/2022/econ/susb/2022-susb.html</t>
        </is>
      </c>
    </row>
    <row r="13" ht="18" customHeight="1" s="34">
      <c r="A13" t="inlineStr">
        <is>
          <t>US/State file</t>
        </is>
      </c>
      <c r="B13" s="38" t="inlineStr">
        <is>
          <t>us_state_naics_detailedsizes_2022.txt</t>
        </is>
      </c>
    </row>
    <row r="14" ht="18" customHeight="1" s="34">
      <c r="A14" t="inlineStr">
        <is>
          <t>US/State URL</t>
        </is>
      </c>
      <c r="B14" s="38" t="inlineStr">
        <is>
          <t>https://www2.census.gov/programs-surveys/susb/tables/2022/us_state_naics_detailedsizes_2022.txt</t>
        </is>
      </c>
    </row>
    <row r="15" ht="18" customHeight="1" s="34">
      <c r="A15" t="inlineStr">
        <is>
          <t>US/State release</t>
        </is>
      </c>
      <c r="B15" s="38" t="inlineStr">
        <is>
          <t>reference year 2022; datasets page April 2025; file last-modified 2025-04-10</t>
        </is>
      </c>
    </row>
    <row r="16" ht="18" customHeight="1" s="34">
      <c r="A16" t="inlineStr">
        <is>
          <t>MSA file</t>
        </is>
      </c>
      <c r="B16" s="38" t="inlineStr">
        <is>
          <t>msa_3digitnaics_2022.txt</t>
        </is>
      </c>
    </row>
    <row r="17" ht="18" customHeight="1" s="34">
      <c r="A17" t="inlineStr">
        <is>
          <t>MSA URL</t>
        </is>
      </c>
      <c r="B17" s="38" t="inlineStr">
        <is>
          <t>https://www2.census.gov/programs-surveys/susb/datasets/2022/msa_3digitnaics_2022.txt</t>
        </is>
      </c>
    </row>
    <row r="18" ht="18" customHeight="1" s="34">
      <c r="A18" t="inlineStr">
        <is>
          <t>MSA release</t>
        </is>
      </c>
      <c r="B18" s="38" t="inlineStr">
        <is>
          <t>reference year 2022; MSA dataset originally released 2025-05-29, revised 2025-07-22 (extraneous estimates removed; remaining estimates unchanged)</t>
        </is>
      </c>
    </row>
    <row r="19" ht="45" customHeight="1" s="34">
      <c r="A19" t="inlineStr">
        <is>
          <t>Enterprise codes</t>
        </is>
      </c>
      <c r="B19" s="38" t="inlineStr">
        <is>
          <t>https://www2.census.gov/programs-surveys/susb/technical-documentation/enterprise_codes_2017.txt</t>
        </is>
      </c>
    </row>
    <row r="20" ht="45" customHeight="1" s="34">
      <c r="A20" t="inlineStr">
        <is>
          <t>Full citation (US/State)</t>
        </is>
      </c>
      <c r="B20" s="38" t="inlineStr">
        <is>
          <t>U.S. Census Bureau, Statistics of U.S. Businesses (SUSB), 2022 Annual Datasets by Establishment Industry — us_state_naics_detailedsizes_2022.txt (all-industry NAICS=--, enterprise employment size); reference year 2022; datasets page April 2025; file last-modified 2025-04-10; measures mid-March payroll employment at employer establishments, classified by enterprise (firm) employment size; primary split firms &lt;500 vs 500+ employees (SBA cutoff). File: https://www2.census.gov/programs-surveys/susb/tables/2022/us_state_naics_detailedsizes_2022.txt Landing page: https://www.census.gov/data/datasets/2022/econ/susb/2022-susb.html</t>
        </is>
      </c>
    </row>
    <row r="21" ht="45" customHeight="1" s="34">
      <c r="A21" t="inlineStr">
        <is>
          <t>Full citation (MSA)</t>
        </is>
      </c>
      <c r="B21" s="38" t="inlineStr">
        <is>
          <t>U.S. Census Bureau, Statistics of U.S. Businesses (SUSB), 2022 Annual Datasets by Establishment Industry — msa_3digitnaics_2022.txt (all-industry NAICS=--, enterprise employment size); reference year 2022; MSA dataset originally released 2025-05-29, revised 2025-07-22 (extraneous estimates removed; remaining estimates unchanged); measures mid-March payroll employment at employer establishments, classified by enterprise (firm) employment size; primary split firms &lt;500 vs 500+ employees (SBA cutoff). File: https://www2.census.gov/programs-surveys/susb/datasets/2022/msa_3digitnaics_2022.txt Landing page: https://www.census.gov/data/datasets/2022/econ/susb/2022-susb.html</t>
        </is>
      </c>
    </row>
    <row r="22" ht="45" customHeight="1" s="34">
      <c r="A22" t="inlineStr">
        <is>
          <t>Exclusions</t>
        </is>
      </c>
      <c r="B22" s="38" t="inlineStr">
        <is>
          <t>Excludes nonemployers, most government, and most of agriculture. Classified by enterprise (firm) size, not establishment size.</t>
        </is>
      </c>
    </row>
    <row r="23" ht="45" customHeight="1" s="34">
      <c r="A23" t="inlineStr">
        <is>
          <t>Metro median note</t>
        </is>
      </c>
      <c r="B23" s="38" t="inlineStr">
        <is>
          <t>Canvas metro median 49.8% = median of share_lt500 across 387 Metropolitan Statistical Areas (Micro Areas excluded). Reproduce on sheet 'Metros Full (387)' by taking the median of column 'Share &lt;500 (%)'.</t>
        </is>
      </c>
    </row>
    <row r="24" ht="45" customHeight="1" s="34">
      <c r="A24" t="inlineStr">
        <is>
          <t>Sheet guide</t>
        </is>
      </c>
      <c r="B24" s="38" t="inlineStr">
        <is>
          <t>United States = national binary + size-class chart data. States = all 50+DC sorted by small-firm share (canvas table). Metros Exhibit High Low = canvas high/low tables only. Metros Full (387) = all Metro Areas (median universe). MSA Full File = metros + micros from msa_employment_by_firm_size.csv. Cutoff Sensitivity = &lt;100 vs &lt;500 vs 500+ chart.</t>
        </is>
      </c>
    </row>
    <row r="25" ht="45" customHeight="1" s="34">
      <c r="A25" t="inlineStr">
        <is>
          <t>Source CSVs</t>
        </is>
      </c>
      <c r="B25" s="38" t="inlineStr">
        <is>
          <t>Analysis/small-large-employment/out/*.csv · Script: Analysis/small-large-employment/build_susb_employment_shares.py</t>
        </is>
      </c>
    </row>
    <row r="26" ht="45" customHeight="1" s="34">
      <c r="A26" t="inlineStr">
        <is>
          <t>Charter footprint</t>
        </is>
      </c>
      <c r="B26" s="38" t="inlineStr">
        <is>
          <t>Repo sources state Charter serves 41 states but do not list the 41 states or Spectrum service metros. Footprint filter not applied; need an official state/metro list to subset.</t>
        </is>
      </c>
    </row>
  </sheetData>
  <autoFilter ref="A1:B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4.5"/>
  <cols>
    <col width="22" customWidth="1" style="34" min="1" max="1"/>
    <col width="18" customWidth="1" style="34" min="2" max="2"/>
    <col width="28" customWidth="1" style="34" min="3" max="3"/>
    <col width="22" customWidth="1" style="34" min="4" max="4"/>
    <col width="16" customWidth="1" style="34" min="5" max="6"/>
    <col width="24" customWidth="1" style="34" min="7" max="8"/>
    <col width="55" customWidth="1" style="34" min="9" max="9"/>
  </cols>
  <sheetData>
    <row r="1">
      <c r="A1" s="5" t="inlineStr">
        <is>
          <t>Geography</t>
        </is>
      </c>
      <c r="B1" s="5" t="inlineStr">
        <is>
          <t>Employment &lt;500</t>
        </is>
      </c>
      <c r="C1" s="5" t="inlineStr">
        <is>
          <t>Employment 500+</t>
        </is>
      </c>
      <c r="D1" s="5" t="inlineStr">
        <is>
          <t>Total employment</t>
        </is>
      </c>
      <c r="E1" s="5" t="inlineStr">
        <is>
          <t>Share &lt;500 (%)</t>
        </is>
      </c>
      <c r="F1" s="5" t="inlineStr">
        <is>
          <t>Share 500+ (%)</t>
        </is>
      </c>
      <c r="G1" s="5" t="inlineStr">
        <is>
          <t>Share &lt;500 (full precision)</t>
        </is>
      </c>
      <c r="H1" s="5" t="inlineStr">
        <is>
          <t>Share 500+ (full precision)</t>
        </is>
      </c>
      <c r="I1" s="5" t="inlineStr">
        <is>
          <t>Source URL</t>
        </is>
      </c>
    </row>
    <row r="2">
      <c r="A2" t="inlineStr">
        <is>
          <t>United States</t>
        </is>
      </c>
      <c r="B2" s="6" t="n">
        <v>62250556</v>
      </c>
      <c r="C2" s="6" t="n">
        <v>73497851</v>
      </c>
      <c r="D2" s="6" t="n">
        <v>135748407</v>
      </c>
      <c r="E2" s="7" t="n">
        <v>45.9</v>
      </c>
      <c r="F2" s="7" t="n">
        <v>54.1</v>
      </c>
      <c r="G2" s="8" t="n">
        <v>45.85730129415073</v>
      </c>
      <c r="H2" s="8" t="n">
        <v>54.14269870584927</v>
      </c>
      <c r="I2" t="inlineStr">
        <is>
          <t>https://www2.census.gov/programs-surveys/susb/tables/2022/us_state_naics_detailedsizes_2022.txt</t>
        </is>
      </c>
    </row>
    <row r="4">
      <c r="A4" s="5" t="inlineStr">
        <is>
          <t>Enterprise size class</t>
        </is>
      </c>
      <c r="B4" s="5" t="inlineStr">
        <is>
          <t>Employment</t>
        </is>
      </c>
      <c r="C4" s="5" t="inlineStr">
        <is>
          <t>Share of U.S. employment (%)</t>
        </is>
      </c>
      <c r="D4" s="5" t="inlineStr">
        <is>
          <t>Share (full precision)</t>
        </is>
      </c>
      <c r="E4" s="5" t="inlineStr">
        <is>
          <t>Notes</t>
        </is>
      </c>
    </row>
    <row r="5">
      <c r="A5" t="inlineStr">
        <is>
          <t>&lt;5</t>
        </is>
      </c>
      <c r="B5" s="6" t="n">
        <v>6295615</v>
      </c>
      <c r="C5" s="7" t="n">
        <v>4.6</v>
      </c>
      <c r="D5" s="8" t="n">
        <v>4.637708197931192</v>
      </c>
      <c r="E5" t="inlineStr">
        <is>
          <t>Other size classes (canvas)</t>
        </is>
      </c>
    </row>
    <row r="6">
      <c r="A6" t="inlineStr">
        <is>
          <t>5–9</t>
        </is>
      </c>
      <c r="B6" s="6" t="n">
        <v>6810300</v>
      </c>
      <c r="C6" s="7" t="n">
        <v>5</v>
      </c>
      <c r="D6" s="8" t="n">
        <v>5.01685445192738</v>
      </c>
      <c r="E6" t="inlineStr">
        <is>
          <t>Other size classes (canvas)</t>
        </is>
      </c>
    </row>
    <row r="7">
      <c r="A7" t="inlineStr">
        <is>
          <t>10–19</t>
        </is>
      </c>
      <c r="B7" s="6" t="n">
        <v>8844269</v>
      </c>
      <c r="C7" s="7" t="n">
        <v>6.5</v>
      </c>
      <c r="D7" s="8" t="n">
        <v>6.515191739966422</v>
      </c>
      <c r="E7" t="inlineStr">
        <is>
          <t>Other size classes (canvas)</t>
        </is>
      </c>
    </row>
    <row r="8">
      <c r="A8" t="inlineStr">
        <is>
          <t>20–99</t>
        </is>
      </c>
      <c r="B8" s="6" t="n">
        <v>21976701</v>
      </c>
      <c r="C8" s="7" t="n">
        <v>16.2</v>
      </c>
      <c r="D8" s="8" t="n">
        <v>16.18928832070936</v>
      </c>
      <c r="E8" t="inlineStr">
        <is>
          <t>Other size classes (canvas)</t>
        </is>
      </c>
    </row>
    <row r="9">
      <c r="A9" t="inlineStr">
        <is>
          <t>100–499</t>
        </is>
      </c>
      <c r="B9" s="6" t="n">
        <v>18323671</v>
      </c>
      <c r="C9" s="7" t="n">
        <v>13.5</v>
      </c>
      <c r="D9" s="8" t="n">
        <v>13.49825858361638</v>
      </c>
      <c r="E9" t="inlineStr">
        <is>
          <t>Other size classes (canvas)</t>
        </is>
      </c>
    </row>
    <row r="10">
      <c r="A10" t="inlineStr">
        <is>
          <t>500+</t>
        </is>
      </c>
      <c r="B10" s="6" t="n">
        <v>73497851</v>
      </c>
      <c r="C10" s="7" t="n">
        <v>54.1</v>
      </c>
      <c r="D10" s="8" t="n">
        <v>54.14269870584927</v>
      </c>
      <c r="E10" t="inlineStr">
        <is>
          <t>Firms with 500+ employees (canvas focal)</t>
        </is>
      </c>
    </row>
    <row r="12" ht="60" customHeight="1" s="34">
      <c r="A12" t="inlineStr">
        <is>
          <t>Citation</t>
        </is>
      </c>
      <c r="B12" s="38" t="inlineStr">
        <is>
          <t>U.S. Census Bureau, Statistics of U.S. Businesses (SUSB), 2022 Annual Datasets by Establishment Industry — us_state_naics_detailedsizes_2022.txt (all-industry NAICS=--, enterprise employment size); reference year 2022; datasets page April 2025; file last-modified 2025-04-10; measures mid-March payroll employment at employer establishments, classified by enterprise (firm) employment size; primary split firms &lt;500 vs 500+ employees (SBA cutoff). File: https://www2.census.gov/programs-surveys/susb/tables/2022/us_state_naics_detailedsizes_2022.txt Landing page: https://www.census.gov/data/datasets/2022/econ/susb/2022-susb.html</t>
        </is>
      </c>
    </row>
  </sheetData>
  <mergeCells count="1">
    <mergeCell ref="B12:I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
  <sheetViews>
    <sheetView zoomScale="85" zoomScaleNormal="85" workbookViewId="0">
      <pane ySplit="1" topLeftCell="A2" activePane="bottomLeft" state="frozen"/>
      <selection pane="bottomLeft" activeCell="A1" sqref="A1"/>
    </sheetView>
  </sheetViews>
  <sheetFormatPr baseColWidth="8" defaultRowHeight="14.5"/>
  <cols>
    <col width="14" customWidth="1" style="34" min="1" max="1"/>
    <col width="22" customWidth="1" style="34" min="2" max="2"/>
    <col width="16" customWidth="1" style="34" min="3" max="4"/>
    <col width="22" customWidth="1" style="34" min="5" max="5"/>
    <col width="14" customWidth="1" style="34" min="6" max="7"/>
    <col width="24" customWidth="1" style="34" min="8" max="9"/>
    <col width="55" customWidth="1" style="34" min="10" max="10"/>
  </cols>
  <sheetData>
    <row r="1" ht="29" customHeight="1" s="34">
      <c r="A1" s="3" t="inlineStr">
        <is>
          <t>Rank (by small-firm share)</t>
        </is>
      </c>
      <c r="B1" s="3" t="inlineStr">
        <is>
          <t>State / DC</t>
        </is>
      </c>
      <c r="C1" s="3" t="inlineStr">
        <is>
          <t>Employment &lt;500</t>
        </is>
      </c>
      <c r="D1" s="3" t="inlineStr">
        <is>
          <t>Employment 500+</t>
        </is>
      </c>
      <c r="E1" s="3" t="inlineStr">
        <is>
          <t>Total employment (base)</t>
        </is>
      </c>
      <c r="F1" s="3" t="inlineStr">
        <is>
          <t>Share &lt;500 (%)</t>
        </is>
      </c>
      <c r="G1" s="3" t="inlineStr">
        <is>
          <t>Share 500+ (%)</t>
        </is>
      </c>
      <c r="H1" s="3" t="inlineStr">
        <is>
          <t>Share &lt;500 (full precision)</t>
        </is>
      </c>
      <c r="I1" s="3" t="inlineStr">
        <is>
          <t>Share 500+ (full precision)</t>
        </is>
      </c>
      <c r="J1" s="3" t="inlineStr">
        <is>
          <t>Source URL</t>
        </is>
      </c>
    </row>
    <row r="2">
      <c r="A2" t="n">
        <v>1</v>
      </c>
      <c r="B2" t="inlineStr">
        <is>
          <t>Montana</t>
        </is>
      </c>
      <c r="C2" s="6" t="n">
        <v>264567</v>
      </c>
      <c r="D2" s="6" t="n">
        <v>134304</v>
      </c>
      <c r="E2" s="6" t="n">
        <v>398871</v>
      </c>
      <c r="F2" s="7" t="n">
        <v>66.3</v>
      </c>
      <c r="G2" s="7" t="n">
        <v>33.7</v>
      </c>
      <c r="H2" t="n">
        <v>66.32896349947727</v>
      </c>
      <c r="I2" t="n">
        <v>33.67103650052272</v>
      </c>
      <c r="J2" t="inlineStr">
        <is>
          <t>https://www2.census.gov/programs-surveys/susb/tables/2022/us_state_naics_detailedsizes_2022.txt</t>
        </is>
      </c>
    </row>
    <row r="3">
      <c r="A3" t="n">
        <v>2</v>
      </c>
      <c r="B3" t="inlineStr">
        <is>
          <t>Wyoming</t>
        </is>
      </c>
      <c r="C3" s="6" t="n">
        <v>135636</v>
      </c>
      <c r="D3" s="6" t="n">
        <v>72388</v>
      </c>
      <c r="E3" s="6" t="n">
        <v>208024</v>
      </c>
      <c r="F3" s="7" t="n">
        <v>65.2</v>
      </c>
      <c r="G3" s="7" t="n">
        <v>34.8</v>
      </c>
      <c r="H3" t="n">
        <v>65.20209206630004</v>
      </c>
      <c r="I3" t="n">
        <v>34.79790793369996</v>
      </c>
      <c r="J3" t="inlineStr">
        <is>
          <t>https://www2.census.gov/programs-surveys/susb/tables/2022/us_state_naics_detailedsizes_2022.txt</t>
        </is>
      </c>
    </row>
    <row r="4">
      <c r="A4" t="n">
        <v>3</v>
      </c>
      <c r="B4" t="inlineStr">
        <is>
          <t>Vermont</t>
        </is>
      </c>
      <c r="C4" s="6" t="n">
        <v>157959</v>
      </c>
      <c r="D4" s="6" t="n">
        <v>96512</v>
      </c>
      <c r="E4" s="6" t="n">
        <v>254471</v>
      </c>
      <c r="F4" s="7" t="n">
        <v>62.1</v>
      </c>
      <c r="G4" s="7" t="n">
        <v>37.9</v>
      </c>
      <c r="H4" t="n">
        <v>62.07347792086328</v>
      </c>
      <c r="I4" t="n">
        <v>37.92652207913672</v>
      </c>
      <c r="J4" t="inlineStr">
        <is>
          <t>https://www2.census.gov/programs-surveys/susb/tables/2022/us_state_naics_detailedsizes_2022.txt</t>
        </is>
      </c>
    </row>
    <row r="5">
      <c r="A5" t="n">
        <v>4</v>
      </c>
      <c r="B5" t="inlineStr">
        <is>
          <t>South Dakota</t>
        </is>
      </c>
      <c r="C5" s="6" t="n">
        <v>216705</v>
      </c>
      <c r="D5" s="6" t="n">
        <v>157158</v>
      </c>
      <c r="E5" s="6" t="n">
        <v>373863</v>
      </c>
      <c r="F5" s="7" t="n">
        <v>58</v>
      </c>
      <c r="G5" s="7" t="n">
        <v>42</v>
      </c>
      <c r="H5" t="n">
        <v>57.96374607810883</v>
      </c>
      <c r="I5" t="n">
        <v>42.03625392189117</v>
      </c>
      <c r="J5" t="inlineStr">
        <is>
          <t>https://www2.census.gov/programs-surveys/susb/tables/2022/us_state_naics_detailedsizes_2022.txt</t>
        </is>
      </c>
    </row>
    <row r="6">
      <c r="A6" t="n">
        <v>5</v>
      </c>
      <c r="B6" t="inlineStr">
        <is>
          <t>North Dakota</t>
        </is>
      </c>
      <c r="C6" s="6" t="n">
        <v>197212</v>
      </c>
      <c r="D6" s="6" t="n">
        <v>145133</v>
      </c>
      <c r="E6" s="6" t="n">
        <v>342345</v>
      </c>
      <c r="F6" s="7" t="n">
        <v>57.6</v>
      </c>
      <c r="G6" s="7" t="n">
        <v>42.4</v>
      </c>
      <c r="H6" t="n">
        <v>57.60621595174459</v>
      </c>
      <c r="I6" t="n">
        <v>42.39378404825541</v>
      </c>
      <c r="J6" t="inlineStr">
        <is>
          <t>https://www2.census.gov/programs-surveys/susb/tables/2022/us_state_naics_detailedsizes_2022.txt</t>
        </is>
      </c>
    </row>
    <row r="7">
      <c r="A7" t="n">
        <v>6</v>
      </c>
      <c r="B7" t="inlineStr">
        <is>
          <t>Idaho</t>
        </is>
      </c>
      <c r="C7" s="6" t="n">
        <v>386078</v>
      </c>
      <c r="D7" s="6" t="n">
        <v>303511</v>
      </c>
      <c r="E7" s="6" t="n">
        <v>689589</v>
      </c>
      <c r="F7" s="7" t="n">
        <v>56</v>
      </c>
      <c r="G7" s="7" t="n">
        <v>44</v>
      </c>
      <c r="H7" t="n">
        <v>55.98668192213043</v>
      </c>
      <c r="I7" t="n">
        <v>44.01331807786957</v>
      </c>
      <c r="J7" t="inlineStr">
        <is>
          <t>https://www2.census.gov/programs-surveys/susb/tables/2022/us_state_naics_detailedsizes_2022.txt</t>
        </is>
      </c>
    </row>
    <row r="8">
      <c r="A8" t="n">
        <v>7</v>
      </c>
      <c r="B8" t="inlineStr">
        <is>
          <t>Maine</t>
        </is>
      </c>
      <c r="C8" s="6" t="n">
        <v>290518</v>
      </c>
      <c r="D8" s="6" t="n">
        <v>242633</v>
      </c>
      <c r="E8" s="6" t="n">
        <v>533151</v>
      </c>
      <c r="F8" s="7" t="n">
        <v>54.5</v>
      </c>
      <c r="G8" s="7" t="n">
        <v>45.5</v>
      </c>
      <c r="H8" t="n">
        <v>54.49075402653282</v>
      </c>
      <c r="I8" t="n">
        <v>45.50924597346718</v>
      </c>
      <c r="J8" t="inlineStr">
        <is>
          <t>https://www2.census.gov/programs-surveys/susb/tables/2022/us_state_naics_detailedsizes_2022.txt</t>
        </is>
      </c>
    </row>
    <row r="9">
      <c r="A9" t="n">
        <v>8</v>
      </c>
      <c r="B9" t="inlineStr">
        <is>
          <t>Alaska</t>
        </is>
      </c>
      <c r="C9" s="6" t="n">
        <v>139534</v>
      </c>
      <c r="D9" s="6" t="n">
        <v>117928</v>
      </c>
      <c r="E9" s="6" t="n">
        <v>257462</v>
      </c>
      <c r="F9" s="7" t="n">
        <v>54.2</v>
      </c>
      <c r="G9" s="7" t="n">
        <v>45.8</v>
      </c>
      <c r="H9" t="n">
        <v>54.195959015311</v>
      </c>
      <c r="I9" t="n">
        <v>45.804040984689</v>
      </c>
      <c r="J9" t="inlineStr">
        <is>
          <t>https://www2.census.gov/programs-surveys/susb/tables/2022/us_state_naics_detailedsizes_2022.txt</t>
        </is>
      </c>
    </row>
    <row r="10">
      <c r="A10" t="n">
        <v>9</v>
      </c>
      <c r="B10" t="inlineStr">
        <is>
          <t>Louisiana</t>
        </is>
      </c>
      <c r="C10" s="6" t="n">
        <v>889431</v>
      </c>
      <c r="D10" s="6" t="n">
        <v>754605</v>
      </c>
      <c r="E10" s="6" t="n">
        <v>1644036</v>
      </c>
      <c r="F10" s="7" t="n">
        <v>54.1</v>
      </c>
      <c r="G10" s="7" t="n">
        <v>45.9</v>
      </c>
      <c r="H10" t="n">
        <v>54.10045765421195</v>
      </c>
      <c r="I10" t="n">
        <v>45.89954234578805</v>
      </c>
      <c r="J10" t="inlineStr">
        <is>
          <t>https://www2.census.gov/programs-surveys/susb/tables/2022/us_state_naics_detailedsizes_2022.txt</t>
        </is>
      </c>
    </row>
    <row r="11">
      <c r="A11" t="n">
        <v>10</v>
      </c>
      <c r="B11" t="inlineStr">
        <is>
          <t>Oregon</t>
        </is>
      </c>
      <c r="C11" s="6" t="n">
        <v>889528</v>
      </c>
      <c r="D11" s="6" t="n">
        <v>777278</v>
      </c>
      <c r="E11" s="6" t="n">
        <v>1666806</v>
      </c>
      <c r="F11" s="7" t="n">
        <v>53.4</v>
      </c>
      <c r="G11" s="7" t="n">
        <v>46.6</v>
      </c>
      <c r="H11" t="n">
        <v>53.36721850053335</v>
      </c>
      <c r="I11" t="n">
        <v>46.63278149946665</v>
      </c>
      <c r="J11" t="inlineStr">
        <is>
          <t>https://www2.census.gov/programs-surveys/susb/tables/2022/us_state_naics_detailedsizes_2022.txt</t>
        </is>
      </c>
    </row>
    <row r="12">
      <c r="A12" t="n">
        <v>11</v>
      </c>
      <c r="B12" t="inlineStr">
        <is>
          <t>New Mexico</t>
        </is>
      </c>
      <c r="C12" s="6" t="n">
        <v>340706</v>
      </c>
      <c r="D12" s="6" t="n">
        <v>298412</v>
      </c>
      <c r="E12" s="6" t="n">
        <v>639118</v>
      </c>
      <c r="F12" s="7" t="n">
        <v>53.3</v>
      </c>
      <c r="G12" s="7" t="n">
        <v>46.7</v>
      </c>
      <c r="H12" t="n">
        <v>53.30877866059163</v>
      </c>
      <c r="I12" t="n">
        <v>46.69122133940837</v>
      </c>
      <c r="J12" t="inlineStr">
        <is>
          <t>https://www2.census.gov/programs-surveys/susb/tables/2022/us_state_naics_detailedsizes_2022.txt</t>
        </is>
      </c>
    </row>
    <row r="13">
      <c r="A13" t="n">
        <v>12</v>
      </c>
      <c r="B13" t="inlineStr">
        <is>
          <t>Rhode Island</t>
        </is>
      </c>
      <c r="C13" s="6" t="n">
        <v>224480</v>
      </c>
      <c r="D13" s="6" t="n">
        <v>214541</v>
      </c>
      <c r="E13" s="6" t="n">
        <v>439021</v>
      </c>
      <c r="F13" s="7" t="n">
        <v>51.1</v>
      </c>
      <c r="G13" s="7" t="n">
        <v>48.9</v>
      </c>
      <c r="H13" t="n">
        <v>51.13195040783926</v>
      </c>
      <c r="I13" t="n">
        <v>48.86804959216074</v>
      </c>
      <c r="J13" t="inlineStr">
        <is>
          <t>https://www2.census.gov/programs-surveys/susb/tables/2022/us_state_naics_detailedsizes_2022.txt</t>
        </is>
      </c>
    </row>
    <row r="14">
      <c r="A14" t="n">
        <v>13</v>
      </c>
      <c r="B14" t="inlineStr">
        <is>
          <t>Oklahoma</t>
        </is>
      </c>
      <c r="C14" s="6" t="n">
        <v>706906</v>
      </c>
      <c r="D14" s="6" t="n">
        <v>683562</v>
      </c>
      <c r="E14" s="6" t="n">
        <v>1390468</v>
      </c>
      <c r="F14" s="7" t="n">
        <v>50.8</v>
      </c>
      <c r="G14" s="7" t="n">
        <v>49.2</v>
      </c>
      <c r="H14" t="n">
        <v>50.83942960211957</v>
      </c>
      <c r="I14" t="n">
        <v>49.16057039788043</v>
      </c>
      <c r="J14" t="inlineStr">
        <is>
          <t>https://www2.census.gov/programs-surveys/susb/tables/2022/us_state_naics_detailedsizes_2022.txt</t>
        </is>
      </c>
    </row>
    <row r="15">
      <c r="A15" t="n">
        <v>14</v>
      </c>
      <c r="B15" t="inlineStr">
        <is>
          <t>Delaware</t>
        </is>
      </c>
      <c r="C15" s="6" t="n">
        <v>214539</v>
      </c>
      <c r="D15" s="6" t="n">
        <v>209764</v>
      </c>
      <c r="E15" s="6" t="n">
        <v>424303</v>
      </c>
      <c r="F15" s="7" t="n">
        <v>50.6</v>
      </c>
      <c r="G15" s="7" t="n">
        <v>49.4</v>
      </c>
      <c r="H15" t="n">
        <v>50.56268751340433</v>
      </c>
      <c r="I15" t="n">
        <v>49.43731248659567</v>
      </c>
      <c r="J15" t="inlineStr">
        <is>
          <t>https://www2.census.gov/programs-surveys/susb/tables/2022/us_state_naics_detailedsizes_2022.txt</t>
        </is>
      </c>
    </row>
    <row r="16">
      <c r="A16" t="n">
        <v>15</v>
      </c>
      <c r="B16" t="inlineStr">
        <is>
          <t>New Hampshire</t>
        </is>
      </c>
      <c r="C16" s="6" t="n">
        <v>309420</v>
      </c>
      <c r="D16" s="6" t="n">
        <v>305829</v>
      </c>
      <c r="E16" s="6" t="n">
        <v>615249</v>
      </c>
      <c r="F16" s="7" t="n">
        <v>50.3</v>
      </c>
      <c r="G16" s="7" t="n">
        <v>49.7</v>
      </c>
      <c r="H16" t="n">
        <v>50.2918330627112</v>
      </c>
      <c r="I16" t="n">
        <v>49.7081669372888</v>
      </c>
      <c r="J16" t="inlineStr">
        <is>
          <t>https://www2.census.gov/programs-surveys/susb/tables/2022/us_state_naics_detailedsizes_2022.txt</t>
        </is>
      </c>
    </row>
    <row r="17">
      <c r="A17" t="n">
        <v>16</v>
      </c>
      <c r="B17" t="inlineStr">
        <is>
          <t>Hawaii</t>
        </is>
      </c>
      <c r="C17" s="6" t="n">
        <v>251556</v>
      </c>
      <c r="D17" s="6" t="n">
        <v>255834</v>
      </c>
      <c r="E17" s="6" t="n">
        <v>507390</v>
      </c>
      <c r="F17" s="7" t="n">
        <v>49.6</v>
      </c>
      <c r="G17" s="7" t="n">
        <v>50.4</v>
      </c>
      <c r="H17" t="n">
        <v>49.57843079288121</v>
      </c>
      <c r="I17" t="n">
        <v>50.42156920711879</v>
      </c>
      <c r="J17" t="inlineStr">
        <is>
          <t>https://www2.census.gov/programs-surveys/susb/tables/2022/us_state_naics_detailedsizes_2022.txt</t>
        </is>
      </c>
    </row>
    <row r="18">
      <c r="A18" t="n">
        <v>17</v>
      </c>
      <c r="B18" t="inlineStr">
        <is>
          <t>D.C.</t>
        </is>
      </c>
      <c r="C18" s="6" t="n">
        <v>259181</v>
      </c>
      <c r="D18" s="6" t="n">
        <v>268174</v>
      </c>
      <c r="E18" s="6" t="n">
        <v>527355</v>
      </c>
      <c r="F18" s="7" t="n">
        <v>49.1</v>
      </c>
      <c r="G18" s="7" t="n">
        <v>50.9</v>
      </c>
      <c r="H18" t="n">
        <v>49.14734856026775</v>
      </c>
      <c r="I18" t="n">
        <v>50.85265143973225</v>
      </c>
      <c r="J18" t="inlineStr">
        <is>
          <t>https://www2.census.gov/programs-surveys/susb/tables/2022/us_state_naics_detailedsizes_2022.txt</t>
        </is>
      </c>
    </row>
    <row r="19">
      <c r="A19" t="n">
        <v>18</v>
      </c>
      <c r="B19" t="inlineStr">
        <is>
          <t>Kansas</t>
        </is>
      </c>
      <c r="C19" s="6" t="n">
        <v>599134</v>
      </c>
      <c r="D19" s="6" t="n">
        <v>626098</v>
      </c>
      <c r="E19" s="6" t="n">
        <v>1225232</v>
      </c>
      <c r="F19" s="7" t="n">
        <v>48.9</v>
      </c>
      <c r="G19" s="7" t="n">
        <v>51.1</v>
      </c>
      <c r="H19" t="n">
        <v>48.89963696671325</v>
      </c>
      <c r="I19" t="n">
        <v>51.10036303328675</v>
      </c>
      <c r="J19" t="inlineStr">
        <is>
          <t>https://www2.census.gov/programs-surveys/susb/tables/2022/us_state_naics_detailedsizes_2022.txt</t>
        </is>
      </c>
    </row>
    <row r="20">
      <c r="A20" t="n">
        <v>19</v>
      </c>
      <c r="B20" t="inlineStr">
        <is>
          <t>New Jersey</t>
        </is>
      </c>
      <c r="C20" s="6" t="n">
        <v>1861009</v>
      </c>
      <c r="D20" s="6" t="n">
        <v>1952693</v>
      </c>
      <c r="E20" s="6" t="n">
        <v>3813702</v>
      </c>
      <c r="F20" s="7" t="n">
        <v>48.8</v>
      </c>
      <c r="G20" s="7" t="n">
        <v>51.2</v>
      </c>
      <c r="H20" t="n">
        <v>48.79796586099281</v>
      </c>
      <c r="I20" t="n">
        <v>51.20203413900719</v>
      </c>
      <c r="J20" t="inlineStr">
        <is>
          <t>https://www2.census.gov/programs-surveys/susb/tables/2022/us_state_naics_detailedsizes_2022.txt</t>
        </is>
      </c>
    </row>
    <row r="21">
      <c r="A21" t="n">
        <v>20</v>
      </c>
      <c r="B21" t="inlineStr">
        <is>
          <t>Washington</t>
        </is>
      </c>
      <c r="C21" s="6" t="n">
        <v>1451617</v>
      </c>
      <c r="D21" s="6" t="n">
        <v>1526660</v>
      </c>
      <c r="E21" s="6" t="n">
        <v>2978277</v>
      </c>
      <c r="F21" s="7" t="n">
        <v>48.7</v>
      </c>
      <c r="G21" s="7" t="n">
        <v>51.3</v>
      </c>
      <c r="H21" t="n">
        <v>48.74016083796101</v>
      </c>
      <c r="I21" t="n">
        <v>51.25983916203899</v>
      </c>
      <c r="J21" t="inlineStr">
        <is>
          <t>https://www2.census.gov/programs-surveys/susb/tables/2022/us_state_naics_detailedsizes_2022.txt</t>
        </is>
      </c>
    </row>
    <row r="22">
      <c r="A22" t="n">
        <v>21</v>
      </c>
      <c r="B22" t="inlineStr">
        <is>
          <t>Colorado</t>
        </is>
      </c>
      <c r="C22" s="6" t="n">
        <v>1206660</v>
      </c>
      <c r="D22" s="6" t="n">
        <v>1274536</v>
      </c>
      <c r="E22" s="6" t="n">
        <v>2481196</v>
      </c>
      <c r="F22" s="7" t="n">
        <v>48.6</v>
      </c>
      <c r="G22" s="7" t="n">
        <v>51.4</v>
      </c>
      <c r="H22" t="n">
        <v>48.63219189455408</v>
      </c>
      <c r="I22" t="n">
        <v>51.36780810544592</v>
      </c>
      <c r="J22" t="inlineStr">
        <is>
          <t>https://www2.census.gov/programs-surveys/susb/tables/2022/us_state_naics_detailedsizes_2022.txt</t>
        </is>
      </c>
    </row>
    <row r="23">
      <c r="A23" t="n">
        <v>22</v>
      </c>
      <c r="B23" t="inlineStr">
        <is>
          <t>Connecticut</t>
        </is>
      </c>
      <c r="C23" s="6" t="n">
        <v>726097</v>
      </c>
      <c r="D23" s="6" t="n">
        <v>782537</v>
      </c>
      <c r="E23" s="6" t="n">
        <v>1508634</v>
      </c>
      <c r="F23" s="7" t="n">
        <v>48.1</v>
      </c>
      <c r="G23" s="7" t="n">
        <v>51.9</v>
      </c>
      <c r="H23" t="n">
        <v>48.12943364659686</v>
      </c>
      <c r="I23" t="n">
        <v>51.87056635340314</v>
      </c>
      <c r="J23" t="inlineStr">
        <is>
          <t>https://www2.census.gov/programs-surveys/susb/tables/2022/us_state_naics_detailedsizes_2022.txt</t>
        </is>
      </c>
    </row>
    <row r="24">
      <c r="A24" t="n">
        <v>23</v>
      </c>
      <c r="B24" t="inlineStr">
        <is>
          <t>Wisconsin</t>
        </is>
      </c>
      <c r="C24" s="6" t="n">
        <v>1247875</v>
      </c>
      <c r="D24" s="6" t="n">
        <v>1352428</v>
      </c>
      <c r="E24" s="6" t="n">
        <v>2600303</v>
      </c>
      <c r="F24" s="7" t="n">
        <v>48</v>
      </c>
      <c r="G24" s="7" t="n">
        <v>52</v>
      </c>
      <c r="H24" t="n">
        <v>47.9895996735765</v>
      </c>
      <c r="I24" t="n">
        <v>52.0104003264235</v>
      </c>
      <c r="J24" t="inlineStr">
        <is>
          <t>https://www2.census.gov/programs-surveys/susb/tables/2022/us_state_naics_detailedsizes_2022.txt</t>
        </is>
      </c>
    </row>
    <row r="25">
      <c r="A25" t="n">
        <v>24</v>
      </c>
      <c r="B25" t="inlineStr">
        <is>
          <t>Maryland</t>
        </is>
      </c>
      <c r="C25" s="6" t="n">
        <v>1167051</v>
      </c>
      <c r="D25" s="6" t="n">
        <v>1269450</v>
      </c>
      <c r="E25" s="6" t="n">
        <v>2436501</v>
      </c>
      <c r="F25" s="7" t="n">
        <v>47.9</v>
      </c>
      <c r="G25" s="7" t="n">
        <v>52.1</v>
      </c>
      <c r="H25" t="n">
        <v>47.89864646064171</v>
      </c>
      <c r="I25" t="n">
        <v>52.10135353935829</v>
      </c>
      <c r="J25" t="inlineStr">
        <is>
          <t>https://www2.census.gov/programs-surveys/susb/tables/2022/us_state_naics_detailedsizes_2022.txt</t>
        </is>
      </c>
    </row>
    <row r="26">
      <c r="A26" t="n">
        <v>25</v>
      </c>
      <c r="B26" t="inlineStr">
        <is>
          <t>Michigan</t>
        </is>
      </c>
      <c r="C26" s="6" t="n">
        <v>1879244</v>
      </c>
      <c r="D26" s="6" t="n">
        <v>2059832</v>
      </c>
      <c r="E26" s="6" t="n">
        <v>3939076</v>
      </c>
      <c r="F26" s="7" t="n">
        <v>47.7</v>
      </c>
      <c r="G26" s="7" t="n">
        <v>52.3</v>
      </c>
      <c r="H26" t="n">
        <v>47.70773653516713</v>
      </c>
      <c r="I26" t="n">
        <v>52.29226346483287</v>
      </c>
      <c r="J26" t="inlineStr">
        <is>
          <t>https://www2.census.gov/programs-surveys/susb/tables/2022/us_state_naics_detailedsizes_2022.txt</t>
        </is>
      </c>
    </row>
    <row r="27">
      <c r="A27" t="n">
        <v>26</v>
      </c>
      <c r="B27" t="inlineStr">
        <is>
          <t>Nebraska</t>
        </is>
      </c>
      <c r="C27" s="6" t="n">
        <v>422756</v>
      </c>
      <c r="D27" s="6" t="n">
        <v>467294</v>
      </c>
      <c r="E27" s="6" t="n">
        <v>890050</v>
      </c>
      <c r="F27" s="7" t="n">
        <v>47.5</v>
      </c>
      <c r="G27" s="7" t="n">
        <v>52.5</v>
      </c>
      <c r="H27" t="n">
        <v>47.49800573001517</v>
      </c>
      <c r="I27" t="n">
        <v>52.50199426998483</v>
      </c>
      <c r="J27" t="inlineStr">
        <is>
          <t>https://www2.census.gov/programs-surveys/susb/tables/2022/us_state_naics_detailedsizes_2022.txt</t>
        </is>
      </c>
    </row>
    <row r="28">
      <c r="A28" t="n">
        <v>27</v>
      </c>
      <c r="B28" t="inlineStr">
        <is>
          <t>West Virginia</t>
        </is>
      </c>
      <c r="C28" s="6" t="n">
        <v>256281</v>
      </c>
      <c r="D28" s="6" t="n">
        <v>284187</v>
      </c>
      <c r="E28" s="6" t="n">
        <v>540468</v>
      </c>
      <c r="F28" s="7" t="n">
        <v>47.4</v>
      </c>
      <c r="G28" s="7" t="n">
        <v>52.6</v>
      </c>
      <c r="H28" t="n">
        <v>47.41834854237439</v>
      </c>
      <c r="I28" t="n">
        <v>52.58165145762561</v>
      </c>
      <c r="J28" t="inlineStr">
        <is>
          <t>https://www2.census.gov/programs-surveys/susb/tables/2022/us_state_naics_detailedsizes_2022.txt</t>
        </is>
      </c>
    </row>
    <row r="29">
      <c r="A29" t="n">
        <v>28</v>
      </c>
      <c r="B29" t="inlineStr">
        <is>
          <t>California</t>
        </is>
      </c>
      <c r="C29" s="6" t="n">
        <v>7595688</v>
      </c>
      <c r="D29" s="6" t="n">
        <v>8436752</v>
      </c>
      <c r="E29" s="6" t="n">
        <v>16032440</v>
      </c>
      <c r="F29" s="7" t="n">
        <v>47.4</v>
      </c>
      <c r="G29" s="7" t="n">
        <v>52.6</v>
      </c>
      <c r="H29" t="n">
        <v>47.37699314639568</v>
      </c>
      <c r="I29" t="n">
        <v>52.62300685360432</v>
      </c>
      <c r="J29" t="inlineStr">
        <is>
          <t>https://www2.census.gov/programs-surveys/susb/tables/2022/us_state_naics_detailedsizes_2022.txt</t>
        </is>
      </c>
    </row>
    <row r="30">
      <c r="A30" t="n">
        <v>29</v>
      </c>
      <c r="B30" t="inlineStr">
        <is>
          <t>Mississippi</t>
        </is>
      </c>
      <c r="C30" s="6" t="n">
        <v>444113</v>
      </c>
      <c r="D30" s="6" t="n">
        <v>500467</v>
      </c>
      <c r="E30" s="6" t="n">
        <v>944580</v>
      </c>
      <c r="F30" s="7" t="n">
        <v>47</v>
      </c>
      <c r="G30" s="7" t="n">
        <v>53</v>
      </c>
      <c r="H30" t="n">
        <v>47.0169810921256</v>
      </c>
      <c r="I30" t="n">
        <v>52.9830189078744</v>
      </c>
      <c r="J30" t="inlineStr">
        <is>
          <t>https://www2.census.gov/programs-surveys/susb/tables/2022/us_state_naics_detailedsizes_2022.txt</t>
        </is>
      </c>
    </row>
    <row r="31">
      <c r="A31" t="n">
        <v>30</v>
      </c>
      <c r="B31" t="inlineStr">
        <is>
          <t>New York</t>
        </is>
      </c>
      <c r="C31" s="6" t="n">
        <v>3932389</v>
      </c>
      <c r="D31" s="6" t="n">
        <v>4497387</v>
      </c>
      <c r="E31" s="6" t="n">
        <v>8429776</v>
      </c>
      <c r="F31" s="7" t="n">
        <v>46.6</v>
      </c>
      <c r="G31" s="7" t="n">
        <v>53.4</v>
      </c>
      <c r="H31" t="n">
        <v>46.64879588734031</v>
      </c>
      <c r="I31" t="n">
        <v>53.35120411265969</v>
      </c>
      <c r="J31" t="inlineStr">
        <is>
          <t>https://www2.census.gov/programs-surveys/susb/tables/2022/us_state_naics_detailedsizes_2022.txt</t>
        </is>
      </c>
    </row>
    <row r="32">
      <c r="A32" t="n">
        <v>31</v>
      </c>
      <c r="B32" t="inlineStr">
        <is>
          <t>Arkansas</t>
        </is>
      </c>
      <c r="C32" s="6" t="n">
        <v>501512</v>
      </c>
      <c r="D32" s="6" t="n">
        <v>587532</v>
      </c>
      <c r="E32" s="6" t="n">
        <v>1089044</v>
      </c>
      <c r="F32" s="7" t="n">
        <v>46.1</v>
      </c>
      <c r="G32" s="7" t="n">
        <v>53.9</v>
      </c>
      <c r="H32" t="n">
        <v>46.05066461961133</v>
      </c>
      <c r="I32" t="n">
        <v>53.94933538038867</v>
      </c>
      <c r="J32" t="inlineStr">
        <is>
          <t>https://www2.census.gov/programs-surveys/susb/tables/2022/us_state_naics_detailedsizes_2022.txt</t>
        </is>
      </c>
    </row>
    <row r="33">
      <c r="A33" t="n">
        <v>32</v>
      </c>
      <c r="B33" t="inlineStr">
        <is>
          <t>Iowa</t>
        </is>
      </c>
      <c r="C33" s="6" t="n">
        <v>637557</v>
      </c>
      <c r="D33" s="6" t="n">
        <v>748742</v>
      </c>
      <c r="E33" s="6" t="n">
        <v>1386299</v>
      </c>
      <c r="F33" s="7" t="n">
        <v>46</v>
      </c>
      <c r="G33" s="7" t="n">
        <v>54</v>
      </c>
      <c r="H33" t="n">
        <v>45.98986221587118</v>
      </c>
      <c r="I33" t="n">
        <v>54.01013778412882</v>
      </c>
      <c r="J33" t="inlineStr">
        <is>
          <t>https://www2.census.gov/programs-surveys/susb/tables/2022/us_state_naics_detailedsizes_2022.txt</t>
        </is>
      </c>
    </row>
    <row r="34">
      <c r="A34" t="n">
        <v>33</v>
      </c>
      <c r="B34" t="inlineStr">
        <is>
          <t>Alabama</t>
        </is>
      </c>
      <c r="C34" s="6" t="n">
        <v>816850</v>
      </c>
      <c r="D34" s="6" t="n">
        <v>960807</v>
      </c>
      <c r="E34" s="6" t="n">
        <v>1777657</v>
      </c>
      <c r="F34" s="7" t="n">
        <v>46</v>
      </c>
      <c r="G34" s="7" t="n">
        <v>54</v>
      </c>
      <c r="H34" t="n">
        <v>45.95093429159844</v>
      </c>
      <c r="I34" t="n">
        <v>54.04906570840156</v>
      </c>
      <c r="J34" t="inlineStr">
        <is>
          <t>https://www2.census.gov/programs-surveys/susb/tables/2022/us_state_naics_detailedsizes_2022.txt</t>
        </is>
      </c>
    </row>
    <row r="35">
      <c r="A35" t="n">
        <v>34</v>
      </c>
      <c r="B35" t="inlineStr">
        <is>
          <t>Virginia</t>
        </is>
      </c>
      <c r="C35" s="6" t="n">
        <v>1602868</v>
      </c>
      <c r="D35" s="6" t="n">
        <v>1892088</v>
      </c>
      <c r="E35" s="6" t="n">
        <v>3494956</v>
      </c>
      <c r="F35" s="7" t="n">
        <v>45.9</v>
      </c>
      <c r="G35" s="7" t="n">
        <v>54.1</v>
      </c>
      <c r="H35" t="n">
        <v>45.86232273024324</v>
      </c>
      <c r="I35" t="n">
        <v>54.13767726975676</v>
      </c>
      <c r="J35" t="inlineStr">
        <is>
          <t>https://www2.census.gov/programs-surveys/susb/tables/2022/us_state_naics_detailedsizes_2022.txt</t>
        </is>
      </c>
    </row>
    <row r="36">
      <c r="A36" t="n">
        <v>35</v>
      </c>
      <c r="B36" t="inlineStr">
        <is>
          <t>Minnesota</t>
        </is>
      </c>
      <c r="C36" s="6" t="n">
        <v>1252842</v>
      </c>
      <c r="D36" s="6" t="n">
        <v>1479680</v>
      </c>
      <c r="E36" s="6" t="n">
        <v>2732522</v>
      </c>
      <c r="F36" s="7" t="n">
        <v>45.8</v>
      </c>
      <c r="G36" s="7" t="n">
        <v>54.2</v>
      </c>
      <c r="H36" t="n">
        <v>45.84929233872591</v>
      </c>
      <c r="I36" t="n">
        <v>54.15070766127409</v>
      </c>
      <c r="J36" t="inlineStr">
        <is>
          <t>https://www2.census.gov/programs-surveys/susb/tables/2022/us_state_naics_detailedsizes_2022.txt</t>
        </is>
      </c>
    </row>
    <row r="37">
      <c r="A37" t="n">
        <v>36</v>
      </c>
      <c r="B37" t="inlineStr">
        <is>
          <t>Utah</t>
        </is>
      </c>
      <c r="C37" s="6" t="n">
        <v>690069</v>
      </c>
      <c r="D37" s="6" t="n">
        <v>831571</v>
      </c>
      <c r="E37" s="6" t="n">
        <v>1521640</v>
      </c>
      <c r="F37" s="7" t="n">
        <v>45.4</v>
      </c>
      <c r="G37" s="7" t="n">
        <v>54.6</v>
      </c>
      <c r="H37" t="n">
        <v>45.35034567966142</v>
      </c>
      <c r="I37" t="n">
        <v>54.64965432033858</v>
      </c>
      <c r="J37" t="inlineStr">
        <is>
          <t>https://www2.census.gov/programs-surveys/susb/tables/2022/us_state_naics_detailedsizes_2022.txt</t>
        </is>
      </c>
    </row>
    <row r="38">
      <c r="A38" t="n">
        <v>37</v>
      </c>
      <c r="B38" t="inlineStr">
        <is>
          <t>Pennsylvania</t>
        </is>
      </c>
      <c r="C38" s="6" t="n">
        <v>2526466</v>
      </c>
      <c r="D38" s="6" t="n">
        <v>3058364</v>
      </c>
      <c r="E38" s="6" t="n">
        <v>5584830</v>
      </c>
      <c r="F38" s="7" t="n">
        <v>45.2</v>
      </c>
      <c r="G38" s="7" t="n">
        <v>54.8</v>
      </c>
      <c r="H38" t="n">
        <v>45.23801082575477</v>
      </c>
      <c r="I38" t="n">
        <v>54.76198917424523</v>
      </c>
      <c r="J38" t="inlineStr">
        <is>
          <t>https://www2.census.gov/programs-surveys/susb/tables/2022/us_state_naics_detailedsizes_2022.txt</t>
        </is>
      </c>
    </row>
    <row r="39">
      <c r="A39" t="n">
        <v>38</v>
      </c>
      <c r="B39" t="inlineStr">
        <is>
          <t>Nevada</t>
        </is>
      </c>
      <c r="C39" s="6" t="n">
        <v>578767</v>
      </c>
      <c r="D39" s="6" t="n">
        <v>707811</v>
      </c>
      <c r="E39" s="6" t="n">
        <v>1286578</v>
      </c>
      <c r="F39" s="7" t="n">
        <v>45</v>
      </c>
      <c r="G39" s="7" t="n">
        <v>55</v>
      </c>
      <c r="H39" t="n">
        <v>44.98499119369366</v>
      </c>
      <c r="I39" t="n">
        <v>55.01500880630634</v>
      </c>
      <c r="J39" t="inlineStr">
        <is>
          <t>https://www2.census.gov/programs-surveys/susb/tables/2022/us_state_naics_detailedsizes_2022.txt</t>
        </is>
      </c>
    </row>
    <row r="40">
      <c r="A40" t="n">
        <v>39</v>
      </c>
      <c r="B40" t="inlineStr">
        <is>
          <t>Massachusetts</t>
        </is>
      </c>
      <c r="C40" s="6" t="n">
        <v>1516837</v>
      </c>
      <c r="D40" s="6" t="n">
        <v>1880082</v>
      </c>
      <c r="E40" s="6" t="n">
        <v>3396919</v>
      </c>
      <c r="F40" s="7" t="n">
        <v>44.7</v>
      </c>
      <c r="G40" s="7" t="n">
        <v>55.3</v>
      </c>
      <c r="H40" t="n">
        <v>44.65331672612741</v>
      </c>
      <c r="I40" t="n">
        <v>55.34668327387259</v>
      </c>
      <c r="J40" t="inlineStr">
        <is>
          <t>https://www2.census.gov/programs-surveys/susb/tables/2022/us_state_naics_detailedsizes_2022.txt</t>
        </is>
      </c>
    </row>
    <row r="41">
      <c r="A41" t="n">
        <v>40</v>
      </c>
      <c r="B41" t="inlineStr">
        <is>
          <t>Missouri</t>
        </is>
      </c>
      <c r="C41" s="6" t="n">
        <v>1139031</v>
      </c>
      <c r="D41" s="6" t="n">
        <v>1425352</v>
      </c>
      <c r="E41" s="6" t="n">
        <v>2564383</v>
      </c>
      <c r="F41" s="7" t="n">
        <v>44.4</v>
      </c>
      <c r="G41" s="7" t="n">
        <v>55.6</v>
      </c>
      <c r="H41" t="n">
        <v>44.417351074313</v>
      </c>
      <c r="I41" t="n">
        <v>55.582648925687</v>
      </c>
      <c r="J41" t="inlineStr">
        <is>
          <t>https://www2.census.gov/programs-surveys/susb/tables/2022/us_state_naics_detailedsizes_2022.txt</t>
        </is>
      </c>
    </row>
    <row r="42">
      <c r="A42" t="n">
        <v>41</v>
      </c>
      <c r="B42" t="inlineStr">
        <is>
          <t>Texas</t>
        </is>
      </c>
      <c r="C42" s="6" t="n">
        <v>5108008</v>
      </c>
      <c r="D42" s="6" t="n">
        <v>6399634</v>
      </c>
      <c r="E42" s="6" t="n">
        <v>11507642</v>
      </c>
      <c r="F42" s="7" t="n">
        <v>44.4</v>
      </c>
      <c r="G42" s="7" t="n">
        <v>55.6</v>
      </c>
      <c r="H42" t="n">
        <v>44.38796410246339</v>
      </c>
      <c r="I42" t="n">
        <v>55.61203589753661</v>
      </c>
      <c r="J42" t="inlineStr">
        <is>
          <t>https://www2.census.gov/programs-surveys/susb/tables/2022/us_state_naics_detailedsizes_2022.txt</t>
        </is>
      </c>
    </row>
    <row r="43">
      <c r="A43" t="n">
        <v>42</v>
      </c>
      <c r="B43" t="inlineStr">
        <is>
          <t>North Carolina</t>
        </is>
      </c>
      <c r="C43" s="6" t="n">
        <v>1815569</v>
      </c>
      <c r="D43" s="6" t="n">
        <v>2291192</v>
      </c>
      <c r="E43" s="6" t="n">
        <v>4106761</v>
      </c>
      <c r="F43" s="7" t="n">
        <v>44.2</v>
      </c>
      <c r="G43" s="7" t="n">
        <v>55.8</v>
      </c>
      <c r="H43" t="n">
        <v>44.20926856956127</v>
      </c>
      <c r="I43" t="n">
        <v>55.79073143043873</v>
      </c>
      <c r="J43" t="inlineStr">
        <is>
          <t>https://www2.census.gov/programs-surveys/susb/tables/2022/us_state_naics_detailedsizes_2022.txt</t>
        </is>
      </c>
    </row>
    <row r="44">
      <c r="A44" t="n">
        <v>43</v>
      </c>
      <c r="B44" t="inlineStr">
        <is>
          <t>Ohio</t>
        </is>
      </c>
      <c r="C44" s="6" t="n">
        <v>2175029</v>
      </c>
      <c r="D44" s="6" t="n">
        <v>2788779</v>
      </c>
      <c r="E44" s="6" t="n">
        <v>4963808</v>
      </c>
      <c r="F44" s="7" t="n">
        <v>43.8</v>
      </c>
      <c r="G44" s="7" t="n">
        <v>56.2</v>
      </c>
      <c r="H44" t="n">
        <v>43.81775040452813</v>
      </c>
      <c r="I44" t="n">
        <v>56.18224959547187</v>
      </c>
      <c r="J44" t="inlineStr">
        <is>
          <t>https://www2.census.gov/programs-surveys/susb/tables/2022/us_state_naics_detailedsizes_2022.txt</t>
        </is>
      </c>
    </row>
    <row r="45">
      <c r="A45" t="n">
        <v>44</v>
      </c>
      <c r="B45" t="inlineStr">
        <is>
          <t>Illinois</t>
        </is>
      </c>
      <c r="C45" s="6" t="n">
        <v>2420971</v>
      </c>
      <c r="D45" s="6" t="n">
        <v>3112912</v>
      </c>
      <c r="E45" s="6" t="n">
        <v>5533883</v>
      </c>
      <c r="F45" s="7" t="n">
        <v>43.7</v>
      </c>
      <c r="G45" s="7" t="n">
        <v>56.3</v>
      </c>
      <c r="H45" t="n">
        <v>43.74814212732723</v>
      </c>
      <c r="I45" t="n">
        <v>56.25185787267277</v>
      </c>
      <c r="J45" t="inlineStr">
        <is>
          <t>https://www2.census.gov/programs-surveys/susb/tables/2022/us_state_naics_detailedsizes_2022.txt</t>
        </is>
      </c>
    </row>
    <row r="46">
      <c r="A46" t="n">
        <v>45</v>
      </c>
      <c r="B46" t="inlineStr">
        <is>
          <t>Indiana</t>
        </is>
      </c>
      <c r="C46" s="6" t="n">
        <v>1241838</v>
      </c>
      <c r="D46" s="6" t="n">
        <v>1634070</v>
      </c>
      <c r="E46" s="6" t="n">
        <v>2875908</v>
      </c>
      <c r="F46" s="7" t="n">
        <v>43.2</v>
      </c>
      <c r="G46" s="7" t="n">
        <v>56.8</v>
      </c>
      <c r="H46" t="n">
        <v>43.18072761715604</v>
      </c>
      <c r="I46" t="n">
        <v>56.81927238284396</v>
      </c>
      <c r="J46" t="inlineStr">
        <is>
          <t>https://www2.census.gov/programs-surveys/susb/tables/2022/us_state_naics_detailedsizes_2022.txt</t>
        </is>
      </c>
    </row>
    <row r="47">
      <c r="A47" t="n">
        <v>46</v>
      </c>
      <c r="B47" t="inlineStr">
        <is>
          <t>South Carolina</t>
        </is>
      </c>
      <c r="C47" s="6" t="n">
        <v>863326</v>
      </c>
      <c r="D47" s="6" t="n">
        <v>1149989</v>
      </c>
      <c r="E47" s="6" t="n">
        <v>2013315</v>
      </c>
      <c r="F47" s="7" t="n">
        <v>42.9</v>
      </c>
      <c r="G47" s="7" t="n">
        <v>57.1</v>
      </c>
      <c r="H47" t="n">
        <v>42.88082093462771</v>
      </c>
      <c r="I47" t="n">
        <v>57.11917906537229</v>
      </c>
      <c r="J47" t="inlineStr">
        <is>
          <t>https://www2.census.gov/programs-surveys/susb/tables/2022/us_state_naics_detailedsizes_2022.txt</t>
        </is>
      </c>
    </row>
    <row r="48">
      <c r="A48" t="n">
        <v>47</v>
      </c>
      <c r="B48" t="inlineStr">
        <is>
          <t>Kentucky</t>
        </is>
      </c>
      <c r="C48" s="6" t="n">
        <v>710613</v>
      </c>
      <c r="D48" s="6" t="n">
        <v>957081</v>
      </c>
      <c r="E48" s="6" t="n">
        <v>1667694</v>
      </c>
      <c r="F48" s="7" t="n">
        <v>42.6</v>
      </c>
      <c r="G48" s="7" t="n">
        <v>57.4</v>
      </c>
      <c r="H48" t="n">
        <v>42.61051487862881</v>
      </c>
      <c r="I48" t="n">
        <v>57.38948512137119</v>
      </c>
      <c r="J48" t="inlineStr">
        <is>
          <t>https://www2.census.gov/programs-surveys/susb/tables/2022/us_state_naics_detailedsizes_2022.txt</t>
        </is>
      </c>
    </row>
    <row r="49">
      <c r="A49" t="n">
        <v>48</v>
      </c>
      <c r="B49" t="inlineStr">
        <is>
          <t>Arizona</t>
        </is>
      </c>
      <c r="C49" s="6" t="n">
        <v>1186389</v>
      </c>
      <c r="D49" s="6" t="n">
        <v>1601312</v>
      </c>
      <c r="E49" s="6" t="n">
        <v>2787701</v>
      </c>
      <c r="F49" s="7" t="n">
        <v>42.6</v>
      </c>
      <c r="G49" s="7" t="n">
        <v>57.4</v>
      </c>
      <c r="H49" t="n">
        <v>42.55797160455874</v>
      </c>
      <c r="I49" t="n">
        <v>57.44202839544126</v>
      </c>
      <c r="J49" t="inlineStr">
        <is>
          <t>https://www2.census.gov/programs-surveys/susb/tables/2022/us_state_naics_detailedsizes_2022.txt</t>
        </is>
      </c>
    </row>
    <row r="50">
      <c r="A50" t="n">
        <v>49</v>
      </c>
      <c r="B50" t="inlineStr">
        <is>
          <t>Georgia</t>
        </is>
      </c>
      <c r="C50" s="6" t="n">
        <v>1806632</v>
      </c>
      <c r="D50" s="6" t="n">
        <v>2442730</v>
      </c>
      <c r="E50" s="6" t="n">
        <v>4249362</v>
      </c>
      <c r="F50" s="7" t="n">
        <v>42.5</v>
      </c>
      <c r="G50" s="7" t="n">
        <v>57.5</v>
      </c>
      <c r="H50" t="n">
        <v>42.51537054268382</v>
      </c>
      <c r="I50" t="n">
        <v>57.48462945731618</v>
      </c>
      <c r="J50" t="inlineStr">
        <is>
          <t>https://www2.census.gov/programs-surveys/susb/tables/2022/us_state_naics_detailedsizes_2022.txt</t>
        </is>
      </c>
    </row>
    <row r="51">
      <c r="A51" t="n">
        <v>50</v>
      </c>
      <c r="B51" t="inlineStr">
        <is>
          <t>Tennessee</t>
        </is>
      </c>
      <c r="C51" s="6" t="n">
        <v>1182437</v>
      </c>
      <c r="D51" s="6" t="n">
        <v>1664444</v>
      </c>
      <c r="E51" s="6" t="n">
        <v>2846881</v>
      </c>
      <c r="F51" s="7" t="n">
        <v>41.5</v>
      </c>
      <c r="G51" s="7" t="n">
        <v>58.5</v>
      </c>
      <c r="H51" t="n">
        <v>41.534472287391</v>
      </c>
      <c r="I51" t="n">
        <v>58.465527712609</v>
      </c>
      <c r="J51" t="inlineStr">
        <is>
          <t>https://www2.census.gov/programs-surveys/susb/tables/2022/us_state_naics_detailedsizes_2022.txt</t>
        </is>
      </c>
    </row>
    <row r="52">
      <c r="A52" t="n">
        <v>51</v>
      </c>
      <c r="B52" t="inlineStr">
        <is>
          <t>Florida</t>
        </is>
      </c>
      <c r="C52" s="6" t="n">
        <v>3813075</v>
      </c>
      <c r="D52" s="6" t="n">
        <v>5815792</v>
      </c>
      <c r="E52" s="6" t="n">
        <v>9628867</v>
      </c>
      <c r="F52" s="7" t="n">
        <v>39.6</v>
      </c>
      <c r="G52" s="7" t="n">
        <v>60.4</v>
      </c>
      <c r="H52" t="n">
        <v>39.60045351130097</v>
      </c>
      <c r="I52" t="n">
        <v>60.39954648869903</v>
      </c>
      <c r="J52" t="inlineStr">
        <is>
          <t>https://www2.census.gov/programs-surveys/susb/tables/2022/us_state_naics_detailedsizes_2022.txt</t>
        </is>
      </c>
    </row>
  </sheetData>
  <autoFilter ref="A1:J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4.5"/>
  <cols>
    <col width="28" customWidth="1" style="34" min="1" max="1"/>
    <col width="42" customWidth="1" style="34" min="2" max="2"/>
    <col width="14" customWidth="1" style="34" min="3" max="3"/>
    <col width="24" customWidth="1" style="34" min="4" max="4"/>
    <col width="16" customWidth="1" style="34" min="5" max="7"/>
    <col width="14" customWidth="1" style="34" min="8" max="8"/>
    <col width="55" customWidth="1" style="34" min="9" max="9"/>
  </cols>
  <sheetData>
    <row r="1" ht="29" customHeight="1" s="34">
      <c r="A1" s="3" t="inlineStr">
        <is>
          <t>Exhibit group</t>
        </is>
      </c>
      <c r="B1" s="3" t="inlineStr">
        <is>
          <t>Metro Area</t>
        </is>
      </c>
      <c r="C1" s="3" t="inlineStr">
        <is>
          <t>Share &lt;500 (%)</t>
        </is>
      </c>
      <c r="D1" s="3" t="inlineStr">
        <is>
          <t>Share &lt;500 (full precision)</t>
        </is>
      </c>
      <c r="E1" s="3" t="inlineStr">
        <is>
          <t>Total employment</t>
        </is>
      </c>
      <c r="F1" s="3" t="inlineStr">
        <is>
          <t>Employment &lt;500</t>
        </is>
      </c>
      <c r="G1" s="3" t="inlineStr">
        <is>
          <t>Employment 500+</t>
        </is>
      </c>
      <c r="H1" s="3" t="inlineStr">
        <is>
          <t>Share 500+ (%)</t>
        </is>
      </c>
      <c r="I1" s="3" t="inlineStr">
        <is>
          <t>Source URL</t>
        </is>
      </c>
    </row>
    <row r="2">
      <c r="A2" t="inlineStr">
        <is>
          <t>Highest small-firm shares</t>
        </is>
      </c>
      <c r="B2" t="inlineStr">
        <is>
          <t>Bozeman, MT</t>
        </is>
      </c>
      <c r="C2" s="7" t="n">
        <v>74.59999999999999</v>
      </c>
      <c r="D2" t="n">
        <v>74.58572367369412</v>
      </c>
      <c r="E2" s="6" t="n">
        <v>56303</v>
      </c>
      <c r="F2" s="6" t="n">
        <v>41994</v>
      </c>
      <c r="G2" s="6" t="n">
        <v>14309</v>
      </c>
      <c r="H2" s="7" t="n">
        <v>25.4</v>
      </c>
      <c r="I2" t="inlineStr">
        <is>
          <t>https://www2.census.gov/programs-surveys/susb/datasets/2022/msa_3digitnaics_2022.txt</t>
        </is>
      </c>
    </row>
    <row r="3">
      <c r="A3" t="inlineStr">
        <is>
          <t>Highest small-firm shares</t>
        </is>
      </c>
      <c r="B3" t="inlineStr">
        <is>
          <t>Santa Cruz-Watsonville, CA</t>
        </is>
      </c>
      <c r="C3" s="7" t="n">
        <v>70.09999999999999</v>
      </c>
      <c r="D3" t="n">
        <v>70.07606594077541</v>
      </c>
      <c r="E3" s="6" t="n">
        <v>78616</v>
      </c>
      <c r="F3" s="6" t="n">
        <v>55091</v>
      </c>
      <c r="G3" s="6" t="n">
        <v>23525</v>
      </c>
      <c r="H3" s="7" t="n">
        <v>29.9</v>
      </c>
      <c r="I3" t="inlineStr">
        <is>
          <t>https://www2.census.gov/programs-surveys/susb/datasets/2022/msa_3digitnaics_2022.txt</t>
        </is>
      </c>
    </row>
    <row r="4">
      <c r="A4" t="inlineStr">
        <is>
          <t>Highest small-firm shares</t>
        </is>
      </c>
      <c r="B4" t="inlineStr">
        <is>
          <t>Kingston, NY</t>
        </is>
      </c>
      <c r="C4" s="7" t="n">
        <v>69.40000000000001</v>
      </c>
      <c r="D4" t="n">
        <v>69.36069203204528</v>
      </c>
      <c r="E4" s="6" t="n">
        <v>43813</v>
      </c>
      <c r="F4" s="6" t="n">
        <v>30389</v>
      </c>
      <c r="G4" s="6" t="n">
        <v>13424</v>
      </c>
      <c r="H4" s="7" t="n">
        <v>30.6</v>
      </c>
      <c r="I4" t="inlineStr">
        <is>
          <t>https://www2.census.gov/programs-surveys/susb/datasets/2022/msa_3digitnaics_2022.txt</t>
        </is>
      </c>
    </row>
    <row r="5">
      <c r="A5" t="inlineStr">
        <is>
          <t>Highest small-firm shares</t>
        </is>
      </c>
      <c r="B5" t="inlineStr">
        <is>
          <t>St. George, UT</t>
        </is>
      </c>
      <c r="C5" s="7" t="n">
        <v>69.2</v>
      </c>
      <c r="D5" t="n">
        <v>69.23340892814514</v>
      </c>
      <c r="E5" s="6" t="n">
        <v>67024</v>
      </c>
      <c r="F5" s="6" t="n">
        <v>46403</v>
      </c>
      <c r="G5" s="6" t="n">
        <v>20621</v>
      </c>
      <c r="H5" s="7" t="n">
        <v>30.8</v>
      </c>
      <c r="I5" t="inlineStr">
        <is>
          <t>https://www2.census.gov/programs-surveys/susb/datasets/2022/msa_3digitnaics_2022.txt</t>
        </is>
      </c>
    </row>
    <row r="6">
      <c r="A6" t="inlineStr">
        <is>
          <t>Highest small-firm shares</t>
        </is>
      </c>
      <c r="B6" t="inlineStr">
        <is>
          <t>Missoula, MT</t>
        </is>
      </c>
      <c r="C6" s="7" t="n">
        <v>68.09999999999999</v>
      </c>
      <c r="D6" t="n">
        <v>68.14495644156773</v>
      </c>
      <c r="E6" s="6" t="n">
        <v>53147</v>
      </c>
      <c r="F6" s="6" t="n">
        <v>36217</v>
      </c>
      <c r="G6" s="6" t="n">
        <v>16930</v>
      </c>
      <c r="H6" s="7" t="n">
        <v>31.9</v>
      </c>
      <c r="I6" t="inlineStr">
        <is>
          <t>https://www2.census.gov/programs-surveys/susb/datasets/2022/msa_3digitnaics_2022.txt</t>
        </is>
      </c>
    </row>
    <row r="7">
      <c r="A7" t="inlineStr">
        <is>
          <t>Highest small-firm shares</t>
        </is>
      </c>
      <c r="B7" t="inlineStr">
        <is>
          <t>Bellingham, WA</t>
        </is>
      </c>
      <c r="C7" s="7" t="n">
        <v>68</v>
      </c>
      <c r="D7" t="n">
        <v>67.95774199707249</v>
      </c>
      <c r="E7" s="6" t="n">
        <v>78565</v>
      </c>
      <c r="F7" s="6" t="n">
        <v>53391</v>
      </c>
      <c r="G7" s="6" t="n">
        <v>25174</v>
      </c>
      <c r="H7" s="7" t="n">
        <v>32</v>
      </c>
      <c r="I7" t="inlineStr">
        <is>
          <t>https://www2.census.gov/programs-surveys/susb/datasets/2022/msa_3digitnaics_2022.txt</t>
        </is>
      </c>
    </row>
    <row r="8">
      <c r="A8" t="inlineStr">
        <is>
          <t>Highest small-firm shares</t>
        </is>
      </c>
      <c r="B8" t="inlineStr">
        <is>
          <t>Fairbanks-College, AK</t>
        </is>
      </c>
      <c r="C8" s="7" t="n">
        <v>67.90000000000001</v>
      </c>
      <c r="D8" t="n">
        <v>67.85012142939748</v>
      </c>
      <c r="E8" s="6" t="n">
        <v>25941</v>
      </c>
      <c r="F8" s="6" t="n">
        <v>17601</v>
      </c>
      <c r="G8" s="6" t="n">
        <v>8340</v>
      </c>
      <c r="H8" s="7" t="n">
        <v>32.1</v>
      </c>
      <c r="I8" t="inlineStr">
        <is>
          <t>https://www2.census.gov/programs-surveys/susb/datasets/2022/msa_3digitnaics_2022.txt</t>
        </is>
      </c>
    </row>
    <row r="9">
      <c r="A9" t="inlineStr">
        <is>
          <t>Highest small-firm shares</t>
        </is>
      </c>
      <c r="B9" t="inlineStr">
        <is>
          <t>Barnstable Town, MA</t>
        </is>
      </c>
      <c r="C9" s="7" t="n">
        <v>67.8</v>
      </c>
      <c r="D9" t="n">
        <v>67.7990380319079</v>
      </c>
      <c r="E9" s="6" t="n">
        <v>76094</v>
      </c>
      <c r="F9" s="6" t="n">
        <v>51591</v>
      </c>
      <c r="G9" s="6" t="n">
        <v>24503</v>
      </c>
      <c r="H9" s="7" t="n">
        <v>32.2</v>
      </c>
      <c r="I9" t="inlineStr">
        <is>
          <t>https://www2.census.gov/programs-surveys/susb/datasets/2022/msa_3digitnaics_2022.txt</t>
        </is>
      </c>
    </row>
    <row r="10">
      <c r="A10" t="inlineStr">
        <is>
          <t>Highest small-firm shares</t>
        </is>
      </c>
      <c r="B10" t="inlineStr">
        <is>
          <t>Hilton Head Island-Bluffton-Port Royal, SC</t>
        </is>
      </c>
      <c r="C10" s="7" t="n">
        <v>66.7</v>
      </c>
      <c r="D10" t="n">
        <v>66.72026202173589</v>
      </c>
      <c r="E10" s="6" t="n">
        <v>67170</v>
      </c>
      <c r="F10" s="6" t="n">
        <v>44816</v>
      </c>
      <c r="G10" s="6" t="n">
        <v>22354</v>
      </c>
      <c r="H10" s="7" t="n">
        <v>33.3</v>
      </c>
      <c r="I10" t="inlineStr">
        <is>
          <t>https://www2.census.gov/programs-surveys/susb/datasets/2022/msa_3digitnaics_2022.txt</t>
        </is>
      </c>
    </row>
    <row r="11">
      <c r="A11" t="inlineStr">
        <is>
          <t>Highest small-firm shares</t>
        </is>
      </c>
      <c r="B11" t="inlineStr">
        <is>
          <t>Bend, OR</t>
        </is>
      </c>
      <c r="C11" s="7" t="n">
        <v>66.5</v>
      </c>
      <c r="D11" t="n">
        <v>66.46883933676386</v>
      </c>
      <c r="E11" s="6" t="n">
        <v>87450</v>
      </c>
      <c r="F11" s="6" t="n">
        <v>58127</v>
      </c>
      <c r="G11" s="6" t="n">
        <v>29323</v>
      </c>
      <c r="H11" s="7" t="n">
        <v>33.5</v>
      </c>
      <c r="I11" t="inlineStr">
        <is>
          <t>https://www2.census.gov/programs-surveys/susb/datasets/2022/msa_3digitnaics_2022.txt</t>
        </is>
      </c>
    </row>
    <row r="12">
      <c r="A12" t="inlineStr">
        <is>
          <t>Lowest small-firm shares</t>
        </is>
      </c>
      <c r="B12" t="inlineStr">
        <is>
          <t>Rochester, MN</t>
        </is>
      </c>
      <c r="C12" s="7" t="n">
        <v>35.7</v>
      </c>
      <c r="D12" t="n">
        <v>35.67827333277127</v>
      </c>
      <c r="E12" s="6" t="n">
        <v>118610</v>
      </c>
      <c r="F12" s="6" t="n">
        <v>42318</v>
      </c>
      <c r="G12" s="6" t="n">
        <v>76292</v>
      </c>
      <c r="H12" s="7" t="n">
        <v>64.3</v>
      </c>
      <c r="I12" t="inlineStr">
        <is>
          <t>https://www2.census.gov/programs-surveys/susb/datasets/2022/msa_3digitnaics_2022.txt</t>
        </is>
      </c>
    </row>
    <row r="13">
      <c r="A13" t="inlineStr">
        <is>
          <t>Lowest small-firm shares</t>
        </is>
      </c>
      <c r="B13" t="inlineStr">
        <is>
          <t>Durham-Chapel Hill, NC</t>
        </is>
      </c>
      <c r="C13" s="7" t="n">
        <v>35.9</v>
      </c>
      <c r="D13" t="n">
        <v>35.89144500359453</v>
      </c>
      <c r="E13" s="6" t="n">
        <v>294892</v>
      </c>
      <c r="F13" s="6" t="n">
        <v>105841</v>
      </c>
      <c r="G13" s="6" t="n">
        <v>189051</v>
      </c>
      <c r="H13" s="7" t="n">
        <v>64.09999999999999</v>
      </c>
      <c r="I13" t="inlineStr">
        <is>
          <t>https://www2.census.gov/programs-surveys/susb/datasets/2022/msa_3digitnaics_2022.txt</t>
        </is>
      </c>
    </row>
    <row r="14">
      <c r="A14" t="inlineStr">
        <is>
          <t>Lowest small-firm shares</t>
        </is>
      </c>
      <c r="B14" t="inlineStr">
        <is>
          <t>Bloomington, IL</t>
        </is>
      </c>
      <c r="C14" s="7" t="n">
        <v>37</v>
      </c>
      <c r="D14" t="n">
        <v>36.98342127112516</v>
      </c>
      <c r="E14" s="6" t="n">
        <v>74674</v>
      </c>
      <c r="F14" s="6" t="n">
        <v>27617</v>
      </c>
      <c r="G14" s="6" t="n">
        <v>47057</v>
      </c>
      <c r="H14" s="7" t="n">
        <v>63</v>
      </c>
      <c r="I14" t="inlineStr">
        <is>
          <t>https://www2.census.gov/programs-surveys/susb/datasets/2022/msa_3digitnaics_2022.txt</t>
        </is>
      </c>
    </row>
    <row r="15">
      <c r="A15" t="inlineStr">
        <is>
          <t>Lowest small-firm shares</t>
        </is>
      </c>
      <c r="B15" t="inlineStr">
        <is>
          <t>San Jose-Sunnyvale-Santa Clara, CA</t>
        </is>
      </c>
      <c r="C15" s="7" t="n">
        <v>37</v>
      </c>
      <c r="D15" t="n">
        <v>36.99317506409547</v>
      </c>
      <c r="E15" s="6" t="n">
        <v>1147117</v>
      </c>
      <c r="F15" s="6" t="n">
        <v>424355</v>
      </c>
      <c r="G15" s="6" t="n">
        <v>722762</v>
      </c>
      <c r="H15" s="7" t="n">
        <v>63</v>
      </c>
      <c r="I15" t="inlineStr">
        <is>
          <t>https://www2.census.gov/programs-surveys/susb/datasets/2022/msa_3digitnaics_2022.txt</t>
        </is>
      </c>
    </row>
    <row r="16">
      <c r="A16" t="inlineStr">
        <is>
          <t>Lowest small-firm shares</t>
        </is>
      </c>
      <c r="B16" t="inlineStr">
        <is>
          <t>Columbus, IN</t>
        </is>
      </c>
      <c r="C16" s="7" t="n">
        <v>37.5</v>
      </c>
      <c r="D16" t="n">
        <v>37.49230904456359</v>
      </c>
      <c r="E16" s="6" t="n">
        <v>45508</v>
      </c>
      <c r="F16" s="6" t="n">
        <v>17062</v>
      </c>
      <c r="G16" s="6" t="n">
        <v>28446</v>
      </c>
      <c r="H16" s="7" t="n">
        <v>62.5</v>
      </c>
      <c r="I16" t="inlineStr">
        <is>
          <t>https://www2.census.gov/programs-surveys/susb/datasets/2022/msa_3digitnaics_2022.txt</t>
        </is>
      </c>
    </row>
    <row r="17">
      <c r="A17" t="inlineStr">
        <is>
          <t>Lowest small-firm shares</t>
        </is>
      </c>
      <c r="B17" t="inlineStr">
        <is>
          <t>Ithaca, NY</t>
        </is>
      </c>
      <c r="C17" s="7" t="n">
        <v>37.6</v>
      </c>
      <c r="D17" t="n">
        <v>37.56497151648717</v>
      </c>
      <c r="E17" s="6" t="n">
        <v>48098</v>
      </c>
      <c r="F17" s="6" t="n">
        <v>18068</v>
      </c>
      <c r="G17" s="6" t="n">
        <v>30030</v>
      </c>
      <c r="H17" s="7" t="n">
        <v>62.4</v>
      </c>
      <c r="I17" t="inlineStr">
        <is>
          <t>https://www2.census.gov/programs-surveys/susb/datasets/2022/msa_3digitnaics_2022.txt</t>
        </is>
      </c>
    </row>
    <row r="18">
      <c r="A18" t="inlineStr">
        <is>
          <t>Lowest small-firm shares</t>
        </is>
      </c>
      <c r="B18" t="inlineStr">
        <is>
          <t>Spartanburg, SC</t>
        </is>
      </c>
      <c r="C18" s="7" t="n">
        <v>37.6</v>
      </c>
      <c r="D18" t="n">
        <v>37.58816207993362</v>
      </c>
      <c r="E18" s="6" t="n">
        <v>151851</v>
      </c>
      <c r="F18" s="6" t="n">
        <v>57078</v>
      </c>
      <c r="G18" s="6" t="n">
        <v>94773</v>
      </c>
      <c r="H18" s="7" t="n">
        <v>62.4</v>
      </c>
      <c r="I18" t="inlineStr">
        <is>
          <t>https://www2.census.gov/programs-surveys/susb/datasets/2022/msa_3digitnaics_2022.txt</t>
        </is>
      </c>
    </row>
    <row r="19">
      <c r="A19" t="inlineStr">
        <is>
          <t>Lowest small-firm shares</t>
        </is>
      </c>
      <c r="B19" t="inlineStr">
        <is>
          <t>Hinesville, GA</t>
        </is>
      </c>
      <c r="C19" s="7" t="n">
        <v>37.6</v>
      </c>
      <c r="D19" t="n">
        <v>37.623695725345</v>
      </c>
      <c r="E19" s="6" t="n">
        <v>14855</v>
      </c>
      <c r="F19" s="6" t="n">
        <v>5589</v>
      </c>
      <c r="G19" s="6" t="n">
        <v>9266</v>
      </c>
      <c r="H19" s="7" t="n">
        <v>62.4</v>
      </c>
      <c r="I19" t="inlineStr">
        <is>
          <t>https://www2.census.gov/programs-surveys/susb/datasets/2022/msa_3digitnaics_2022.txt</t>
        </is>
      </c>
    </row>
    <row r="20">
      <c r="A20" t="inlineStr">
        <is>
          <t>Lowest small-firm shares</t>
        </is>
      </c>
      <c r="B20" t="inlineStr">
        <is>
          <t>Morgantown, WV</t>
        </is>
      </c>
      <c r="C20" s="7" t="n">
        <v>38.1</v>
      </c>
      <c r="D20" t="n">
        <v>38.06903991370011</v>
      </c>
      <c r="E20" s="6" t="n">
        <v>55620</v>
      </c>
      <c r="F20" s="6" t="n">
        <v>21174</v>
      </c>
      <c r="G20" s="6" t="n">
        <v>34446</v>
      </c>
      <c r="H20" s="7" t="n">
        <v>61.9</v>
      </c>
      <c r="I20" t="inlineStr">
        <is>
          <t>https://www2.census.gov/programs-surveys/susb/datasets/2022/msa_3digitnaics_2022.txt</t>
        </is>
      </c>
    </row>
    <row r="21">
      <c r="A21" t="inlineStr">
        <is>
          <t>Lowest small-firm shares</t>
        </is>
      </c>
      <c r="B21" t="inlineStr">
        <is>
          <t>Elkhart-Goshen, IN</t>
        </is>
      </c>
      <c r="C21" s="7" t="n">
        <v>38.4</v>
      </c>
      <c r="D21" t="n">
        <v>38.39481812540527</v>
      </c>
      <c r="E21" s="6" t="n">
        <v>143423</v>
      </c>
      <c r="F21" s="6" t="n">
        <v>55067</v>
      </c>
      <c r="G21" s="6" t="n">
        <v>88356</v>
      </c>
      <c r="H21" s="7" t="n">
        <v>61.6</v>
      </c>
      <c r="I21" t="inlineStr">
        <is>
          <t>https://www2.census.gov/programs-surveys/susb/datasets/2022/msa_3digitnaics_2022.txt</t>
        </is>
      </c>
    </row>
  </sheetData>
  <autoFilter ref="A1:I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0"/>
  <sheetViews>
    <sheetView workbookViewId="0">
      <pane ySplit="1" topLeftCell="A2" activePane="bottomLeft" state="frozen"/>
      <selection pane="bottomLeft" activeCell="A1" sqref="A1"/>
    </sheetView>
  </sheetViews>
  <sheetFormatPr baseColWidth="8" defaultRowHeight="14.5"/>
  <cols>
    <col width="12" customWidth="1" style="34" min="1" max="1"/>
    <col width="48" customWidth="1" style="34" min="2" max="2"/>
    <col width="12" customWidth="1" style="34" min="3" max="3"/>
    <col width="14" customWidth="1" style="34" min="4" max="4"/>
    <col width="24" customWidth="1" style="34" min="5" max="5"/>
    <col width="14" customWidth="1" style="34" min="6" max="6"/>
    <col width="16" customWidth="1" style="34" min="7" max="9"/>
    <col width="55" customWidth="1" style="34" min="10" max="10"/>
  </cols>
  <sheetData>
    <row r="1" ht="43.5" customHeight="1" s="34">
      <c r="A1" s="3" t="inlineStr">
        <is>
          <t>Rank (by small-firm share)</t>
        </is>
      </c>
      <c r="B1" s="3" t="inlineStr">
        <is>
          <t>Metro Area</t>
        </is>
      </c>
      <c r="C1" s="3" t="inlineStr">
        <is>
          <t>CBSA code</t>
        </is>
      </c>
      <c r="D1" s="3" t="inlineStr">
        <is>
          <t>Share &lt;500 (%)</t>
        </is>
      </c>
      <c r="E1" s="3" t="inlineStr">
        <is>
          <t>Share &lt;500 (full precision)</t>
        </is>
      </c>
      <c r="F1" s="3" t="inlineStr">
        <is>
          <t>Share 500+ (%)</t>
        </is>
      </c>
      <c r="G1" s="3" t="inlineStr">
        <is>
          <t>Total employment</t>
        </is>
      </c>
      <c r="H1" s="3" t="inlineStr">
        <is>
          <t>Employment &lt;500</t>
        </is>
      </c>
      <c r="I1" s="3" t="inlineStr">
        <is>
          <t>Employment 500+</t>
        </is>
      </c>
      <c r="J1" s="3" t="inlineStr">
        <is>
          <t>Source URL</t>
        </is>
      </c>
    </row>
    <row r="2">
      <c r="A2" t="n">
        <v>1</v>
      </c>
      <c r="B2" t="inlineStr">
        <is>
          <t>Bozeman, MT Metro Area</t>
        </is>
      </c>
      <c r="C2" t="inlineStr">
        <is>
          <t>14580</t>
        </is>
      </c>
      <c r="D2" s="7" t="n">
        <v>74.59999999999999</v>
      </c>
      <c r="E2" t="n">
        <v>74.58572367369412</v>
      </c>
      <c r="F2" s="7" t="n">
        <v>25.4</v>
      </c>
      <c r="G2" s="6" t="n">
        <v>56303</v>
      </c>
      <c r="H2" s="6" t="n">
        <v>41994</v>
      </c>
      <c r="I2" s="6" t="n">
        <v>14309</v>
      </c>
      <c r="J2" t="inlineStr">
        <is>
          <t>https://www2.census.gov/programs-surveys/susb/datasets/2022/msa_3digitnaics_2022.txt</t>
        </is>
      </c>
    </row>
    <row r="3">
      <c r="A3" t="n">
        <v>2</v>
      </c>
      <c r="B3" t="inlineStr">
        <is>
          <t>Santa Cruz-Watsonville, CA Metro Area</t>
        </is>
      </c>
      <c r="C3" t="inlineStr">
        <is>
          <t>42100</t>
        </is>
      </c>
      <c r="D3" s="7" t="n">
        <v>70.09999999999999</v>
      </c>
      <c r="E3" t="n">
        <v>70.07606594077541</v>
      </c>
      <c r="F3" s="7" t="n">
        <v>29.9</v>
      </c>
      <c r="G3" s="6" t="n">
        <v>78616</v>
      </c>
      <c r="H3" s="6" t="n">
        <v>55091</v>
      </c>
      <c r="I3" s="6" t="n">
        <v>23525</v>
      </c>
      <c r="J3" t="inlineStr">
        <is>
          <t>https://www2.census.gov/programs-surveys/susb/datasets/2022/msa_3digitnaics_2022.txt</t>
        </is>
      </c>
    </row>
    <row r="4">
      <c r="A4" t="n">
        <v>3</v>
      </c>
      <c r="B4" t="inlineStr">
        <is>
          <t>Kingston, NY Metro Area</t>
        </is>
      </c>
      <c r="C4" t="inlineStr">
        <is>
          <t>28740</t>
        </is>
      </c>
      <c r="D4" s="7" t="n">
        <v>69.40000000000001</v>
      </c>
      <c r="E4" t="n">
        <v>69.36069203204528</v>
      </c>
      <c r="F4" s="7" t="n">
        <v>30.6</v>
      </c>
      <c r="G4" s="6" t="n">
        <v>43813</v>
      </c>
      <c r="H4" s="6" t="n">
        <v>30389</v>
      </c>
      <c r="I4" s="6" t="n">
        <v>13424</v>
      </c>
      <c r="J4" t="inlineStr">
        <is>
          <t>https://www2.census.gov/programs-surveys/susb/datasets/2022/msa_3digitnaics_2022.txt</t>
        </is>
      </c>
    </row>
    <row r="5">
      <c r="A5" t="n">
        <v>4</v>
      </c>
      <c r="B5" t="inlineStr">
        <is>
          <t>St. George, UT Metro Area</t>
        </is>
      </c>
      <c r="C5" t="inlineStr">
        <is>
          <t>41100</t>
        </is>
      </c>
      <c r="D5" s="7" t="n">
        <v>69.2</v>
      </c>
      <c r="E5" t="n">
        <v>69.23340892814514</v>
      </c>
      <c r="F5" s="7" t="n">
        <v>30.8</v>
      </c>
      <c r="G5" s="6" t="n">
        <v>67024</v>
      </c>
      <c r="H5" s="6" t="n">
        <v>46403</v>
      </c>
      <c r="I5" s="6" t="n">
        <v>20621</v>
      </c>
      <c r="J5" t="inlineStr">
        <is>
          <t>https://www2.census.gov/programs-surveys/susb/datasets/2022/msa_3digitnaics_2022.txt</t>
        </is>
      </c>
    </row>
    <row r="6">
      <c r="A6" t="n">
        <v>5</v>
      </c>
      <c r="B6" t="inlineStr">
        <is>
          <t>Missoula, MT Metro Area</t>
        </is>
      </c>
      <c r="C6" t="inlineStr">
        <is>
          <t>33540</t>
        </is>
      </c>
      <c r="D6" s="7" t="n">
        <v>68.09999999999999</v>
      </c>
      <c r="E6" t="n">
        <v>68.14495644156773</v>
      </c>
      <c r="F6" s="7" t="n">
        <v>31.9</v>
      </c>
      <c r="G6" s="6" t="n">
        <v>53147</v>
      </c>
      <c r="H6" s="6" t="n">
        <v>36217</v>
      </c>
      <c r="I6" s="6" t="n">
        <v>16930</v>
      </c>
      <c r="J6" t="inlineStr">
        <is>
          <t>https://www2.census.gov/programs-surveys/susb/datasets/2022/msa_3digitnaics_2022.txt</t>
        </is>
      </c>
    </row>
    <row r="7">
      <c r="A7" t="n">
        <v>6</v>
      </c>
      <c r="B7" t="inlineStr">
        <is>
          <t>Bellingham, WA Metro Area</t>
        </is>
      </c>
      <c r="C7" t="inlineStr">
        <is>
          <t>13380</t>
        </is>
      </c>
      <c r="D7" s="7" t="n">
        <v>68</v>
      </c>
      <c r="E7" t="n">
        <v>67.95774199707249</v>
      </c>
      <c r="F7" s="7" t="n">
        <v>32</v>
      </c>
      <c r="G7" s="6" t="n">
        <v>78565</v>
      </c>
      <c r="H7" s="6" t="n">
        <v>53391</v>
      </c>
      <c r="I7" s="6" t="n">
        <v>25174</v>
      </c>
      <c r="J7" t="inlineStr">
        <is>
          <t>https://www2.census.gov/programs-surveys/susb/datasets/2022/msa_3digitnaics_2022.txt</t>
        </is>
      </c>
    </row>
    <row r="8">
      <c r="A8" t="n">
        <v>7</v>
      </c>
      <c r="B8" t="inlineStr">
        <is>
          <t>Fairbanks-College, AK Metro Area</t>
        </is>
      </c>
      <c r="C8" t="inlineStr">
        <is>
          <t>21820</t>
        </is>
      </c>
      <c r="D8" s="7" t="n">
        <v>67.90000000000001</v>
      </c>
      <c r="E8" t="n">
        <v>67.85012142939748</v>
      </c>
      <c r="F8" s="7" t="n">
        <v>32.1</v>
      </c>
      <c r="G8" s="6" t="n">
        <v>25941</v>
      </c>
      <c r="H8" s="6" t="n">
        <v>17601</v>
      </c>
      <c r="I8" s="6" t="n">
        <v>8340</v>
      </c>
      <c r="J8" t="inlineStr">
        <is>
          <t>https://www2.census.gov/programs-surveys/susb/datasets/2022/msa_3digitnaics_2022.txt</t>
        </is>
      </c>
    </row>
    <row r="9">
      <c r="A9" t="n">
        <v>8</v>
      </c>
      <c r="B9" t="inlineStr">
        <is>
          <t>Barnstable Town, MA Metro Area</t>
        </is>
      </c>
      <c r="C9" t="inlineStr">
        <is>
          <t>12700</t>
        </is>
      </c>
      <c r="D9" s="7" t="n">
        <v>67.8</v>
      </c>
      <c r="E9" t="n">
        <v>67.7990380319079</v>
      </c>
      <c r="F9" s="7" t="n">
        <v>32.2</v>
      </c>
      <c r="G9" s="6" t="n">
        <v>76094</v>
      </c>
      <c r="H9" s="6" t="n">
        <v>51591</v>
      </c>
      <c r="I9" s="6" t="n">
        <v>24503</v>
      </c>
      <c r="J9" t="inlineStr">
        <is>
          <t>https://www2.census.gov/programs-surveys/susb/datasets/2022/msa_3digitnaics_2022.txt</t>
        </is>
      </c>
    </row>
    <row r="10">
      <c r="A10" t="n">
        <v>9</v>
      </c>
      <c r="B10" t="inlineStr">
        <is>
          <t>Hilton Head Island-Bluffton-Port Royal, SC Metro Area</t>
        </is>
      </c>
      <c r="C10" t="inlineStr">
        <is>
          <t>25940</t>
        </is>
      </c>
      <c r="D10" s="7" t="n">
        <v>66.7</v>
      </c>
      <c r="E10" t="n">
        <v>66.72026202173589</v>
      </c>
      <c r="F10" s="7" t="n">
        <v>33.3</v>
      </c>
      <c r="G10" s="6" t="n">
        <v>67170</v>
      </c>
      <c r="H10" s="6" t="n">
        <v>44816</v>
      </c>
      <c r="I10" s="6" t="n">
        <v>22354</v>
      </c>
      <c r="J10" t="inlineStr">
        <is>
          <t>https://www2.census.gov/programs-surveys/susb/datasets/2022/msa_3digitnaics_2022.txt</t>
        </is>
      </c>
    </row>
    <row r="11">
      <c r="A11" t="n">
        <v>10</v>
      </c>
      <c r="B11" t="inlineStr">
        <is>
          <t>Bend, OR Metro Area</t>
        </is>
      </c>
      <c r="C11" t="inlineStr">
        <is>
          <t>13460</t>
        </is>
      </c>
      <c r="D11" s="7" t="n">
        <v>66.5</v>
      </c>
      <c r="E11" t="n">
        <v>66.46883933676386</v>
      </c>
      <c r="F11" s="7" t="n">
        <v>33.5</v>
      </c>
      <c r="G11" s="6" t="n">
        <v>87450</v>
      </c>
      <c r="H11" s="6" t="n">
        <v>58127</v>
      </c>
      <c r="I11" s="6" t="n">
        <v>29323</v>
      </c>
      <c r="J11" t="inlineStr">
        <is>
          <t>https://www2.census.gov/programs-surveys/susb/datasets/2022/msa_3digitnaics_2022.txt</t>
        </is>
      </c>
    </row>
    <row r="12">
      <c r="A12" t="n">
        <v>11</v>
      </c>
      <c r="B12" t="inlineStr">
        <is>
          <t>San Luis Obispo-Paso Robles, CA Metro Area</t>
        </is>
      </c>
      <c r="C12" t="inlineStr">
        <is>
          <t>42020</t>
        </is>
      </c>
      <c r="D12" s="7" t="n">
        <v>66.3</v>
      </c>
      <c r="E12" t="n">
        <v>66.27289727142943</v>
      </c>
      <c r="F12" s="7" t="n">
        <v>33.7</v>
      </c>
      <c r="G12" s="6" t="n">
        <v>99466</v>
      </c>
      <c r="H12" s="6" t="n">
        <v>65919</v>
      </c>
      <c r="I12" s="6" t="n">
        <v>33547</v>
      </c>
      <c r="J12" t="inlineStr">
        <is>
          <t>https://www2.census.gov/programs-surveys/susb/datasets/2022/msa_3digitnaics_2022.txt</t>
        </is>
      </c>
    </row>
    <row r="13">
      <c r="A13" t="n">
        <v>12</v>
      </c>
      <c r="B13" t="inlineStr">
        <is>
          <t>Napa, CA Metro Area</t>
        </is>
      </c>
      <c r="C13" t="inlineStr">
        <is>
          <t>34900</t>
        </is>
      </c>
      <c r="D13" s="7" t="n">
        <v>65.90000000000001</v>
      </c>
      <c r="E13" t="n">
        <v>65.91303280072447</v>
      </c>
      <c r="F13" s="7" t="n">
        <v>34.1</v>
      </c>
      <c r="G13" s="6" t="n">
        <v>65151</v>
      </c>
      <c r="H13" s="6" t="n">
        <v>42943</v>
      </c>
      <c r="I13" s="6" t="n">
        <v>22208</v>
      </c>
      <c r="J13" t="inlineStr">
        <is>
          <t>https://www2.census.gov/programs-surveys/susb/datasets/2022/msa_3digitnaics_2022.txt</t>
        </is>
      </c>
    </row>
    <row r="14">
      <c r="A14" t="n">
        <v>13</v>
      </c>
      <c r="B14" t="inlineStr">
        <is>
          <t>Coeur d'Alene, ID Metro Area</t>
        </is>
      </c>
      <c r="C14" t="inlineStr">
        <is>
          <t>17660</t>
        </is>
      </c>
      <c r="D14" s="7" t="n">
        <v>65.09999999999999</v>
      </c>
      <c r="E14" t="n">
        <v>65.12226309059623</v>
      </c>
      <c r="F14" s="7" t="n">
        <v>34.9</v>
      </c>
      <c r="G14" s="6" t="n">
        <v>63347</v>
      </c>
      <c r="H14" s="6" t="n">
        <v>41253</v>
      </c>
      <c r="I14" s="6" t="n">
        <v>22094</v>
      </c>
      <c r="J14" t="inlineStr">
        <is>
          <t>https://www2.census.gov/programs-surveys/susb/datasets/2022/msa_3digitnaics_2022.txt</t>
        </is>
      </c>
    </row>
    <row r="15">
      <c r="A15" t="n">
        <v>14</v>
      </c>
      <c r="B15" t="inlineStr">
        <is>
          <t>Bremerton-Silverdale-Port Orchard, WA Metro Area</t>
        </is>
      </c>
      <c r="C15" t="inlineStr">
        <is>
          <t>14740</t>
        </is>
      </c>
      <c r="D15" s="7" t="n">
        <v>64.8</v>
      </c>
      <c r="E15" t="n">
        <v>64.78656828694442</v>
      </c>
      <c r="F15" s="7" t="n">
        <v>35.2</v>
      </c>
      <c r="G15" s="6" t="n">
        <v>62479</v>
      </c>
      <c r="H15" s="6" t="n">
        <v>40478</v>
      </c>
      <c r="I15" s="6" t="n">
        <v>22001</v>
      </c>
      <c r="J15" t="inlineStr">
        <is>
          <t>https://www2.census.gov/programs-surveys/susb/datasets/2022/msa_3digitnaics_2022.txt</t>
        </is>
      </c>
    </row>
    <row r="16">
      <c r="A16" t="n">
        <v>15</v>
      </c>
      <c r="B16" t="inlineStr">
        <is>
          <t>Grants Pass, OR Metro Area</t>
        </is>
      </c>
      <c r="C16" t="inlineStr">
        <is>
          <t>24420</t>
        </is>
      </c>
      <c r="D16" s="7" t="n">
        <v>64.5</v>
      </c>
      <c r="E16" t="n">
        <v>64.50681837195683</v>
      </c>
      <c r="F16" s="7" t="n">
        <v>35.5</v>
      </c>
      <c r="G16" s="6" t="n">
        <v>23906</v>
      </c>
      <c r="H16" s="6" t="n">
        <v>15421</v>
      </c>
      <c r="I16" s="6" t="n">
        <v>8485</v>
      </c>
      <c r="J16" t="inlineStr">
        <is>
          <t>https://www2.census.gov/programs-surveys/susb/datasets/2022/msa_3digitnaics_2022.txt</t>
        </is>
      </c>
    </row>
    <row r="17">
      <c r="A17" t="n">
        <v>16</v>
      </c>
      <c r="B17" t="inlineStr">
        <is>
          <t>Santa Fe, NM Metro Area</t>
        </is>
      </c>
      <c r="C17" t="inlineStr">
        <is>
          <t>42140</t>
        </is>
      </c>
      <c r="D17" s="7" t="n">
        <v>64.5</v>
      </c>
      <c r="E17" t="n">
        <v>64.46029802862088</v>
      </c>
      <c r="F17" s="7" t="n">
        <v>35.5</v>
      </c>
      <c r="G17" s="6" t="n">
        <v>47378</v>
      </c>
      <c r="H17" s="6" t="n">
        <v>30540</v>
      </c>
      <c r="I17" s="6" t="n">
        <v>16838</v>
      </c>
      <c r="J17" t="inlineStr">
        <is>
          <t>https://www2.census.gov/programs-surveys/susb/datasets/2022/msa_3digitnaics_2022.txt</t>
        </is>
      </c>
    </row>
    <row r="18">
      <c r="A18" t="n">
        <v>17</v>
      </c>
      <c r="B18" t="inlineStr">
        <is>
          <t>Wenatchee-East Wenatchee, WA Metro Area</t>
        </is>
      </c>
      <c r="C18" t="inlineStr">
        <is>
          <t>48300</t>
        </is>
      </c>
      <c r="D18" s="7" t="n">
        <v>64.2</v>
      </c>
      <c r="E18" t="n">
        <v>64.18008145849495</v>
      </c>
      <c r="F18" s="7" t="n">
        <v>35.8</v>
      </c>
      <c r="G18" s="6" t="n">
        <v>41248</v>
      </c>
      <c r="H18" s="6" t="n">
        <v>26473</v>
      </c>
      <c r="I18" s="6" t="n">
        <v>14775</v>
      </c>
      <c r="J18" t="inlineStr">
        <is>
          <t>https://www2.census.gov/programs-surveys/susb/datasets/2022/msa_3digitnaics_2022.txt</t>
        </is>
      </c>
    </row>
    <row r="19">
      <c r="A19" t="n">
        <v>18</v>
      </c>
      <c r="B19" t="inlineStr">
        <is>
          <t>Traverse City, MI Metro Area</t>
        </is>
      </c>
      <c r="C19" t="inlineStr">
        <is>
          <t>45900</t>
        </is>
      </c>
      <c r="D19" s="7" t="n">
        <v>63.8</v>
      </c>
      <c r="E19" t="n">
        <v>63.84313991553166</v>
      </c>
      <c r="F19" s="7" t="n">
        <v>36.2</v>
      </c>
      <c r="G19" s="6" t="n">
        <v>58957</v>
      </c>
      <c r="H19" s="6" t="n">
        <v>37640</v>
      </c>
      <c r="I19" s="6" t="n">
        <v>21317</v>
      </c>
      <c r="J19" t="inlineStr">
        <is>
          <t>https://www2.census.gov/programs-surveys/susb/datasets/2022/msa_3digitnaics_2022.txt</t>
        </is>
      </c>
    </row>
    <row r="20">
      <c r="A20" t="n">
        <v>19</v>
      </c>
      <c r="B20" t="inlineStr">
        <is>
          <t>Naples-Marco Island, FL Metro Area</t>
        </is>
      </c>
      <c r="C20" t="inlineStr">
        <is>
          <t>34940</t>
        </is>
      </c>
      <c r="D20" s="7" t="n">
        <v>63.8</v>
      </c>
      <c r="E20" t="n">
        <v>63.79102524365464</v>
      </c>
      <c r="F20" s="7" t="n">
        <v>36.2</v>
      </c>
      <c r="G20" s="6" t="n">
        <v>145185</v>
      </c>
      <c r="H20" s="6" t="n">
        <v>92615</v>
      </c>
      <c r="I20" s="6" t="n">
        <v>52570</v>
      </c>
      <c r="J20" t="inlineStr">
        <is>
          <t>https://www2.census.gov/programs-surveys/susb/datasets/2022/msa_3digitnaics_2022.txt</t>
        </is>
      </c>
    </row>
    <row r="21">
      <c r="A21" t="n">
        <v>20</v>
      </c>
      <c r="B21" t="inlineStr">
        <is>
          <t>Helena, MT Metro Area</t>
        </is>
      </c>
      <c r="C21" t="inlineStr">
        <is>
          <t>25740</t>
        </is>
      </c>
      <c r="D21" s="7" t="n">
        <v>63.6</v>
      </c>
      <c r="E21" t="n">
        <v>63.63759571728671</v>
      </c>
      <c r="F21" s="7" t="n">
        <v>36.4</v>
      </c>
      <c r="G21" s="6" t="n">
        <v>29514</v>
      </c>
      <c r="H21" s="6" t="n">
        <v>18782</v>
      </c>
      <c r="I21" s="6" t="n">
        <v>10732</v>
      </c>
      <c r="J21" t="inlineStr">
        <is>
          <t>https://www2.census.gov/programs-surveys/susb/datasets/2022/msa_3digitnaics_2022.txt</t>
        </is>
      </c>
    </row>
    <row r="22">
      <c r="A22" t="n">
        <v>21</v>
      </c>
      <c r="B22" t="inlineStr">
        <is>
          <t>Rapid City, SD Metro Area</t>
        </is>
      </c>
      <c r="C22" t="inlineStr">
        <is>
          <t>39660</t>
        </is>
      </c>
      <c r="D22" s="7" t="n">
        <v>63.6</v>
      </c>
      <c r="E22" t="n">
        <v>63.61225102592333</v>
      </c>
      <c r="F22" s="7" t="n">
        <v>36.4</v>
      </c>
      <c r="G22" s="6" t="n">
        <v>59946</v>
      </c>
      <c r="H22" s="6" t="n">
        <v>38133</v>
      </c>
      <c r="I22" s="6" t="n">
        <v>21813</v>
      </c>
      <c r="J22" t="inlineStr">
        <is>
          <t>https://www2.census.gov/programs-surveys/susb/datasets/2022/msa_3digitnaics_2022.txt</t>
        </is>
      </c>
    </row>
    <row r="23">
      <c r="A23" t="n">
        <v>22</v>
      </c>
      <c r="B23" t="inlineStr">
        <is>
          <t>Casper, WY Metro Area</t>
        </is>
      </c>
      <c r="C23" t="inlineStr">
        <is>
          <t>16220</t>
        </is>
      </c>
      <c r="D23" s="7" t="n">
        <v>63.5</v>
      </c>
      <c r="E23" t="n">
        <v>63.45196850393701</v>
      </c>
      <c r="F23" s="7" t="n">
        <v>36.5</v>
      </c>
      <c r="G23" s="6" t="n">
        <v>31750</v>
      </c>
      <c r="H23" s="6" t="n">
        <v>20146</v>
      </c>
      <c r="I23" s="6" t="n">
        <v>11604</v>
      </c>
      <c r="J23" t="inlineStr">
        <is>
          <t>https://www2.census.gov/programs-surveys/susb/datasets/2022/msa_3digitnaics_2022.txt</t>
        </is>
      </c>
    </row>
    <row r="24">
      <c r="A24" t="n">
        <v>23</v>
      </c>
      <c r="B24" t="inlineStr">
        <is>
          <t>Eugene-Springfield, OR Metro Area</t>
        </is>
      </c>
      <c r="C24" t="inlineStr">
        <is>
          <t>21660</t>
        </is>
      </c>
      <c r="D24" s="7" t="n">
        <v>63.4</v>
      </c>
      <c r="E24" t="n">
        <v>63.38946608493675</v>
      </c>
      <c r="F24" s="7" t="n">
        <v>36.6</v>
      </c>
      <c r="G24" s="6" t="n">
        <v>127436</v>
      </c>
      <c r="H24" s="6" t="n">
        <v>80781</v>
      </c>
      <c r="I24" s="6" t="n">
        <v>46655</v>
      </c>
      <c r="J24" t="inlineStr">
        <is>
          <t>https://www2.census.gov/programs-surveys/susb/datasets/2022/msa_3digitnaics_2022.txt</t>
        </is>
      </c>
    </row>
    <row r="25">
      <c r="A25" t="n">
        <v>24</v>
      </c>
      <c r="B25" t="inlineStr">
        <is>
          <t>Santa Rosa-Petaluma, CA Metro Area</t>
        </is>
      </c>
      <c r="C25" t="inlineStr">
        <is>
          <t>42220</t>
        </is>
      </c>
      <c r="D25" s="7" t="n">
        <v>63.1</v>
      </c>
      <c r="E25" t="n">
        <v>63.10048498255765</v>
      </c>
      <c r="F25" s="7" t="n">
        <v>36.9</v>
      </c>
      <c r="G25" s="6" t="n">
        <v>176295</v>
      </c>
      <c r="H25" s="6" t="n">
        <v>111243</v>
      </c>
      <c r="I25" s="6" t="n">
        <v>65052</v>
      </c>
      <c r="J25" t="inlineStr">
        <is>
          <t>https://www2.census.gov/programs-surveys/susb/datasets/2022/msa_3digitnaics_2022.txt</t>
        </is>
      </c>
    </row>
    <row r="26">
      <c r="A26" t="n">
        <v>25</v>
      </c>
      <c r="B26" t="inlineStr">
        <is>
          <t>Lafayette, LA Metro Area</t>
        </is>
      </c>
      <c r="C26" t="inlineStr">
        <is>
          <t>29180</t>
        </is>
      </c>
      <c r="D26" s="7" t="n">
        <v>63.1</v>
      </c>
      <c r="E26" t="n">
        <v>63.05229175269342</v>
      </c>
      <c r="F26" s="7" t="n">
        <v>36.9</v>
      </c>
      <c r="G26" s="6" t="n">
        <v>159834</v>
      </c>
      <c r="H26" s="6" t="n">
        <v>100779</v>
      </c>
      <c r="I26" s="6" t="n">
        <v>59055</v>
      </c>
      <c r="J26" t="inlineStr">
        <is>
          <t>https://www2.census.gov/programs-surveys/susb/datasets/2022/msa_3digitnaics_2022.txt</t>
        </is>
      </c>
    </row>
    <row r="27">
      <c r="A27" t="n">
        <v>26</v>
      </c>
      <c r="B27" t="inlineStr">
        <is>
          <t>Santa Maria-Santa Barbara, CA Metro Area</t>
        </is>
      </c>
      <c r="C27" t="inlineStr">
        <is>
          <t>42200</t>
        </is>
      </c>
      <c r="D27" s="7" t="n">
        <v>62.6</v>
      </c>
      <c r="E27" t="n">
        <v>62.57574693340656</v>
      </c>
      <c r="F27" s="7" t="n">
        <v>37.4</v>
      </c>
      <c r="G27" s="6" t="n">
        <v>156607</v>
      </c>
      <c r="H27" s="6" t="n">
        <v>97998</v>
      </c>
      <c r="I27" s="6" t="n">
        <v>58609</v>
      </c>
      <c r="J27" t="inlineStr">
        <is>
          <t>https://www2.census.gov/programs-surveys/susb/datasets/2022/msa_3digitnaics_2022.txt</t>
        </is>
      </c>
    </row>
    <row r="28">
      <c r="A28" t="n">
        <v>27</v>
      </c>
      <c r="B28" t="inlineStr">
        <is>
          <t>Manhattan, KS Metro Area</t>
        </is>
      </c>
      <c r="C28" t="inlineStr">
        <is>
          <t>31740</t>
        </is>
      </c>
      <c r="D28" s="7" t="n">
        <v>62.4</v>
      </c>
      <c r="E28" t="n">
        <v>62.39302735866445</v>
      </c>
      <c r="F28" s="7" t="n">
        <v>37.6</v>
      </c>
      <c r="G28" s="6" t="n">
        <v>37977</v>
      </c>
      <c r="H28" s="6" t="n">
        <v>23695</v>
      </c>
      <c r="I28" s="6" t="n">
        <v>14282</v>
      </c>
      <c r="J28" t="inlineStr">
        <is>
          <t>https://www2.census.gov/programs-surveys/susb/datasets/2022/msa_3digitnaics_2022.txt</t>
        </is>
      </c>
    </row>
    <row r="29">
      <c r="A29" t="n">
        <v>28</v>
      </c>
      <c r="B29" t="inlineStr">
        <is>
          <t>Lawrence, KS Metro Area</t>
        </is>
      </c>
      <c r="C29" t="inlineStr">
        <is>
          <t>29940</t>
        </is>
      </c>
      <c r="D29" s="7" t="n">
        <v>62</v>
      </c>
      <c r="E29" t="n">
        <v>61.99173908378929</v>
      </c>
      <c r="F29" s="7" t="n">
        <v>38</v>
      </c>
      <c r="G29" s="6" t="n">
        <v>37284</v>
      </c>
      <c r="H29" s="6" t="n">
        <v>23113</v>
      </c>
      <c r="I29" s="6" t="n">
        <v>14171</v>
      </c>
      <c r="J29" t="inlineStr">
        <is>
          <t>https://www2.census.gov/programs-surveys/susb/datasets/2022/msa_3digitnaics_2022.txt</t>
        </is>
      </c>
    </row>
    <row r="30">
      <c r="A30" t="n">
        <v>29</v>
      </c>
      <c r="B30" t="inlineStr">
        <is>
          <t>Lexington Park, MD Metro Area</t>
        </is>
      </c>
      <c r="C30" t="inlineStr">
        <is>
          <t>30500</t>
        </is>
      </c>
      <c r="D30" s="7" t="n">
        <v>61.5</v>
      </c>
      <c r="E30" t="n">
        <v>61.53621495327103</v>
      </c>
      <c r="F30" s="7" t="n">
        <v>38.5</v>
      </c>
      <c r="G30" s="6" t="n">
        <v>51360</v>
      </c>
      <c r="H30" s="6" t="n">
        <v>31605</v>
      </c>
      <c r="I30" s="6" t="n">
        <v>19755</v>
      </c>
      <c r="J30" t="inlineStr">
        <is>
          <t>https://www2.census.gov/programs-surveys/susb/datasets/2022/msa_3digitnaics_2022.txt</t>
        </is>
      </c>
    </row>
    <row r="31">
      <c r="A31" t="n">
        <v>30</v>
      </c>
      <c r="B31" t="inlineStr">
        <is>
          <t>Bay City, MI Metro Area</t>
        </is>
      </c>
      <c r="C31" t="inlineStr">
        <is>
          <t>13020</t>
        </is>
      </c>
      <c r="D31" s="7" t="n">
        <v>61.4</v>
      </c>
      <c r="E31" t="n">
        <v>61.41837960019778</v>
      </c>
      <c r="F31" s="7" t="n">
        <v>38.6</v>
      </c>
      <c r="G31" s="6" t="n">
        <v>28314</v>
      </c>
      <c r="H31" s="6" t="n">
        <v>17390</v>
      </c>
      <c r="I31" s="6" t="n">
        <v>10924</v>
      </c>
      <c r="J31" t="inlineStr">
        <is>
          <t>https://www2.census.gov/programs-surveys/susb/datasets/2022/msa_3digitnaics_2022.txt</t>
        </is>
      </c>
    </row>
    <row r="32">
      <c r="A32" t="n">
        <v>31</v>
      </c>
      <c r="B32" t="inlineStr">
        <is>
          <t>Salem, OR Metro Area</t>
        </is>
      </c>
      <c r="C32" t="inlineStr">
        <is>
          <t>41420</t>
        </is>
      </c>
      <c r="D32" s="7" t="n">
        <v>61.4</v>
      </c>
      <c r="E32" t="n">
        <v>61.399620252207</v>
      </c>
      <c r="F32" s="7" t="n">
        <v>38.6</v>
      </c>
      <c r="G32" s="6" t="n">
        <v>132193</v>
      </c>
      <c r="H32" s="6" t="n">
        <v>81166</v>
      </c>
      <c r="I32" s="6" t="n">
        <v>51027</v>
      </c>
      <c r="J32" t="inlineStr">
        <is>
          <t>https://www2.census.gov/programs-surveys/susb/datasets/2022/msa_3digitnaics_2022.txt</t>
        </is>
      </c>
    </row>
    <row r="33">
      <c r="A33" t="n">
        <v>32</v>
      </c>
      <c r="B33" t="inlineStr">
        <is>
          <t>Daphne-Fairhope-Foley, AL Metro Area</t>
        </is>
      </c>
      <c r="C33" t="inlineStr">
        <is>
          <t>19300</t>
        </is>
      </c>
      <c r="D33" s="7" t="n">
        <v>61.3</v>
      </c>
      <c r="E33" t="n">
        <v>61.30941184981553</v>
      </c>
      <c r="F33" s="7" t="n">
        <v>38.7</v>
      </c>
      <c r="G33" s="6" t="n">
        <v>69115</v>
      </c>
      <c r="H33" s="6" t="n">
        <v>42374</v>
      </c>
      <c r="I33" s="6" t="n">
        <v>26741</v>
      </c>
      <c r="J33" t="inlineStr">
        <is>
          <t>https://www2.census.gov/programs-surveys/susb/datasets/2022/msa_3digitnaics_2022.txt</t>
        </is>
      </c>
    </row>
    <row r="34">
      <c r="A34" t="n">
        <v>33</v>
      </c>
      <c r="B34" t="inlineStr">
        <is>
          <t>Houma-Bayou Cane-Thibodaux, LA Metro Area</t>
        </is>
      </c>
      <c r="C34" t="inlineStr">
        <is>
          <t>26380</t>
        </is>
      </c>
      <c r="D34" s="7" t="n">
        <v>61.3</v>
      </c>
      <c r="E34" t="n">
        <v>61.30727640680219</v>
      </c>
      <c r="F34" s="7" t="n">
        <v>38.7</v>
      </c>
      <c r="G34" s="6" t="n">
        <v>66214</v>
      </c>
      <c r="H34" s="6" t="n">
        <v>40594</v>
      </c>
      <c r="I34" s="6" t="n">
        <v>25620</v>
      </c>
      <c r="J34" t="inlineStr">
        <is>
          <t>https://www2.census.gov/programs-surveys/susb/datasets/2022/msa_3digitnaics_2022.txt</t>
        </is>
      </c>
    </row>
    <row r="35">
      <c r="A35" t="n">
        <v>34</v>
      </c>
      <c r="B35" t="inlineStr">
        <is>
          <t>Redding, CA Metro Area</t>
        </is>
      </c>
      <c r="C35" t="inlineStr">
        <is>
          <t>39820</t>
        </is>
      </c>
      <c r="D35" s="7" t="n">
        <v>61.2</v>
      </c>
      <c r="E35" t="n">
        <v>61.24002019333246</v>
      </c>
      <c r="F35" s="7" t="n">
        <v>38.8</v>
      </c>
      <c r="G35" s="6" t="n">
        <v>53483</v>
      </c>
      <c r="H35" s="6" t="n">
        <v>32753</v>
      </c>
      <c r="I35" s="6" t="n">
        <v>20730</v>
      </c>
      <c r="J35" t="inlineStr">
        <is>
          <t>https://www2.census.gov/programs-surveys/susb/datasets/2022/msa_3digitnaics_2022.txt</t>
        </is>
      </c>
    </row>
    <row r="36">
      <c r="A36" t="n">
        <v>35</v>
      </c>
      <c r="B36" t="inlineStr">
        <is>
          <t>Minot, ND Metro Area</t>
        </is>
      </c>
      <c r="C36" t="inlineStr">
        <is>
          <t>33500</t>
        </is>
      </c>
      <c r="D36" s="7" t="n">
        <v>61.2</v>
      </c>
      <c r="E36" t="n">
        <v>61.23116238866549</v>
      </c>
      <c r="F36" s="7" t="n">
        <v>38.8</v>
      </c>
      <c r="G36" s="6" t="n">
        <v>26609</v>
      </c>
      <c r="H36" s="6" t="n">
        <v>16293</v>
      </c>
      <c r="I36" s="6" t="n">
        <v>10316</v>
      </c>
      <c r="J36" t="inlineStr">
        <is>
          <t>https://www2.census.gov/programs-surveys/susb/datasets/2022/msa_3digitnaics_2022.txt</t>
        </is>
      </c>
    </row>
    <row r="37">
      <c r="A37" t="n">
        <v>36</v>
      </c>
      <c r="B37" t="inlineStr">
        <is>
          <t>Prescott Valley-Prescott, AZ Metro Area</t>
        </is>
      </c>
      <c r="C37" t="inlineStr">
        <is>
          <t>39150</t>
        </is>
      </c>
      <c r="D37" s="7" t="n">
        <v>61.2</v>
      </c>
      <c r="E37" t="n">
        <v>61.18239797859871</v>
      </c>
      <c r="F37" s="7" t="n">
        <v>38.8</v>
      </c>
      <c r="G37" s="6" t="n">
        <v>65697</v>
      </c>
      <c r="H37" s="6" t="n">
        <v>40195</v>
      </c>
      <c r="I37" s="6" t="n">
        <v>25502</v>
      </c>
      <c r="J37" t="inlineStr">
        <is>
          <t>https://www2.census.gov/programs-surveys/susb/datasets/2022/msa_3digitnaics_2022.txt</t>
        </is>
      </c>
    </row>
    <row r="38">
      <c r="A38" t="n">
        <v>37</v>
      </c>
      <c r="B38" t="inlineStr">
        <is>
          <t>Corvallis, OR Metro Area</t>
        </is>
      </c>
      <c r="C38" t="inlineStr">
        <is>
          <t>18700</t>
        </is>
      </c>
      <c r="D38" s="7" t="n">
        <v>60.6</v>
      </c>
      <c r="E38" t="n">
        <v>60.59941248652066</v>
      </c>
      <c r="F38" s="7" t="n">
        <v>39.4</v>
      </c>
      <c r="G38" s="6" t="n">
        <v>26893</v>
      </c>
      <c r="H38" s="6" t="n">
        <v>16297</v>
      </c>
      <c r="I38" s="6" t="n">
        <v>10596</v>
      </c>
      <c r="J38" t="inlineStr">
        <is>
          <t>https://www2.census.gov/programs-surveys/susb/datasets/2022/msa_3digitnaics_2022.txt</t>
        </is>
      </c>
    </row>
    <row r="39">
      <c r="A39" t="n">
        <v>38</v>
      </c>
      <c r="B39" t="inlineStr">
        <is>
          <t>Monroe, LA Metro Area</t>
        </is>
      </c>
      <c r="C39" t="inlineStr">
        <is>
          <t>33740</t>
        </is>
      </c>
      <c r="D39" s="7" t="n">
        <v>59.9</v>
      </c>
      <c r="E39" t="n">
        <v>59.85262460672297</v>
      </c>
      <c r="F39" s="7" t="n">
        <v>40.1</v>
      </c>
      <c r="G39" s="6" t="n">
        <v>72468</v>
      </c>
      <c r="H39" s="6" t="n">
        <v>43374</v>
      </c>
      <c r="I39" s="6" t="n">
        <v>29094</v>
      </c>
      <c r="J39" t="inlineStr">
        <is>
          <t>https://www2.census.gov/programs-surveys/susb/datasets/2022/msa_3digitnaics_2022.txt</t>
        </is>
      </c>
    </row>
    <row r="40">
      <c r="A40" t="n">
        <v>39</v>
      </c>
      <c r="B40" t="inlineStr">
        <is>
          <t>Yakima, WA Metro Area</t>
        </is>
      </c>
      <c r="C40" t="inlineStr">
        <is>
          <t>49420</t>
        </is>
      </c>
      <c r="D40" s="7" t="n">
        <v>59.8</v>
      </c>
      <c r="E40" t="n">
        <v>59.80942563002382</v>
      </c>
      <c r="F40" s="7" t="n">
        <v>40.2</v>
      </c>
      <c r="G40" s="6" t="n">
        <v>71783</v>
      </c>
      <c r="H40" s="6" t="n">
        <v>42933</v>
      </c>
      <c r="I40" s="6" t="n">
        <v>28850</v>
      </c>
      <c r="J40" t="inlineStr">
        <is>
          <t>https://www2.census.gov/programs-surveys/susb/datasets/2022/msa_3digitnaics_2022.txt</t>
        </is>
      </c>
    </row>
    <row r="41">
      <c r="A41" t="n">
        <v>40</v>
      </c>
      <c r="B41" t="inlineStr">
        <is>
          <t>Medford, OR Metro Area</t>
        </is>
      </c>
      <c r="C41" t="inlineStr">
        <is>
          <t>32780</t>
        </is>
      </c>
      <c r="D41" s="7" t="n">
        <v>59.8</v>
      </c>
      <c r="E41" t="n">
        <v>59.79426683359362</v>
      </c>
      <c r="F41" s="7" t="n">
        <v>40.2</v>
      </c>
      <c r="G41" s="6" t="n">
        <v>77479</v>
      </c>
      <c r="H41" s="6" t="n">
        <v>46328</v>
      </c>
      <c r="I41" s="6" t="n">
        <v>31151</v>
      </c>
      <c r="J41" t="inlineStr">
        <is>
          <t>https://www2.census.gov/programs-surveys/susb/datasets/2022/msa_3digitnaics_2022.txt</t>
        </is>
      </c>
    </row>
    <row r="42">
      <c r="A42" t="n">
        <v>41</v>
      </c>
      <c r="B42" t="inlineStr">
        <is>
          <t>Gettysburg, PA Metro Area</t>
        </is>
      </c>
      <c r="C42" t="inlineStr">
        <is>
          <t>23900</t>
        </is>
      </c>
      <c r="D42" s="7" t="n">
        <v>59.8</v>
      </c>
      <c r="E42" t="n">
        <v>59.78146821520316</v>
      </c>
      <c r="F42" s="7" t="n">
        <v>40.2</v>
      </c>
      <c r="G42" s="6" t="n">
        <v>27639</v>
      </c>
      <c r="H42" s="6" t="n">
        <v>16523</v>
      </c>
      <c r="I42" s="6" t="n">
        <v>11116</v>
      </c>
      <c r="J42" t="inlineStr">
        <is>
          <t>https://www2.census.gov/programs-surveys/susb/datasets/2022/msa_3digitnaics_2022.txt</t>
        </is>
      </c>
    </row>
    <row r="43">
      <c r="A43" t="n">
        <v>42</v>
      </c>
      <c r="B43" t="inlineStr">
        <is>
          <t>Chico, CA Metro Area</t>
        </is>
      </c>
      <c r="C43" t="inlineStr">
        <is>
          <t>17020</t>
        </is>
      </c>
      <c r="D43" s="7" t="n">
        <v>59.7</v>
      </c>
      <c r="E43" t="n">
        <v>59.72326401634243</v>
      </c>
      <c r="F43" s="7" t="n">
        <v>40.3</v>
      </c>
      <c r="G43" s="6" t="n">
        <v>62659</v>
      </c>
      <c r="H43" s="6" t="n">
        <v>37422</v>
      </c>
      <c r="I43" s="6" t="n">
        <v>25237</v>
      </c>
      <c r="J43" t="inlineStr">
        <is>
          <t>https://www2.census.gov/programs-surveys/susb/datasets/2022/msa_3digitnaics_2022.txt</t>
        </is>
      </c>
    </row>
    <row r="44">
      <c r="A44" t="n">
        <v>43</v>
      </c>
      <c r="B44" t="inlineStr">
        <is>
          <t>Mount Vernon-Anacortes, WA Metro Area</t>
        </is>
      </c>
      <c r="C44" t="inlineStr">
        <is>
          <t>34580</t>
        </is>
      </c>
      <c r="D44" s="7" t="n">
        <v>59.7</v>
      </c>
      <c r="E44" t="n">
        <v>59.67194961589037</v>
      </c>
      <c r="F44" s="7" t="n">
        <v>40.3</v>
      </c>
      <c r="G44" s="6" t="n">
        <v>43347</v>
      </c>
      <c r="H44" s="6" t="n">
        <v>25866</v>
      </c>
      <c r="I44" s="6" t="n">
        <v>17481</v>
      </c>
      <c r="J44" t="inlineStr">
        <is>
          <t>https://www2.census.gov/programs-surveys/susb/datasets/2022/msa_3digitnaics_2022.txt</t>
        </is>
      </c>
    </row>
    <row r="45">
      <c r="A45" t="n">
        <v>44</v>
      </c>
      <c r="B45" t="inlineStr">
        <is>
          <t>Burlington-South Burlington, VT Metro Area</t>
        </is>
      </c>
      <c r="C45" t="inlineStr">
        <is>
          <t>15540</t>
        </is>
      </c>
      <c r="D45" s="7" t="n">
        <v>59.6</v>
      </c>
      <c r="E45" t="n">
        <v>59.62618670886076</v>
      </c>
      <c r="F45" s="7" t="n">
        <v>40.4</v>
      </c>
      <c r="G45" s="6" t="n">
        <v>101120</v>
      </c>
      <c r="H45" s="6" t="n">
        <v>60294</v>
      </c>
      <c r="I45" s="6" t="n">
        <v>40826</v>
      </c>
      <c r="J45" t="inlineStr">
        <is>
          <t>https://www2.census.gov/programs-surveys/susb/datasets/2022/msa_3digitnaics_2022.txt</t>
        </is>
      </c>
    </row>
    <row r="46">
      <c r="A46" t="n">
        <v>45</v>
      </c>
      <c r="B46" t="inlineStr">
        <is>
          <t>Sebastian-Vero Beach-West Vero Corridor, FL Metro Area</t>
        </is>
      </c>
      <c r="C46" t="inlineStr">
        <is>
          <t>42680</t>
        </is>
      </c>
      <c r="D46" s="7" t="n">
        <v>59.4</v>
      </c>
      <c r="E46" t="n">
        <v>59.37107419888731</v>
      </c>
      <c r="F46" s="7" t="n">
        <v>40.6</v>
      </c>
      <c r="G46" s="6" t="n">
        <v>50149</v>
      </c>
      <c r="H46" s="6" t="n">
        <v>29774</v>
      </c>
      <c r="I46" s="6" t="n">
        <v>20375</v>
      </c>
      <c r="J46" t="inlineStr">
        <is>
          <t>https://www2.census.gov/programs-surveys/susb/datasets/2022/msa_3digitnaics_2022.txt</t>
        </is>
      </c>
    </row>
    <row r="47">
      <c r="A47" t="n">
        <v>46</v>
      </c>
      <c r="B47" t="inlineStr">
        <is>
          <t>Midland, TX Metro Area</t>
        </is>
      </c>
      <c r="C47" t="inlineStr">
        <is>
          <t>33260</t>
        </is>
      </c>
      <c r="D47" s="7" t="n">
        <v>59.1</v>
      </c>
      <c r="E47" t="n">
        <v>59.1225855723029</v>
      </c>
      <c r="F47" s="7" t="n">
        <v>40.9</v>
      </c>
      <c r="G47" s="6" t="n">
        <v>94277</v>
      </c>
      <c r="H47" s="6" t="n">
        <v>55739</v>
      </c>
      <c r="I47" s="6" t="n">
        <v>38538</v>
      </c>
      <c r="J47" t="inlineStr">
        <is>
          <t>https://www2.census.gov/programs-surveys/susb/datasets/2022/msa_3digitnaics_2022.txt</t>
        </is>
      </c>
    </row>
    <row r="48">
      <c r="A48" t="n">
        <v>47</v>
      </c>
      <c r="B48" t="inlineStr">
        <is>
          <t>State College, PA Metro Area</t>
        </is>
      </c>
      <c r="C48" t="inlineStr">
        <is>
          <t>44300</t>
        </is>
      </c>
      <c r="D48" s="7" t="n">
        <v>59</v>
      </c>
      <c r="E48" t="n">
        <v>58.9625723878411</v>
      </c>
      <c r="F48" s="7" t="n">
        <v>41</v>
      </c>
      <c r="G48" s="6" t="n">
        <v>44379</v>
      </c>
      <c r="H48" s="6" t="n">
        <v>26167</v>
      </c>
      <c r="I48" s="6" t="n">
        <v>18212</v>
      </c>
      <c r="J48" t="inlineStr">
        <is>
          <t>https://www2.census.gov/programs-surveys/susb/datasets/2022/msa_3digitnaics_2022.txt</t>
        </is>
      </c>
    </row>
    <row r="49">
      <c r="A49" t="n">
        <v>48</v>
      </c>
      <c r="B49" t="inlineStr">
        <is>
          <t>Watertown-Fort Drum, NY Metro Area</t>
        </is>
      </c>
      <c r="C49" t="inlineStr">
        <is>
          <t>48060</t>
        </is>
      </c>
      <c r="D49" s="7" t="n">
        <v>59</v>
      </c>
      <c r="E49" t="n">
        <v>58.95354082092918</v>
      </c>
      <c r="F49" s="7" t="n">
        <v>41</v>
      </c>
      <c r="G49" s="6" t="n">
        <v>28821</v>
      </c>
      <c r="H49" s="6" t="n">
        <v>16991</v>
      </c>
      <c r="I49" s="6" t="n">
        <v>11830</v>
      </c>
      <c r="J49" t="inlineStr">
        <is>
          <t>https://www2.census.gov/programs-surveys/susb/datasets/2022/msa_3digitnaics_2022.txt</t>
        </is>
      </c>
    </row>
    <row r="50">
      <c r="A50" t="n">
        <v>49</v>
      </c>
      <c r="B50" t="inlineStr">
        <is>
          <t>Myrtle Beach-Conway-North Myrtle Beach, SC Metro Area</t>
        </is>
      </c>
      <c r="C50" t="inlineStr">
        <is>
          <t>34820</t>
        </is>
      </c>
      <c r="D50" s="7" t="n">
        <v>58.9</v>
      </c>
      <c r="E50" t="n">
        <v>58.86871449433175</v>
      </c>
      <c r="F50" s="7" t="n">
        <v>41.1</v>
      </c>
      <c r="G50" s="6" t="n">
        <v>118467</v>
      </c>
      <c r="H50" s="6" t="n">
        <v>69740</v>
      </c>
      <c r="I50" s="6" t="n">
        <v>48727</v>
      </c>
      <c r="J50" t="inlineStr">
        <is>
          <t>https://www2.census.gov/programs-surveys/susb/datasets/2022/msa_3digitnaics_2022.txt</t>
        </is>
      </c>
    </row>
    <row r="51">
      <c r="A51" t="n">
        <v>50</v>
      </c>
      <c r="B51" t="inlineStr">
        <is>
          <t>Farmington, NM Metro Area</t>
        </is>
      </c>
      <c r="C51" t="inlineStr">
        <is>
          <t>22140</t>
        </is>
      </c>
      <c r="D51" s="7" t="n">
        <v>58.8</v>
      </c>
      <c r="E51" t="n">
        <v>58.83618809433798</v>
      </c>
      <c r="F51" s="7" t="n">
        <v>41.2</v>
      </c>
      <c r="G51" s="6" t="n">
        <v>34387</v>
      </c>
      <c r="H51" s="6" t="n">
        <v>20232</v>
      </c>
      <c r="I51" s="6" t="n">
        <v>14155</v>
      </c>
      <c r="J51" t="inlineStr">
        <is>
          <t>https://www2.census.gov/programs-surveys/susb/datasets/2022/msa_3digitnaics_2022.txt</t>
        </is>
      </c>
    </row>
    <row r="52">
      <c r="A52" t="n">
        <v>51</v>
      </c>
      <c r="B52" t="inlineStr">
        <is>
          <t>Youngstown-Warren, OH Metro Area</t>
        </is>
      </c>
      <c r="C52" t="inlineStr">
        <is>
          <t>49660</t>
        </is>
      </c>
      <c r="D52" s="7" t="n">
        <v>58.6</v>
      </c>
      <c r="E52" t="n">
        <v>58.61037234042553</v>
      </c>
      <c r="F52" s="7" t="n">
        <v>41.4</v>
      </c>
      <c r="G52" s="6" t="n">
        <v>138368</v>
      </c>
      <c r="H52" s="6" t="n">
        <v>81098</v>
      </c>
      <c r="I52" s="6" t="n">
        <v>57270</v>
      </c>
      <c r="J52" t="inlineStr">
        <is>
          <t>https://www2.census.gov/programs-surveys/susb/datasets/2022/msa_3digitnaics_2022.txt</t>
        </is>
      </c>
    </row>
    <row r="53">
      <c r="A53" t="n">
        <v>52</v>
      </c>
      <c r="B53" t="inlineStr">
        <is>
          <t>Billings, MT Metro Area</t>
        </is>
      </c>
      <c r="C53" t="inlineStr">
        <is>
          <t>13740</t>
        </is>
      </c>
      <c r="D53" s="7" t="n">
        <v>58.6</v>
      </c>
      <c r="E53" t="n">
        <v>58.57836577065729</v>
      </c>
      <c r="F53" s="7" t="n">
        <v>41.4</v>
      </c>
      <c r="G53" s="6" t="n">
        <v>78459</v>
      </c>
      <c r="H53" s="6" t="n">
        <v>45960</v>
      </c>
      <c r="I53" s="6" t="n">
        <v>32499</v>
      </c>
      <c r="J53" t="inlineStr">
        <is>
          <t>https://www2.census.gov/programs-surveys/susb/datasets/2022/msa_3digitnaics_2022.txt</t>
        </is>
      </c>
    </row>
    <row r="54">
      <c r="A54" t="n">
        <v>53</v>
      </c>
      <c r="B54" t="inlineStr">
        <is>
          <t>Laredo, TX Metro Area</t>
        </is>
      </c>
      <c r="C54" t="inlineStr">
        <is>
          <t>29700</t>
        </is>
      </c>
      <c r="D54" s="7" t="n">
        <v>58.5</v>
      </c>
      <c r="E54" t="n">
        <v>58.49966106801235</v>
      </c>
      <c r="F54" s="7" t="n">
        <v>41.5</v>
      </c>
      <c r="G54" s="6" t="n">
        <v>79662</v>
      </c>
      <c r="H54" s="6" t="n">
        <v>46602</v>
      </c>
      <c r="I54" s="6" t="n">
        <v>33060</v>
      </c>
      <c r="J54" t="inlineStr">
        <is>
          <t>https://www2.census.gov/programs-surveys/susb/datasets/2022/msa_3digitnaics_2022.txt</t>
        </is>
      </c>
    </row>
    <row r="55">
      <c r="A55" t="n">
        <v>54</v>
      </c>
      <c r="B55" t="inlineStr">
        <is>
          <t>Fort Collins-Loveland, CO Metro Area</t>
        </is>
      </c>
      <c r="C55" t="inlineStr">
        <is>
          <t>22660</t>
        </is>
      </c>
      <c r="D55" s="7" t="n">
        <v>58.2</v>
      </c>
      <c r="E55" t="n">
        <v>58.23076241919773</v>
      </c>
      <c r="F55" s="7" t="n">
        <v>41.8</v>
      </c>
      <c r="G55" s="6" t="n">
        <v>135516</v>
      </c>
      <c r="H55" s="6" t="n">
        <v>78912</v>
      </c>
      <c r="I55" s="6" t="n">
        <v>56604</v>
      </c>
      <c r="J55" t="inlineStr">
        <is>
          <t>https://www2.census.gov/programs-surveys/susb/datasets/2022/msa_3digitnaics_2022.txt</t>
        </is>
      </c>
    </row>
    <row r="56">
      <c r="A56" t="n">
        <v>55</v>
      </c>
      <c r="B56" t="inlineStr">
        <is>
          <t>Carson City, NV Metro Area</t>
        </is>
      </c>
      <c r="C56" t="inlineStr">
        <is>
          <t>16180</t>
        </is>
      </c>
      <c r="D56" s="7" t="n">
        <v>58.2</v>
      </c>
      <c r="E56" t="n">
        <v>58.16845675522895</v>
      </c>
      <c r="F56" s="7" t="n">
        <v>41.8</v>
      </c>
      <c r="G56" s="6" t="n">
        <v>22997</v>
      </c>
      <c r="H56" s="6" t="n">
        <v>13377</v>
      </c>
      <c r="I56" s="6" t="n">
        <v>9620</v>
      </c>
      <c r="J56" t="inlineStr">
        <is>
          <t>https://www2.census.gov/programs-surveys/susb/datasets/2022/msa_3digitnaics_2022.txt</t>
        </is>
      </c>
    </row>
    <row r="57">
      <c r="A57" t="n">
        <v>56</v>
      </c>
      <c r="B57" t="inlineStr">
        <is>
          <t>Yuba City, CA Metro Area</t>
        </is>
      </c>
      <c r="C57" t="inlineStr">
        <is>
          <t>49700</t>
        </is>
      </c>
      <c r="D57" s="7" t="n">
        <v>58.2</v>
      </c>
      <c r="E57" t="n">
        <v>58.15401272161321</v>
      </c>
      <c r="F57" s="7" t="n">
        <v>41.8</v>
      </c>
      <c r="G57" s="6" t="n">
        <v>36945</v>
      </c>
      <c r="H57" s="6" t="n">
        <v>21485</v>
      </c>
      <c r="I57" s="6" t="n">
        <v>15460</v>
      </c>
      <c r="J57" t="inlineStr">
        <is>
          <t>https://www2.census.gov/programs-surveys/susb/datasets/2022/msa_3digitnaics_2022.txt</t>
        </is>
      </c>
    </row>
    <row r="58">
      <c r="A58" t="n">
        <v>57</v>
      </c>
      <c r="B58" t="inlineStr">
        <is>
          <t>Oxnard-Thousand Oaks-Ventura, CA Metro Area</t>
        </is>
      </c>
      <c r="C58" t="inlineStr">
        <is>
          <t>37100</t>
        </is>
      </c>
      <c r="D58" s="7" t="n">
        <v>58.1</v>
      </c>
      <c r="E58" t="n">
        <v>58.07210555658799</v>
      </c>
      <c r="F58" s="7" t="n">
        <v>41.9</v>
      </c>
      <c r="G58" s="6" t="n">
        <v>269050</v>
      </c>
      <c r="H58" s="6" t="n">
        <v>156243</v>
      </c>
      <c r="I58" s="6" t="n">
        <v>112807</v>
      </c>
      <c r="J58" t="inlineStr">
        <is>
          <t>https://www2.census.gov/programs-surveys/susb/datasets/2022/msa_3digitnaics_2022.txt</t>
        </is>
      </c>
    </row>
    <row r="59">
      <c r="A59" t="n">
        <v>58</v>
      </c>
      <c r="B59" t="inlineStr">
        <is>
          <t>North Port-Bradenton-Sarasota, FL Metro Area</t>
        </is>
      </c>
      <c r="C59" t="inlineStr">
        <is>
          <t>35840</t>
        </is>
      </c>
      <c r="D59" s="7" t="n">
        <v>58.1</v>
      </c>
      <c r="E59" t="n">
        <v>58.06045432519346</v>
      </c>
      <c r="F59" s="7" t="n">
        <v>41.9</v>
      </c>
      <c r="G59" s="6" t="n">
        <v>272404</v>
      </c>
      <c r="H59" s="6" t="n">
        <v>158159</v>
      </c>
      <c r="I59" s="6" t="n">
        <v>114245</v>
      </c>
      <c r="J59" t="inlineStr">
        <is>
          <t>https://www2.census.gov/programs-surveys/susb/datasets/2022/msa_3digitnaics_2022.txt</t>
        </is>
      </c>
    </row>
    <row r="60">
      <c r="A60" t="n">
        <v>59</v>
      </c>
      <c r="B60" t="inlineStr">
        <is>
          <t>Longview-Kelso, WA Metro Area</t>
        </is>
      </c>
      <c r="C60" t="inlineStr">
        <is>
          <t>31020</t>
        </is>
      </c>
      <c r="D60" s="7" t="n">
        <v>58.1</v>
      </c>
      <c r="E60" t="n">
        <v>58.05600527672843</v>
      </c>
      <c r="F60" s="7" t="n">
        <v>41.9</v>
      </c>
      <c r="G60" s="6" t="n">
        <v>33354</v>
      </c>
      <c r="H60" s="6" t="n">
        <v>19364</v>
      </c>
      <c r="I60" s="6" t="n">
        <v>13990</v>
      </c>
      <c r="J60" t="inlineStr">
        <is>
          <t>https://www2.census.gov/programs-surveys/susb/datasets/2022/msa_3digitnaics_2022.txt</t>
        </is>
      </c>
    </row>
    <row r="61">
      <c r="A61" t="n">
        <v>60</v>
      </c>
      <c r="B61" t="inlineStr">
        <is>
          <t>Grand Junction, CO Metro Area</t>
        </is>
      </c>
      <c r="C61" t="inlineStr">
        <is>
          <t>24300</t>
        </is>
      </c>
      <c r="D61" s="7" t="n">
        <v>58</v>
      </c>
      <c r="E61" t="n">
        <v>58.02537526804861</v>
      </c>
      <c r="F61" s="7" t="n">
        <v>42</v>
      </c>
      <c r="G61" s="6" t="n">
        <v>55960</v>
      </c>
      <c r="H61" s="6" t="n">
        <v>32471</v>
      </c>
      <c r="I61" s="6" t="n">
        <v>23489</v>
      </c>
      <c r="J61" t="inlineStr">
        <is>
          <t>https://www2.census.gov/programs-surveys/susb/datasets/2022/msa_3digitnaics_2022.txt</t>
        </is>
      </c>
    </row>
    <row r="62">
      <c r="A62" t="n">
        <v>61</v>
      </c>
      <c r="B62" t="inlineStr">
        <is>
          <t>Enid, OK Metro Area</t>
        </is>
      </c>
      <c r="C62" t="inlineStr">
        <is>
          <t>21420</t>
        </is>
      </c>
      <c r="D62" s="7" t="n">
        <v>58</v>
      </c>
      <c r="E62" t="n">
        <v>57.97812331387649</v>
      </c>
      <c r="F62" s="7" t="n">
        <v>42</v>
      </c>
      <c r="G62" s="6" t="n">
        <v>20387</v>
      </c>
      <c r="H62" s="6" t="n">
        <v>11820</v>
      </c>
      <c r="I62" s="6" t="n">
        <v>8567</v>
      </c>
      <c r="J62" t="inlineStr">
        <is>
          <t>https://www2.census.gov/programs-surveys/susb/datasets/2022/msa_3digitnaics_2022.txt</t>
        </is>
      </c>
    </row>
    <row r="63">
      <c r="A63" t="n">
        <v>62</v>
      </c>
      <c r="B63" t="inlineStr">
        <is>
          <t>Sierra Vista-Douglas, AZ Metro Area</t>
        </is>
      </c>
      <c r="C63" t="inlineStr">
        <is>
          <t>43420</t>
        </is>
      </c>
      <c r="D63" s="7" t="n">
        <v>58</v>
      </c>
      <c r="E63" t="n">
        <v>57.96923076923077</v>
      </c>
      <c r="F63" s="7" t="n">
        <v>42</v>
      </c>
      <c r="G63" s="6" t="n">
        <v>26000</v>
      </c>
      <c r="H63" s="6" t="n">
        <v>15072</v>
      </c>
      <c r="I63" s="6" t="n">
        <v>10928</v>
      </c>
      <c r="J63" t="inlineStr">
        <is>
          <t>https://www2.census.gov/programs-surveys/susb/datasets/2022/msa_3digitnaics_2022.txt</t>
        </is>
      </c>
    </row>
    <row r="64">
      <c r="A64" t="n">
        <v>63</v>
      </c>
      <c r="B64" t="inlineStr">
        <is>
          <t>Glens Falls, NY Metro Area</t>
        </is>
      </c>
      <c r="C64" t="inlineStr">
        <is>
          <t>24020</t>
        </is>
      </c>
      <c r="D64" s="7" t="n">
        <v>57.8</v>
      </c>
      <c r="E64" t="n">
        <v>57.7762636586166</v>
      </c>
      <c r="F64" s="7" t="n">
        <v>42.2</v>
      </c>
      <c r="G64" s="6" t="n">
        <v>39627</v>
      </c>
      <c r="H64" s="6" t="n">
        <v>22895</v>
      </c>
      <c r="I64" s="6" t="n">
        <v>16732</v>
      </c>
      <c r="J64" t="inlineStr">
        <is>
          <t>https://www2.census.gov/programs-surveys/susb/datasets/2022/msa_3digitnaics_2022.txt</t>
        </is>
      </c>
    </row>
    <row r="65">
      <c r="A65" t="n">
        <v>64</v>
      </c>
      <c r="B65" t="inlineStr">
        <is>
          <t>Hammond, LA Metro Area</t>
        </is>
      </c>
      <c r="C65" t="inlineStr">
        <is>
          <t>25220</t>
        </is>
      </c>
      <c r="D65" s="7" t="n">
        <v>57.8</v>
      </c>
      <c r="E65" t="n">
        <v>57.75681341719078</v>
      </c>
      <c r="F65" s="7" t="n">
        <v>42.2</v>
      </c>
      <c r="G65" s="6" t="n">
        <v>39114</v>
      </c>
      <c r="H65" s="6" t="n">
        <v>22591</v>
      </c>
      <c r="I65" s="6" t="n">
        <v>16523</v>
      </c>
      <c r="J65" t="inlineStr">
        <is>
          <t>https://www2.census.gov/programs-surveys/susb/datasets/2022/msa_3digitnaics_2022.txt</t>
        </is>
      </c>
    </row>
    <row r="66">
      <c r="A66" t="n">
        <v>65</v>
      </c>
      <c r="B66" t="inlineStr">
        <is>
          <t>Salinas, CA Metro Area</t>
        </is>
      </c>
      <c r="C66" t="inlineStr">
        <is>
          <t>41500</t>
        </is>
      </c>
      <c r="D66" s="7" t="n">
        <v>57.7</v>
      </c>
      <c r="E66" t="n">
        <v>57.71131049390129</v>
      </c>
      <c r="F66" s="7" t="n">
        <v>42.3</v>
      </c>
      <c r="G66" s="6" t="n">
        <v>116582</v>
      </c>
      <c r="H66" s="6" t="n">
        <v>67281</v>
      </c>
      <c r="I66" s="6" t="n">
        <v>49301</v>
      </c>
      <c r="J66" t="inlineStr">
        <is>
          <t>https://www2.census.gov/programs-surveys/susb/datasets/2022/msa_3digitnaics_2022.txt</t>
        </is>
      </c>
    </row>
    <row r="67">
      <c r="A67" t="n">
        <v>66</v>
      </c>
      <c r="B67" t="inlineStr">
        <is>
          <t>Flagstaff, AZ Metro Area</t>
        </is>
      </c>
      <c r="C67" t="inlineStr">
        <is>
          <t>22380</t>
        </is>
      </c>
      <c r="D67" s="7" t="n">
        <v>57.7</v>
      </c>
      <c r="E67" t="n">
        <v>57.66695783371714</v>
      </c>
      <c r="F67" s="7" t="n">
        <v>42.3</v>
      </c>
      <c r="G67" s="6" t="n">
        <v>50372</v>
      </c>
      <c r="H67" s="6" t="n">
        <v>29048</v>
      </c>
      <c r="I67" s="6" t="n">
        <v>21324</v>
      </c>
      <c r="J67" t="inlineStr">
        <is>
          <t>https://www2.census.gov/programs-surveys/susb/datasets/2022/msa_3digitnaics_2022.txt</t>
        </is>
      </c>
    </row>
    <row r="68">
      <c r="A68" t="n">
        <v>67</v>
      </c>
      <c r="B68" t="inlineStr">
        <is>
          <t>Kahului-Wailuku, HI Metro Area</t>
        </is>
      </c>
      <c r="C68" t="inlineStr">
        <is>
          <t>27980</t>
        </is>
      </c>
      <c r="D68" s="7" t="n">
        <v>57.6</v>
      </c>
      <c r="E68" t="n">
        <v>57.64654696363728</v>
      </c>
      <c r="F68" s="7" t="n">
        <v>42.4</v>
      </c>
      <c r="G68" s="6" t="n">
        <v>59759</v>
      </c>
      <c r="H68" s="6" t="n">
        <v>34449</v>
      </c>
      <c r="I68" s="6" t="n">
        <v>25310</v>
      </c>
      <c r="J68" t="inlineStr">
        <is>
          <t>https://www2.census.gov/programs-surveys/susb/datasets/2022/msa_3digitnaics_2022.txt</t>
        </is>
      </c>
    </row>
    <row r="69">
      <c r="A69" t="n">
        <v>68</v>
      </c>
      <c r="B69" t="inlineStr">
        <is>
          <t>Brunswick-St. Simons, GA Metro Area</t>
        </is>
      </c>
      <c r="C69" t="inlineStr">
        <is>
          <t>15260</t>
        </is>
      </c>
      <c r="D69" s="7" t="n">
        <v>57.6</v>
      </c>
      <c r="E69" t="n">
        <v>57.64579414135985</v>
      </c>
      <c r="F69" s="7" t="n">
        <v>42.4</v>
      </c>
      <c r="G69" s="6" t="n">
        <v>33489</v>
      </c>
      <c r="H69" s="6" t="n">
        <v>19305</v>
      </c>
      <c r="I69" s="6" t="n">
        <v>14184</v>
      </c>
      <c r="J69" t="inlineStr">
        <is>
          <t>https://www2.census.gov/programs-surveys/susb/datasets/2022/msa_3digitnaics_2022.txt</t>
        </is>
      </c>
    </row>
    <row r="70">
      <c r="A70" t="n">
        <v>69</v>
      </c>
      <c r="B70" t="inlineStr">
        <is>
          <t>Boulder, CO Metro Area</t>
        </is>
      </c>
      <c r="C70" t="inlineStr">
        <is>
          <t>14500</t>
        </is>
      </c>
      <c r="D70" s="7" t="n">
        <v>57.6</v>
      </c>
      <c r="E70" t="n">
        <v>57.56269068349883</v>
      </c>
      <c r="F70" s="7" t="n">
        <v>42.4</v>
      </c>
      <c r="G70" s="6" t="n">
        <v>157001</v>
      </c>
      <c r="H70" s="6" t="n">
        <v>90374</v>
      </c>
      <c r="I70" s="6" t="n">
        <v>66627</v>
      </c>
      <c r="J70" t="inlineStr">
        <is>
          <t>https://www2.census.gov/programs-surveys/susb/datasets/2022/msa_3digitnaics_2022.txt</t>
        </is>
      </c>
    </row>
    <row r="71">
      <c r="A71" t="n">
        <v>70</v>
      </c>
      <c r="B71" t="inlineStr">
        <is>
          <t>Lake Havasu City-Kingman, AZ Metro Area</t>
        </is>
      </c>
      <c r="C71" t="inlineStr">
        <is>
          <t>29420</t>
        </is>
      </c>
      <c r="D71" s="7" t="n">
        <v>57.5</v>
      </c>
      <c r="E71" t="n">
        <v>57.53485144767552</v>
      </c>
      <c r="F71" s="7" t="n">
        <v>42.5</v>
      </c>
      <c r="G71" s="6" t="n">
        <v>47559</v>
      </c>
      <c r="H71" s="6" t="n">
        <v>27363</v>
      </c>
      <c r="I71" s="6" t="n">
        <v>20196</v>
      </c>
      <c r="J71" t="inlineStr">
        <is>
          <t>https://www2.census.gov/programs-surveys/susb/datasets/2022/msa_3digitnaics_2022.txt</t>
        </is>
      </c>
    </row>
    <row r="72">
      <c r="A72" t="n">
        <v>71</v>
      </c>
      <c r="B72" t="inlineStr">
        <is>
          <t>Athens-Clarke County, GA Metro Area</t>
        </is>
      </c>
      <c r="C72" t="inlineStr">
        <is>
          <t>12020</t>
        </is>
      </c>
      <c r="D72" s="7" t="n">
        <v>57.5</v>
      </c>
      <c r="E72" t="n">
        <v>57.51433337538725</v>
      </c>
      <c r="F72" s="7" t="n">
        <v>42.5</v>
      </c>
      <c r="G72" s="6" t="n">
        <v>71337</v>
      </c>
      <c r="H72" s="6" t="n">
        <v>41029</v>
      </c>
      <c r="I72" s="6" t="n">
        <v>30308</v>
      </c>
      <c r="J72" t="inlineStr">
        <is>
          <t>https://www2.census.gov/programs-surveys/susb/datasets/2022/msa_3digitnaics_2022.txt</t>
        </is>
      </c>
    </row>
    <row r="73">
      <c r="A73" t="n">
        <v>72</v>
      </c>
      <c r="B73" t="inlineStr">
        <is>
          <t>Slidell-Mandeville-Covington, LA Metro Area</t>
        </is>
      </c>
      <c r="C73" t="inlineStr">
        <is>
          <t>43640</t>
        </is>
      </c>
      <c r="D73" s="7" t="n">
        <v>57.4</v>
      </c>
      <c r="E73" t="n">
        <v>57.3810835198575</v>
      </c>
      <c r="F73" s="7" t="n">
        <v>42.6</v>
      </c>
      <c r="G73" s="6" t="n">
        <v>85333</v>
      </c>
      <c r="H73" s="6" t="n">
        <v>48965</v>
      </c>
      <c r="I73" s="6" t="n">
        <v>36368</v>
      </c>
      <c r="J73" t="inlineStr">
        <is>
          <t>https://www2.census.gov/programs-surveys/susb/datasets/2022/msa_3digitnaics_2022.txt</t>
        </is>
      </c>
    </row>
    <row r="74">
      <c r="A74" t="n">
        <v>73</v>
      </c>
      <c r="B74" t="inlineStr">
        <is>
          <t>Olympia-Lacey-Tumwater, WA Metro Area</t>
        </is>
      </c>
      <c r="C74" t="inlineStr">
        <is>
          <t>36500</t>
        </is>
      </c>
      <c r="D74" s="7" t="n">
        <v>57.3</v>
      </c>
      <c r="E74" t="n">
        <v>57.26547282437951</v>
      </c>
      <c r="F74" s="7" t="n">
        <v>42.7</v>
      </c>
      <c r="G74" s="6" t="n">
        <v>79575</v>
      </c>
      <c r="H74" s="6" t="n">
        <v>45569</v>
      </c>
      <c r="I74" s="6" t="n">
        <v>34006</v>
      </c>
      <c r="J74" t="inlineStr">
        <is>
          <t>https://www2.census.gov/programs-surveys/susb/datasets/2022/msa_3digitnaics_2022.txt</t>
        </is>
      </c>
    </row>
    <row r="75">
      <c r="A75" t="n">
        <v>74</v>
      </c>
      <c r="B75" t="inlineStr">
        <is>
          <t>Alexandria, LA Metro Area</t>
        </is>
      </c>
      <c r="C75" t="inlineStr">
        <is>
          <t>10780</t>
        </is>
      </c>
      <c r="D75" s="7" t="n">
        <v>57.2</v>
      </c>
      <c r="E75" t="n">
        <v>57.20319198607751</v>
      </c>
      <c r="F75" s="7" t="n">
        <v>42.8</v>
      </c>
      <c r="G75" s="6" t="n">
        <v>47118</v>
      </c>
      <c r="H75" s="6" t="n">
        <v>26953</v>
      </c>
      <c r="I75" s="6" t="n">
        <v>20165</v>
      </c>
      <c r="J75" t="inlineStr">
        <is>
          <t>https://www2.census.gov/programs-surveys/susb/datasets/2022/msa_3digitnaics_2022.txt</t>
        </is>
      </c>
    </row>
    <row r="76">
      <c r="A76" t="n">
        <v>75</v>
      </c>
      <c r="B76" t="inlineStr">
        <is>
          <t>Las Cruces, NM Metro Area</t>
        </is>
      </c>
      <c r="C76" t="inlineStr">
        <is>
          <t>29740</t>
        </is>
      </c>
      <c r="D76" s="7" t="n">
        <v>57.1</v>
      </c>
      <c r="E76" t="n">
        <v>57.05582084636917</v>
      </c>
      <c r="F76" s="7" t="n">
        <v>42.9</v>
      </c>
      <c r="G76" s="6" t="n">
        <v>54657</v>
      </c>
      <c r="H76" s="6" t="n">
        <v>31185</v>
      </c>
      <c r="I76" s="6" t="n">
        <v>23472</v>
      </c>
      <c r="J76" t="inlineStr">
        <is>
          <t>https://www2.census.gov/programs-surveys/susb/datasets/2022/msa_3digitnaics_2022.txt</t>
        </is>
      </c>
    </row>
    <row r="77">
      <c r="A77" t="n">
        <v>76</v>
      </c>
      <c r="B77" t="inlineStr">
        <is>
          <t>Cheyenne, WY Metro Area</t>
        </is>
      </c>
      <c r="C77" t="inlineStr">
        <is>
          <t>16940</t>
        </is>
      </c>
      <c r="D77" s="7" t="n">
        <v>56.9</v>
      </c>
      <c r="E77" t="n">
        <v>56.94093182712302</v>
      </c>
      <c r="F77" s="7" t="n">
        <v>43.1</v>
      </c>
      <c r="G77" s="6" t="n">
        <v>35586</v>
      </c>
      <c r="H77" s="6" t="n">
        <v>20263</v>
      </c>
      <c r="I77" s="6" t="n">
        <v>15323</v>
      </c>
      <c r="J77" t="inlineStr">
        <is>
          <t>https://www2.census.gov/programs-surveys/susb/datasets/2022/msa_3digitnaics_2022.txt</t>
        </is>
      </c>
    </row>
    <row r="78">
      <c r="A78" t="n">
        <v>77</v>
      </c>
      <c r="B78" t="inlineStr">
        <is>
          <t>Ames, IA Metro Area</t>
        </is>
      </c>
      <c r="C78" t="inlineStr">
        <is>
          <t>11180</t>
        </is>
      </c>
      <c r="D78" s="7" t="n">
        <v>56.8</v>
      </c>
      <c r="E78" t="n">
        <v>56.81423064325128</v>
      </c>
      <c r="F78" s="7" t="n">
        <v>43.2</v>
      </c>
      <c r="G78" s="6" t="n">
        <v>39689</v>
      </c>
      <c r="H78" s="6" t="n">
        <v>22549</v>
      </c>
      <c r="I78" s="6" t="n">
        <v>17140</v>
      </c>
      <c r="J78" t="inlineStr">
        <is>
          <t>https://www2.census.gov/programs-surveys/susb/datasets/2022/msa_3digitnaics_2022.txt</t>
        </is>
      </c>
    </row>
    <row r="79">
      <c r="A79" t="n">
        <v>78</v>
      </c>
      <c r="B79" t="inlineStr">
        <is>
          <t>Pittsfield, MA Metro Area</t>
        </is>
      </c>
      <c r="C79" t="inlineStr">
        <is>
          <t>38340</t>
        </is>
      </c>
      <c r="D79" s="7" t="n">
        <v>56.8</v>
      </c>
      <c r="E79" t="n">
        <v>56.80759444118222</v>
      </c>
      <c r="F79" s="7" t="n">
        <v>43.2</v>
      </c>
      <c r="G79" s="6" t="n">
        <v>51090</v>
      </c>
      <c r="H79" s="6" t="n">
        <v>29023</v>
      </c>
      <c r="I79" s="6" t="n">
        <v>22067</v>
      </c>
      <c r="J79" t="inlineStr">
        <is>
          <t>https://www2.census.gov/programs-surveys/susb/datasets/2022/msa_3digitnaics_2022.txt</t>
        </is>
      </c>
    </row>
    <row r="80">
      <c r="A80" t="n">
        <v>79</v>
      </c>
      <c r="B80" t="inlineStr">
        <is>
          <t>Johnstown, PA Metro Area</t>
        </is>
      </c>
      <c r="C80" t="inlineStr">
        <is>
          <t>27780</t>
        </is>
      </c>
      <c r="D80" s="7" t="n">
        <v>56.7</v>
      </c>
      <c r="E80" t="n">
        <v>56.66734921393306</v>
      </c>
      <c r="F80" s="7" t="n">
        <v>43.3</v>
      </c>
      <c r="G80" s="6" t="n">
        <v>43953</v>
      </c>
      <c r="H80" s="6" t="n">
        <v>24907</v>
      </c>
      <c r="I80" s="6" t="n">
        <v>19046</v>
      </c>
      <c r="J80" t="inlineStr">
        <is>
          <t>https://www2.census.gov/programs-surveys/susb/datasets/2022/msa_3digitnaics_2022.txt</t>
        </is>
      </c>
    </row>
    <row r="81">
      <c r="A81" t="n">
        <v>80</v>
      </c>
      <c r="B81" t="inlineStr">
        <is>
          <t>Salisbury, MD Metro Area</t>
        </is>
      </c>
      <c r="C81" t="inlineStr">
        <is>
          <t>41540</t>
        </is>
      </c>
      <c r="D81" s="7" t="n">
        <v>56.6</v>
      </c>
      <c r="E81" t="n">
        <v>56.64478037359393</v>
      </c>
      <c r="F81" s="7" t="n">
        <v>43.4</v>
      </c>
      <c r="G81" s="6" t="n">
        <v>39294</v>
      </c>
      <c r="H81" s="6" t="n">
        <v>22258</v>
      </c>
      <c r="I81" s="6" t="n">
        <v>17036</v>
      </c>
      <c r="J81" t="inlineStr">
        <is>
          <t>https://www2.census.gov/programs-surveys/susb/datasets/2022/msa_3digitnaics_2022.txt</t>
        </is>
      </c>
    </row>
    <row r="82">
      <c r="A82" t="n">
        <v>81</v>
      </c>
      <c r="B82" t="inlineStr">
        <is>
          <t>Port St. Lucie, FL Metro Area</t>
        </is>
      </c>
      <c r="C82" t="inlineStr">
        <is>
          <t>38940</t>
        </is>
      </c>
      <c r="D82" s="7" t="n">
        <v>56.6</v>
      </c>
      <c r="E82" t="n">
        <v>56.61427611714419</v>
      </c>
      <c r="F82" s="7" t="n">
        <v>43.4</v>
      </c>
      <c r="G82" s="6" t="n">
        <v>135457</v>
      </c>
      <c r="H82" s="6" t="n">
        <v>76688</v>
      </c>
      <c r="I82" s="6" t="n">
        <v>58769</v>
      </c>
      <c r="J82" t="inlineStr">
        <is>
          <t>https://www2.census.gov/programs-surveys/susb/datasets/2022/msa_3digitnaics_2022.txt</t>
        </is>
      </c>
    </row>
    <row r="83">
      <c r="A83" t="n">
        <v>82</v>
      </c>
      <c r="B83" t="inlineStr">
        <is>
          <t>Charlottesville, VA Metro Area</t>
        </is>
      </c>
      <c r="C83" t="inlineStr">
        <is>
          <t>16820</t>
        </is>
      </c>
      <c r="D83" s="7" t="n">
        <v>56.4</v>
      </c>
      <c r="E83" t="n">
        <v>56.3580767608604</v>
      </c>
      <c r="F83" s="7" t="n">
        <v>43.6</v>
      </c>
      <c r="G83" s="6" t="n">
        <v>85356</v>
      </c>
      <c r="H83" s="6" t="n">
        <v>48105</v>
      </c>
      <c r="I83" s="6" t="n">
        <v>37251</v>
      </c>
      <c r="J83" t="inlineStr">
        <is>
          <t>https://www2.census.gov/programs-surveys/susb/datasets/2022/msa_3digitnaics_2022.txt</t>
        </is>
      </c>
    </row>
    <row r="84">
      <c r="A84" t="n">
        <v>83</v>
      </c>
      <c r="B84" t="inlineStr">
        <is>
          <t>Hot Springs, AR Metro Area</t>
        </is>
      </c>
      <c r="C84" t="inlineStr">
        <is>
          <t>26300</t>
        </is>
      </c>
      <c r="D84" s="7" t="n">
        <v>56.3</v>
      </c>
      <c r="E84" t="n">
        <v>56.25974320455769</v>
      </c>
      <c r="F84" s="7" t="n">
        <v>43.7</v>
      </c>
      <c r="G84" s="6" t="n">
        <v>35281</v>
      </c>
      <c r="H84" s="6" t="n">
        <v>19849</v>
      </c>
      <c r="I84" s="6" t="n">
        <v>15432</v>
      </c>
      <c r="J84" t="inlineStr">
        <is>
          <t>https://www2.census.gov/programs-surveys/susb/datasets/2022/msa_3digitnaics_2022.txt</t>
        </is>
      </c>
    </row>
    <row r="85">
      <c r="A85" t="n">
        <v>84</v>
      </c>
      <c r="B85" t="inlineStr">
        <is>
          <t>Crestview-Fort Walton Beach-Destin, FL Metro Area</t>
        </is>
      </c>
      <c r="C85" t="inlineStr">
        <is>
          <t>18880</t>
        </is>
      </c>
      <c r="D85" s="7" t="n">
        <v>56.1</v>
      </c>
      <c r="E85" t="n">
        <v>56.14099647620322</v>
      </c>
      <c r="F85" s="7" t="n">
        <v>43.9</v>
      </c>
      <c r="G85" s="6" t="n">
        <v>89676</v>
      </c>
      <c r="H85" s="6" t="n">
        <v>50345</v>
      </c>
      <c r="I85" s="6" t="n">
        <v>39331</v>
      </c>
      <c r="J85" t="inlineStr">
        <is>
          <t>https://www2.census.gov/programs-surveys/susb/datasets/2022/msa_3digitnaics_2022.txt</t>
        </is>
      </c>
    </row>
    <row r="86">
      <c r="A86" t="n">
        <v>85</v>
      </c>
      <c r="B86" t="inlineStr">
        <is>
          <t>Grand Forks, ND-MN Metro Area</t>
        </is>
      </c>
      <c r="C86" t="inlineStr">
        <is>
          <t>24220</t>
        </is>
      </c>
      <c r="D86" s="7" t="n">
        <v>56.1</v>
      </c>
      <c r="E86" t="n">
        <v>56.097621407334</v>
      </c>
      <c r="F86" s="7" t="n">
        <v>43.9</v>
      </c>
      <c r="G86" s="6" t="n">
        <v>40360</v>
      </c>
      <c r="H86" s="6" t="n">
        <v>22641</v>
      </c>
      <c r="I86" s="6" t="n">
        <v>17719</v>
      </c>
      <c r="J86" t="inlineStr">
        <is>
          <t>https://www2.census.gov/programs-surveys/susb/datasets/2022/msa_3digitnaics_2022.txt</t>
        </is>
      </c>
    </row>
    <row r="87">
      <c r="A87" t="n">
        <v>86</v>
      </c>
      <c r="B87" t="inlineStr">
        <is>
          <t>Odessa, TX Metro Area</t>
        </is>
      </c>
      <c r="C87" t="inlineStr">
        <is>
          <t>36220</t>
        </is>
      </c>
      <c r="D87" s="7" t="n">
        <v>56.1</v>
      </c>
      <c r="E87" t="n">
        <v>56.08431967132935</v>
      </c>
      <c r="F87" s="7" t="n">
        <v>43.9</v>
      </c>
      <c r="G87" s="6" t="n">
        <v>61338</v>
      </c>
      <c r="H87" s="6" t="n">
        <v>34401</v>
      </c>
      <c r="I87" s="6" t="n">
        <v>26937</v>
      </c>
      <c r="J87" t="inlineStr">
        <is>
          <t>https://www2.census.gov/programs-surveys/susb/datasets/2022/msa_3digitnaics_2022.txt</t>
        </is>
      </c>
    </row>
    <row r="88">
      <c r="A88" t="n">
        <v>87</v>
      </c>
      <c r="B88" t="inlineStr">
        <is>
          <t>Bangor, ME Metro Area</t>
        </is>
      </c>
      <c r="C88" t="inlineStr">
        <is>
          <t>12620</t>
        </is>
      </c>
      <c r="D88" s="7" t="n">
        <v>56.1</v>
      </c>
      <c r="E88" t="n">
        <v>56.07026323352888</v>
      </c>
      <c r="F88" s="7" t="n">
        <v>43.9</v>
      </c>
      <c r="G88" s="6" t="n">
        <v>59149</v>
      </c>
      <c r="H88" s="6" t="n">
        <v>33165</v>
      </c>
      <c r="I88" s="6" t="n">
        <v>25984</v>
      </c>
      <c r="J88" t="inlineStr">
        <is>
          <t>https://www2.census.gov/programs-surveys/susb/datasets/2022/msa_3digitnaics_2022.txt</t>
        </is>
      </c>
    </row>
    <row r="89">
      <c r="A89" t="n">
        <v>88</v>
      </c>
      <c r="B89" t="inlineStr">
        <is>
          <t>Gadsden, AL Metro Area</t>
        </is>
      </c>
      <c r="C89" t="inlineStr">
        <is>
          <t>23460</t>
        </is>
      </c>
      <c r="D89" s="7" t="n">
        <v>56.1</v>
      </c>
      <c r="E89" t="n">
        <v>56.06269002461271</v>
      </c>
      <c r="F89" s="7" t="n">
        <v>43.9</v>
      </c>
      <c r="G89" s="6" t="n">
        <v>27628</v>
      </c>
      <c r="H89" s="6" t="n">
        <v>15489</v>
      </c>
      <c r="I89" s="6" t="n">
        <v>12139</v>
      </c>
      <c r="J89" t="inlineStr">
        <is>
          <t>https://www2.census.gov/programs-surveys/susb/datasets/2022/msa_3digitnaics_2022.txt</t>
        </is>
      </c>
    </row>
    <row r="90">
      <c r="A90" t="n">
        <v>89</v>
      </c>
      <c r="B90" t="inlineStr">
        <is>
          <t>Great Falls, MT Metro Area</t>
        </is>
      </c>
      <c r="C90" t="inlineStr">
        <is>
          <t>24500</t>
        </is>
      </c>
      <c r="D90" s="7" t="n">
        <v>56</v>
      </c>
      <c r="E90" t="n">
        <v>56.00078505773445</v>
      </c>
      <c r="F90" s="7" t="n">
        <v>44</v>
      </c>
      <c r="G90" s="6" t="n">
        <v>30571</v>
      </c>
      <c r="H90" s="6" t="n">
        <v>17120</v>
      </c>
      <c r="I90" s="6" t="n">
        <v>13451</v>
      </c>
      <c r="J90" t="inlineStr">
        <is>
          <t>https://www2.census.gov/programs-surveys/susb/datasets/2022/msa_3digitnaics_2022.txt</t>
        </is>
      </c>
    </row>
    <row r="91">
      <c r="A91" t="n">
        <v>90</v>
      </c>
      <c r="B91" t="inlineStr">
        <is>
          <t>Twin Falls, ID Metro Area</t>
        </is>
      </c>
      <c r="C91" t="inlineStr">
        <is>
          <t>46300</t>
        </is>
      </c>
      <c r="D91" s="7" t="n">
        <v>56</v>
      </c>
      <c r="E91" t="n">
        <v>55.96632241753524</v>
      </c>
      <c r="F91" s="7" t="n">
        <v>44</v>
      </c>
      <c r="G91" s="6" t="n">
        <v>41927</v>
      </c>
      <c r="H91" s="6" t="n">
        <v>23465</v>
      </c>
      <c r="I91" s="6" t="n">
        <v>18462</v>
      </c>
      <c r="J91" t="inlineStr">
        <is>
          <t>https://www2.census.gov/programs-surveys/susb/datasets/2022/msa_3digitnaics_2022.txt</t>
        </is>
      </c>
    </row>
    <row r="92">
      <c r="A92" t="n">
        <v>91</v>
      </c>
      <c r="B92" t="inlineStr">
        <is>
          <t>Dover, DE Metro Area</t>
        </is>
      </c>
      <c r="C92" t="inlineStr">
        <is>
          <t>20100</t>
        </is>
      </c>
      <c r="D92" s="7" t="n">
        <v>55.9</v>
      </c>
      <c r="E92" t="n">
        <v>55.89564153955906</v>
      </c>
      <c r="F92" s="7" t="n">
        <v>44.1</v>
      </c>
      <c r="G92" s="6" t="n">
        <v>58874</v>
      </c>
      <c r="H92" s="6" t="n">
        <v>32908</v>
      </c>
      <c r="I92" s="6" t="n">
        <v>25966</v>
      </c>
      <c r="J92" t="inlineStr">
        <is>
          <t>https://www2.census.gov/programs-surveys/susb/datasets/2022/msa_3digitnaics_2022.txt</t>
        </is>
      </c>
    </row>
    <row r="93">
      <c r="A93" t="n">
        <v>92</v>
      </c>
      <c r="B93" t="inlineStr">
        <is>
          <t>Cape Coral-Fort Myers, FL Metro Area</t>
        </is>
      </c>
      <c r="C93" t="inlineStr">
        <is>
          <t>15980</t>
        </is>
      </c>
      <c r="D93" s="7" t="n">
        <v>55.8</v>
      </c>
      <c r="E93" t="n">
        <v>55.84613998456543</v>
      </c>
      <c r="F93" s="7" t="n">
        <v>44.2</v>
      </c>
      <c r="G93" s="6" t="n">
        <v>255271</v>
      </c>
      <c r="H93" s="6" t="n">
        <v>142559</v>
      </c>
      <c r="I93" s="6" t="n">
        <v>112712</v>
      </c>
      <c r="J93" t="inlineStr">
        <is>
          <t>https://www2.census.gov/programs-surveys/susb/datasets/2022/msa_3digitnaics_2022.txt</t>
        </is>
      </c>
    </row>
    <row r="94">
      <c r="A94" t="n">
        <v>93</v>
      </c>
      <c r="B94" t="inlineStr">
        <is>
          <t>Wilmington, NC Metro Area</t>
        </is>
      </c>
      <c r="C94" t="inlineStr">
        <is>
          <t>48900</t>
        </is>
      </c>
      <c r="D94" s="7" t="n">
        <v>55.8</v>
      </c>
      <c r="E94" t="n">
        <v>55.79358096476799</v>
      </c>
      <c r="F94" s="7" t="n">
        <v>44.2</v>
      </c>
      <c r="G94" s="6" t="n">
        <v>156846</v>
      </c>
      <c r="H94" s="6" t="n">
        <v>87510</v>
      </c>
      <c r="I94" s="6" t="n">
        <v>69336</v>
      </c>
      <c r="J94" t="inlineStr">
        <is>
          <t>https://www2.census.gov/programs-surveys/susb/datasets/2022/msa_3digitnaics_2022.txt</t>
        </is>
      </c>
    </row>
    <row r="95">
      <c r="A95" t="n">
        <v>94</v>
      </c>
      <c r="B95" t="inlineStr">
        <is>
          <t>Homosassa Springs, FL Metro Area</t>
        </is>
      </c>
      <c r="C95" t="inlineStr">
        <is>
          <t>26140</t>
        </is>
      </c>
      <c r="D95" s="7" t="n">
        <v>55.8</v>
      </c>
      <c r="E95" t="n">
        <v>55.75578785352402</v>
      </c>
      <c r="F95" s="7" t="n">
        <v>44.2</v>
      </c>
      <c r="G95" s="6" t="n">
        <v>31186</v>
      </c>
      <c r="H95" s="6" t="n">
        <v>17388</v>
      </c>
      <c r="I95" s="6" t="n">
        <v>13798</v>
      </c>
      <c r="J95" t="inlineStr">
        <is>
          <t>https://www2.census.gov/programs-surveys/susb/datasets/2022/msa_3digitnaics_2022.txt</t>
        </is>
      </c>
    </row>
    <row r="96">
      <c r="A96" t="n">
        <v>95</v>
      </c>
      <c r="B96" t="inlineStr">
        <is>
          <t>Punta Gorda, FL Metro Area</t>
        </is>
      </c>
      <c r="C96" t="inlineStr">
        <is>
          <t>39460</t>
        </is>
      </c>
      <c r="D96" s="7" t="n">
        <v>55.5</v>
      </c>
      <c r="E96" t="n">
        <v>55.50223240933075</v>
      </c>
      <c r="F96" s="7" t="n">
        <v>44.5</v>
      </c>
      <c r="G96" s="6" t="n">
        <v>41883</v>
      </c>
      <c r="H96" s="6" t="n">
        <v>23246</v>
      </c>
      <c r="I96" s="6" t="n">
        <v>18637</v>
      </c>
      <c r="J96" t="inlineStr">
        <is>
          <t>https://www2.census.gov/programs-surveys/susb/datasets/2022/msa_3digitnaics_2022.txt</t>
        </is>
      </c>
    </row>
    <row r="97">
      <c r="A97" t="n">
        <v>96</v>
      </c>
      <c r="B97" t="inlineStr">
        <is>
          <t>Pocatello, ID Metro Area</t>
        </is>
      </c>
      <c r="C97" t="inlineStr">
        <is>
          <t>38540</t>
        </is>
      </c>
      <c r="D97" s="7" t="n">
        <v>55.2</v>
      </c>
      <c r="E97" t="n">
        <v>55.2426281133696</v>
      </c>
      <c r="F97" s="7" t="n">
        <v>44.8</v>
      </c>
      <c r="G97" s="6" t="n">
        <v>27944</v>
      </c>
      <c r="H97" s="6" t="n">
        <v>15437</v>
      </c>
      <c r="I97" s="6" t="n">
        <v>12507</v>
      </c>
      <c r="J97" t="inlineStr">
        <is>
          <t>https://www2.census.gov/programs-surveys/susb/datasets/2022/msa_3digitnaics_2022.txt</t>
        </is>
      </c>
    </row>
    <row r="98">
      <c r="A98" t="n">
        <v>97</v>
      </c>
      <c r="B98" t="inlineStr">
        <is>
          <t>Sebring, FL Metro Area</t>
        </is>
      </c>
      <c r="C98" t="inlineStr">
        <is>
          <t>42700</t>
        </is>
      </c>
      <c r="D98" s="7" t="n">
        <v>55.1</v>
      </c>
      <c r="E98" t="n">
        <v>55.14209591474245</v>
      </c>
      <c r="F98" s="7" t="n">
        <v>44.9</v>
      </c>
      <c r="G98" s="6" t="n">
        <v>22520</v>
      </c>
      <c r="H98" s="6" t="n">
        <v>12418</v>
      </c>
      <c r="I98" s="6" t="n">
        <v>10102</v>
      </c>
      <c r="J98" t="inlineStr">
        <is>
          <t>https://www2.census.gov/programs-surveys/susb/datasets/2022/msa_3digitnaics_2022.txt</t>
        </is>
      </c>
    </row>
    <row r="99">
      <c r="A99" t="n">
        <v>98</v>
      </c>
      <c r="B99" t="inlineStr">
        <is>
          <t>Niles, MI Metro Area</t>
        </is>
      </c>
      <c r="C99" t="inlineStr">
        <is>
          <t>35660</t>
        </is>
      </c>
      <c r="D99" s="7" t="n">
        <v>55</v>
      </c>
      <c r="E99" t="n">
        <v>54.95656519065191</v>
      </c>
      <c r="F99" s="7" t="n">
        <v>45</v>
      </c>
      <c r="G99" s="6" t="n">
        <v>52032</v>
      </c>
      <c r="H99" s="6" t="n">
        <v>28595</v>
      </c>
      <c r="I99" s="6" t="n">
        <v>23437</v>
      </c>
      <c r="J99" t="inlineStr">
        <is>
          <t>https://www2.census.gov/programs-surveys/susb/datasets/2022/msa_3digitnaics_2022.txt</t>
        </is>
      </c>
    </row>
    <row r="100">
      <c r="A100" t="n">
        <v>99</v>
      </c>
      <c r="B100" t="inlineStr">
        <is>
          <t>Lancaster, PA Metro Area</t>
        </is>
      </c>
      <c r="C100" t="inlineStr">
        <is>
          <t>29540</t>
        </is>
      </c>
      <c r="D100" s="7" t="n">
        <v>54.9</v>
      </c>
      <c r="E100" t="n">
        <v>54.92405703471678</v>
      </c>
      <c r="F100" s="7" t="n">
        <v>45.1</v>
      </c>
      <c r="G100" s="6" t="n">
        <v>245184</v>
      </c>
      <c r="H100" s="6" t="n">
        <v>134665</v>
      </c>
      <c r="I100" s="6" t="n">
        <v>110519</v>
      </c>
      <c r="J100" t="inlineStr">
        <is>
          <t>https://www2.census.gov/programs-surveys/susb/datasets/2022/msa_3digitnaics_2022.txt</t>
        </is>
      </c>
    </row>
    <row r="101">
      <c r="A101" t="n">
        <v>100</v>
      </c>
      <c r="B101" t="inlineStr">
        <is>
          <t>Lubbock, TX Metro Area</t>
        </is>
      </c>
      <c r="C101" t="inlineStr">
        <is>
          <t>31180</t>
        </is>
      </c>
      <c r="D101" s="7" t="n">
        <v>54.7</v>
      </c>
      <c r="E101" t="n">
        <v>54.71266836437272</v>
      </c>
      <c r="F101" s="7" t="n">
        <v>45.3</v>
      </c>
      <c r="G101" s="6" t="n">
        <v>130372</v>
      </c>
      <c r="H101" s="6" t="n">
        <v>71330</v>
      </c>
      <c r="I101" s="6" t="n">
        <v>59042</v>
      </c>
      <c r="J101" t="inlineStr">
        <is>
          <t>https://www2.census.gov/programs-surveys/susb/datasets/2022/msa_3digitnaics_2022.txt</t>
        </is>
      </c>
    </row>
    <row r="102">
      <c r="A102" t="n">
        <v>101</v>
      </c>
      <c r="B102" t="inlineStr">
        <is>
          <t>Waterbury-Shelton, CT Metro Area</t>
        </is>
      </c>
      <c r="C102" t="inlineStr">
        <is>
          <t>47930</t>
        </is>
      </c>
      <c r="D102" s="7" t="n">
        <v>54.7</v>
      </c>
      <c r="E102" t="n">
        <v>54.70119245701608</v>
      </c>
      <c r="F102" s="7" t="n">
        <v>45.3</v>
      </c>
      <c r="G102" s="6" t="n">
        <v>144240</v>
      </c>
      <c r="H102" s="6" t="n">
        <v>78901</v>
      </c>
      <c r="I102" s="6" t="n">
        <v>65339</v>
      </c>
      <c r="J102" t="inlineStr">
        <is>
          <t>https://www2.census.gov/programs-surveys/susb/datasets/2022/msa_3digitnaics_2022.txt</t>
        </is>
      </c>
    </row>
    <row r="103">
      <c r="A103" t="n">
        <v>102</v>
      </c>
      <c r="B103" t="inlineStr">
        <is>
          <t>Jacksonville, NC Metro Area</t>
        </is>
      </c>
      <c r="C103" t="inlineStr">
        <is>
          <t>27340</t>
        </is>
      </c>
      <c r="D103" s="7" t="n">
        <v>54.7</v>
      </c>
      <c r="E103" t="n">
        <v>54.69871253693542</v>
      </c>
      <c r="F103" s="7" t="n">
        <v>45.3</v>
      </c>
      <c r="G103" s="6" t="n">
        <v>37904</v>
      </c>
      <c r="H103" s="6" t="n">
        <v>20733</v>
      </c>
      <c r="I103" s="6" t="n">
        <v>17171</v>
      </c>
      <c r="J103" t="inlineStr">
        <is>
          <t>https://www2.census.gov/programs-surveys/susb/datasets/2022/msa_3digitnaics_2022.txt</t>
        </is>
      </c>
    </row>
    <row r="104">
      <c r="A104" t="n">
        <v>103</v>
      </c>
      <c r="B104" t="inlineStr">
        <is>
          <t>Tallahassee, FL Metro Area</t>
        </is>
      </c>
      <c r="C104" t="inlineStr">
        <is>
          <t>45220</t>
        </is>
      </c>
      <c r="D104" s="7" t="n">
        <v>54.5</v>
      </c>
      <c r="E104" t="n">
        <v>54.51185040226136</v>
      </c>
      <c r="F104" s="7" t="n">
        <v>45.5</v>
      </c>
      <c r="G104" s="6" t="n">
        <v>119574</v>
      </c>
      <c r="H104" s="6" t="n">
        <v>65182</v>
      </c>
      <c r="I104" s="6" t="n">
        <v>54392</v>
      </c>
      <c r="J104" t="inlineStr">
        <is>
          <t>https://www2.census.gov/programs-surveys/susb/datasets/2022/msa_3digitnaics_2022.txt</t>
        </is>
      </c>
    </row>
    <row r="105">
      <c r="A105" t="n">
        <v>104</v>
      </c>
      <c r="B105" t="inlineStr">
        <is>
          <t>El Centro, CA Metro Area</t>
        </is>
      </c>
      <c r="C105" t="inlineStr">
        <is>
          <t>20940</t>
        </is>
      </c>
      <c r="D105" s="7" t="n">
        <v>54.4</v>
      </c>
      <c r="E105" t="n">
        <v>54.37750058837374</v>
      </c>
      <c r="F105" s="7" t="n">
        <v>45.6</v>
      </c>
      <c r="G105" s="6" t="n">
        <v>33992</v>
      </c>
      <c r="H105" s="6" t="n">
        <v>18484</v>
      </c>
      <c r="I105" s="6" t="n">
        <v>15508</v>
      </c>
      <c r="J105" t="inlineStr">
        <is>
          <t>https://www2.census.gov/programs-surveys/susb/datasets/2022/msa_3digitnaics_2022.txt</t>
        </is>
      </c>
    </row>
    <row r="106">
      <c r="A106" t="n">
        <v>105</v>
      </c>
      <c r="B106" t="inlineStr">
        <is>
          <t>Idaho Falls, ID Metro Area</t>
        </is>
      </c>
      <c r="C106" t="inlineStr">
        <is>
          <t>26820</t>
        </is>
      </c>
      <c r="D106" s="7" t="n">
        <v>54.4</v>
      </c>
      <c r="E106" t="n">
        <v>54.37292377362988</v>
      </c>
      <c r="F106" s="7" t="n">
        <v>45.6</v>
      </c>
      <c r="G106" s="6" t="n">
        <v>67129</v>
      </c>
      <c r="H106" s="6" t="n">
        <v>36500</v>
      </c>
      <c r="I106" s="6" t="n">
        <v>30629</v>
      </c>
      <c r="J106" t="inlineStr">
        <is>
          <t>https://www2.census.gov/programs-surveys/susb/datasets/2022/msa_3digitnaics_2022.txt</t>
        </is>
      </c>
    </row>
    <row r="107">
      <c r="A107" t="n">
        <v>106</v>
      </c>
      <c r="B107" t="inlineStr">
        <is>
          <t>Bakersfield-Delano, CA Metro Area</t>
        </is>
      </c>
      <c r="C107" t="inlineStr">
        <is>
          <t>12540</t>
        </is>
      </c>
      <c r="D107" s="7" t="n">
        <v>54.3</v>
      </c>
      <c r="E107" t="n">
        <v>54.34961235813854</v>
      </c>
      <c r="F107" s="7" t="n">
        <v>45.7</v>
      </c>
      <c r="G107" s="6" t="n">
        <v>206892</v>
      </c>
      <c r="H107" s="6" t="n">
        <v>112445</v>
      </c>
      <c r="I107" s="6" t="n">
        <v>94447</v>
      </c>
      <c r="J107" t="inlineStr">
        <is>
          <t>https://www2.census.gov/programs-surveys/susb/datasets/2022/msa_3digitnaics_2022.txt</t>
        </is>
      </c>
    </row>
    <row r="108">
      <c r="A108" t="n">
        <v>107</v>
      </c>
      <c r="B108" t="inlineStr">
        <is>
          <t>Amherst Town-Northampton, MA Metro Area</t>
        </is>
      </c>
      <c r="C108" t="inlineStr">
        <is>
          <t>11200</t>
        </is>
      </c>
      <c r="D108" s="7" t="n">
        <v>54.2</v>
      </c>
      <c r="E108" t="n">
        <v>54.24334316454119</v>
      </c>
      <c r="F108" s="7" t="n">
        <v>45.8</v>
      </c>
      <c r="G108" s="6" t="n">
        <v>48146</v>
      </c>
      <c r="H108" s="6" t="n">
        <v>26116</v>
      </c>
      <c r="I108" s="6" t="n">
        <v>22030</v>
      </c>
      <c r="J108" t="inlineStr">
        <is>
          <t>https://www2.census.gov/programs-surveys/susb/datasets/2022/msa_3digitnaics_2022.txt</t>
        </is>
      </c>
    </row>
    <row r="109">
      <c r="A109" t="n">
        <v>108</v>
      </c>
      <c r="B109" t="inlineStr">
        <is>
          <t>Texarkana, TX-AR Metro Area</t>
        </is>
      </c>
      <c r="C109" t="inlineStr">
        <is>
          <t>45500</t>
        </is>
      </c>
      <c r="D109" s="7" t="n">
        <v>54.2</v>
      </c>
      <c r="E109" t="n">
        <v>54.21567360303305</v>
      </c>
      <c r="F109" s="7" t="n">
        <v>45.8</v>
      </c>
      <c r="G109" s="6" t="n">
        <v>46422</v>
      </c>
      <c r="H109" s="6" t="n">
        <v>25168</v>
      </c>
      <c r="I109" s="6" t="n">
        <v>21254</v>
      </c>
      <c r="J109" t="inlineStr">
        <is>
          <t>https://www2.census.gov/programs-surveys/susb/datasets/2022/msa_3digitnaics_2022.txt</t>
        </is>
      </c>
    </row>
    <row r="110">
      <c r="A110" t="n">
        <v>109</v>
      </c>
      <c r="B110" t="inlineStr">
        <is>
          <t>Lake Charles, LA Metro Area</t>
        </is>
      </c>
      <c r="C110" t="inlineStr">
        <is>
          <t>29340</t>
        </is>
      </c>
      <c r="D110" s="7" t="n">
        <v>54</v>
      </c>
      <c r="E110" t="n">
        <v>54.01184298574549</v>
      </c>
      <c r="F110" s="7" t="n">
        <v>46</v>
      </c>
      <c r="G110" s="6" t="n">
        <v>79203</v>
      </c>
      <c r="H110" s="6" t="n">
        <v>42779</v>
      </c>
      <c r="I110" s="6" t="n">
        <v>36424</v>
      </c>
      <c r="J110" t="inlineStr">
        <is>
          <t>https://www2.census.gov/programs-surveys/susb/datasets/2022/msa_3digitnaics_2022.txt</t>
        </is>
      </c>
    </row>
    <row r="111">
      <c r="A111" t="n">
        <v>110</v>
      </c>
      <c r="B111" t="inlineStr">
        <is>
          <t>Bismarck, ND Metro Area</t>
        </is>
      </c>
      <c r="C111" t="inlineStr">
        <is>
          <t>13900</t>
        </is>
      </c>
      <c r="D111" s="7" t="n">
        <v>53.9</v>
      </c>
      <c r="E111" t="n">
        <v>53.91547651744026</v>
      </c>
      <c r="F111" s="7" t="n">
        <v>46.1</v>
      </c>
      <c r="G111" s="6" t="n">
        <v>58256</v>
      </c>
      <c r="H111" s="6" t="n">
        <v>31409</v>
      </c>
      <c r="I111" s="6" t="n">
        <v>26847</v>
      </c>
      <c r="J111" t="inlineStr">
        <is>
          <t>https://www2.census.gov/programs-surveys/susb/datasets/2022/msa_3digitnaics_2022.txt</t>
        </is>
      </c>
    </row>
    <row r="112">
      <c r="A112" t="n">
        <v>111</v>
      </c>
      <c r="B112" t="inlineStr">
        <is>
          <t>Greeley, CO Metro Area</t>
        </is>
      </c>
      <c r="C112" t="inlineStr">
        <is>
          <t>24540</t>
        </is>
      </c>
      <c r="D112" s="7" t="n">
        <v>53.9</v>
      </c>
      <c r="E112" t="n">
        <v>53.89920477736782</v>
      </c>
      <c r="F112" s="7" t="n">
        <v>46.1</v>
      </c>
      <c r="G112" s="6" t="n">
        <v>99469</v>
      </c>
      <c r="H112" s="6" t="n">
        <v>53613</v>
      </c>
      <c r="I112" s="6" t="n">
        <v>45856</v>
      </c>
      <c r="J112" t="inlineStr">
        <is>
          <t>https://www2.census.gov/programs-surveys/susb/datasets/2022/msa_3digitnaics_2022.txt</t>
        </is>
      </c>
    </row>
    <row r="113">
      <c r="A113" t="n">
        <v>112</v>
      </c>
      <c r="B113" t="inlineStr">
        <is>
          <t>Duluth, MN-WI Metro Area</t>
        </is>
      </c>
      <c r="C113" t="inlineStr">
        <is>
          <t>20260</t>
        </is>
      </c>
      <c r="D113" s="7" t="n">
        <v>53.8</v>
      </c>
      <c r="E113" t="n">
        <v>53.80609967765931</v>
      </c>
      <c r="F113" s="7" t="n">
        <v>46.2</v>
      </c>
      <c r="G113" s="6" t="n">
        <v>104858</v>
      </c>
      <c r="H113" s="6" t="n">
        <v>56420</v>
      </c>
      <c r="I113" s="6" t="n">
        <v>48438</v>
      </c>
      <c r="J113" t="inlineStr">
        <is>
          <t>https://www2.census.gov/programs-surveys/susb/datasets/2022/msa_3digitnaics_2022.txt</t>
        </is>
      </c>
    </row>
    <row r="114">
      <c r="A114" t="n">
        <v>113</v>
      </c>
      <c r="B114" t="inlineStr">
        <is>
          <t>Shreveport-Bossier City, LA Metro Area</t>
        </is>
      </c>
      <c r="C114" t="inlineStr">
        <is>
          <t>43340</t>
        </is>
      </c>
      <c r="D114" s="7" t="n">
        <v>53.7</v>
      </c>
      <c r="E114" t="n">
        <v>53.7325954490595</v>
      </c>
      <c r="F114" s="7" t="n">
        <v>46.3</v>
      </c>
      <c r="G114" s="6" t="n">
        <v>135884</v>
      </c>
      <c r="H114" s="6" t="n">
        <v>73014</v>
      </c>
      <c r="I114" s="6" t="n">
        <v>62870</v>
      </c>
      <c r="J114" t="inlineStr">
        <is>
          <t>https://www2.census.gov/programs-surveys/susb/datasets/2022/msa_3digitnaics_2022.txt</t>
        </is>
      </c>
    </row>
    <row r="115">
      <c r="A115" t="n">
        <v>114</v>
      </c>
      <c r="B115" t="inlineStr">
        <is>
          <t>Kiryas Joel-Poughkeepsie-Newburgh, NY Metro Area</t>
        </is>
      </c>
      <c r="C115" t="inlineStr">
        <is>
          <t>28880</t>
        </is>
      </c>
      <c r="D115" s="7" t="n">
        <v>53.7</v>
      </c>
      <c r="E115" t="n">
        <v>53.72160252963264</v>
      </c>
      <c r="F115" s="7" t="n">
        <v>46.3</v>
      </c>
      <c r="G115" s="6" t="n">
        <v>217581</v>
      </c>
      <c r="H115" s="6" t="n">
        <v>116888</v>
      </c>
      <c r="I115" s="6" t="n">
        <v>100693</v>
      </c>
      <c r="J115" t="inlineStr">
        <is>
          <t>https://www2.census.gov/programs-surveys/susb/datasets/2022/msa_3digitnaics_2022.txt</t>
        </is>
      </c>
    </row>
    <row r="116">
      <c r="A116" t="n">
        <v>115</v>
      </c>
      <c r="B116" t="inlineStr">
        <is>
          <t>Panama City-Panama City Beach, FL Metro Area</t>
        </is>
      </c>
      <c r="C116" t="inlineStr">
        <is>
          <t>37460</t>
        </is>
      </c>
      <c r="D116" s="7" t="n">
        <v>53.7</v>
      </c>
      <c r="E116" t="n">
        <v>53.6786492545503</v>
      </c>
      <c r="F116" s="7" t="n">
        <v>46.3</v>
      </c>
      <c r="G116" s="6" t="n">
        <v>63787</v>
      </c>
      <c r="H116" s="6" t="n">
        <v>34240</v>
      </c>
      <c r="I116" s="6" t="n">
        <v>29547</v>
      </c>
      <c r="J116" t="inlineStr">
        <is>
          <t>https://www2.census.gov/programs-surveys/susb/datasets/2022/msa_3digitnaics_2022.txt</t>
        </is>
      </c>
    </row>
    <row r="117">
      <c r="A117" t="n">
        <v>116</v>
      </c>
      <c r="B117" t="inlineStr">
        <is>
          <t>Albany, OR Metro Area</t>
        </is>
      </c>
      <c r="C117" t="inlineStr">
        <is>
          <t>10540</t>
        </is>
      </c>
      <c r="D117" s="7" t="n">
        <v>53.6</v>
      </c>
      <c r="E117" t="n">
        <v>53.64448806694907</v>
      </c>
      <c r="F117" s="7" t="n">
        <v>46.4</v>
      </c>
      <c r="G117" s="6" t="n">
        <v>38716</v>
      </c>
      <c r="H117" s="6" t="n">
        <v>20769</v>
      </c>
      <c r="I117" s="6" t="n">
        <v>17947</v>
      </c>
      <c r="J117" t="inlineStr">
        <is>
          <t>https://www2.census.gov/programs-surveys/susb/datasets/2022/msa_3digitnaics_2022.txt</t>
        </is>
      </c>
    </row>
    <row r="118">
      <c r="A118" t="n">
        <v>117</v>
      </c>
      <c r="B118" t="inlineStr">
        <is>
          <t>Paducah, KY-IL Metro Area</t>
        </is>
      </c>
      <c r="C118" t="inlineStr">
        <is>
          <t>37140</t>
        </is>
      </c>
      <c r="D118" s="7" t="n">
        <v>53.6</v>
      </c>
      <c r="E118" t="n">
        <v>53.64136035726555</v>
      </c>
      <c r="F118" s="7" t="n">
        <v>46.4</v>
      </c>
      <c r="G118" s="6" t="n">
        <v>40754</v>
      </c>
      <c r="H118" s="6" t="n">
        <v>21861</v>
      </c>
      <c r="I118" s="6" t="n">
        <v>18893</v>
      </c>
      <c r="J118" t="inlineStr">
        <is>
          <t>https://www2.census.gov/programs-surveys/susb/datasets/2022/msa_3digitnaics_2022.txt</t>
        </is>
      </c>
    </row>
    <row r="119">
      <c r="A119" t="n">
        <v>118</v>
      </c>
      <c r="B119" t="inlineStr">
        <is>
          <t>Lewiston-Auburn, ME Metro Area</t>
        </is>
      </c>
      <c r="C119" t="inlineStr">
        <is>
          <t>30340</t>
        </is>
      </c>
      <c r="D119" s="7" t="n">
        <v>53.6</v>
      </c>
      <c r="E119" t="n">
        <v>53.58812719532904</v>
      </c>
      <c r="F119" s="7" t="n">
        <v>46.4</v>
      </c>
      <c r="G119" s="6" t="n">
        <v>42989</v>
      </c>
      <c r="H119" s="6" t="n">
        <v>23037</v>
      </c>
      <c r="I119" s="6" t="n">
        <v>19952</v>
      </c>
      <c r="J119" t="inlineStr">
        <is>
          <t>https://www2.census.gov/programs-surveys/susb/datasets/2022/msa_3digitnaics_2022.txt</t>
        </is>
      </c>
    </row>
    <row r="120">
      <c r="A120" t="n">
        <v>119</v>
      </c>
      <c r="B120" t="inlineStr">
        <is>
          <t>San Angelo, TX Metro Area</t>
        </is>
      </c>
      <c r="C120" t="inlineStr">
        <is>
          <t>41660</t>
        </is>
      </c>
      <c r="D120" s="7" t="n">
        <v>53.6</v>
      </c>
      <c r="E120" t="n">
        <v>53.55937108131571</v>
      </c>
      <c r="F120" s="7" t="n">
        <v>46.4</v>
      </c>
      <c r="G120" s="6" t="n">
        <v>41468</v>
      </c>
      <c r="H120" s="6" t="n">
        <v>22210</v>
      </c>
      <c r="I120" s="6" t="n">
        <v>19258</v>
      </c>
      <c r="J120" t="inlineStr">
        <is>
          <t>https://www2.census.gov/programs-surveys/susb/datasets/2022/msa_3digitnaics_2022.txt</t>
        </is>
      </c>
    </row>
    <row r="121">
      <c r="A121" t="n">
        <v>120</v>
      </c>
      <c r="B121" t="inlineStr">
        <is>
          <t>Miami-Fort Lauderdale-West Palm Beach, FL Metro Area</t>
        </is>
      </c>
      <c r="C121" t="inlineStr">
        <is>
          <t>33100</t>
        </is>
      </c>
      <c r="D121" s="7" t="n">
        <v>53.6</v>
      </c>
      <c r="E121" t="n">
        <v>53.55800573784821</v>
      </c>
      <c r="F121" s="7" t="n">
        <v>46.4</v>
      </c>
      <c r="G121" s="6" t="n">
        <v>2333976</v>
      </c>
      <c r="H121" s="6" t="n">
        <v>1250031</v>
      </c>
      <c r="I121" s="6" t="n">
        <v>1083945</v>
      </c>
      <c r="J121" t="inlineStr">
        <is>
          <t>https://www2.census.gov/programs-surveys/susb/datasets/2022/msa_3digitnaics_2022.txt</t>
        </is>
      </c>
    </row>
    <row r="122">
      <c r="A122" t="n">
        <v>121</v>
      </c>
      <c r="B122" t="inlineStr">
        <is>
          <t>Vineland, NJ Metro Area</t>
        </is>
      </c>
      <c r="C122" t="inlineStr">
        <is>
          <t>47220</t>
        </is>
      </c>
      <c r="D122" s="7" t="n">
        <v>53.5</v>
      </c>
      <c r="E122" t="n">
        <v>53.51258531495892</v>
      </c>
      <c r="F122" s="7" t="n">
        <v>46.5</v>
      </c>
      <c r="G122" s="6" t="n">
        <v>46006</v>
      </c>
      <c r="H122" s="6" t="n">
        <v>24619</v>
      </c>
      <c r="I122" s="6" t="n">
        <v>21387</v>
      </c>
      <c r="J122" t="inlineStr">
        <is>
          <t>https://www2.census.gov/programs-surveys/susb/datasets/2022/msa_3digitnaics_2022.txt</t>
        </is>
      </c>
    </row>
    <row r="123">
      <c r="A123" t="n">
        <v>122</v>
      </c>
      <c r="B123" t="inlineStr">
        <is>
          <t>Victoria, TX Metro Area</t>
        </is>
      </c>
      <c r="C123" t="inlineStr">
        <is>
          <t>47020</t>
        </is>
      </c>
      <c r="D123" s="7" t="n">
        <v>53.5</v>
      </c>
      <c r="E123" t="n">
        <v>53.48909367339974</v>
      </c>
      <c r="F123" s="7" t="n">
        <v>46.5</v>
      </c>
      <c r="G123" s="6" t="n">
        <v>32229</v>
      </c>
      <c r="H123" s="6" t="n">
        <v>17239</v>
      </c>
      <c r="I123" s="6" t="n">
        <v>14990</v>
      </c>
      <c r="J123" t="inlineStr">
        <is>
          <t>https://www2.census.gov/programs-surveys/susb/datasets/2022/msa_3digitnaics_2022.txt</t>
        </is>
      </c>
    </row>
    <row r="124">
      <c r="A124" t="n">
        <v>123</v>
      </c>
      <c r="B124" t="inlineStr">
        <is>
          <t>Cape Girardeau, MO-IL Metro Area</t>
        </is>
      </c>
      <c r="C124" t="inlineStr">
        <is>
          <t>16020</t>
        </is>
      </c>
      <c r="D124" s="7" t="n">
        <v>53.4</v>
      </c>
      <c r="E124" t="n">
        <v>53.44506979396524</v>
      </c>
      <c r="F124" s="7" t="n">
        <v>46.6</v>
      </c>
      <c r="G124" s="6" t="n">
        <v>40333</v>
      </c>
      <c r="H124" s="6" t="n">
        <v>21556</v>
      </c>
      <c r="I124" s="6" t="n">
        <v>18777</v>
      </c>
      <c r="J124" t="inlineStr">
        <is>
          <t>https://www2.census.gov/programs-surveys/susb/datasets/2022/msa_3digitnaics_2022.txt</t>
        </is>
      </c>
    </row>
    <row r="125">
      <c r="A125" t="n">
        <v>124</v>
      </c>
      <c r="B125" t="inlineStr">
        <is>
          <t>Ogden, UT Metro Area</t>
        </is>
      </c>
      <c r="C125" t="inlineStr">
        <is>
          <t>36260</t>
        </is>
      </c>
      <c r="D125" s="7" t="n">
        <v>53.4</v>
      </c>
      <c r="E125" t="n">
        <v>53.40472211685343</v>
      </c>
      <c r="F125" s="7" t="n">
        <v>46.6</v>
      </c>
      <c r="G125" s="6" t="n">
        <v>195082</v>
      </c>
      <c r="H125" s="6" t="n">
        <v>104183</v>
      </c>
      <c r="I125" s="6" t="n">
        <v>90899</v>
      </c>
      <c r="J125" t="inlineStr">
        <is>
          <t>https://www2.census.gov/programs-surveys/susb/datasets/2022/msa_3digitnaics_2022.txt</t>
        </is>
      </c>
    </row>
    <row r="126">
      <c r="A126" t="n">
        <v>125</v>
      </c>
      <c r="B126" t="inlineStr">
        <is>
          <t>Wichita Falls, TX Metro Area</t>
        </is>
      </c>
      <c r="C126" t="inlineStr">
        <is>
          <t>48660</t>
        </is>
      </c>
      <c r="D126" s="7" t="n">
        <v>53.4</v>
      </c>
      <c r="E126" t="n">
        <v>53.36876392936739</v>
      </c>
      <c r="F126" s="7" t="n">
        <v>46.6</v>
      </c>
      <c r="G126" s="6" t="n">
        <v>46664</v>
      </c>
      <c r="H126" s="6" t="n">
        <v>24904</v>
      </c>
      <c r="I126" s="6" t="n">
        <v>21760</v>
      </c>
      <c r="J126" t="inlineStr">
        <is>
          <t>https://www2.census.gov/programs-surveys/susb/datasets/2022/msa_3digitnaics_2022.txt</t>
        </is>
      </c>
    </row>
    <row r="127">
      <c r="A127" t="n">
        <v>126</v>
      </c>
      <c r="B127" t="inlineStr">
        <is>
          <t>Elmira, NY Metro Area</t>
        </is>
      </c>
      <c r="C127" t="inlineStr">
        <is>
          <t>21300</t>
        </is>
      </c>
      <c r="D127" s="7" t="n">
        <v>53.3</v>
      </c>
      <c r="E127" t="n">
        <v>53.32795623509609</v>
      </c>
      <c r="F127" s="7" t="n">
        <v>46.7</v>
      </c>
      <c r="G127" s="6" t="n">
        <v>28516</v>
      </c>
      <c r="H127" s="6" t="n">
        <v>15207</v>
      </c>
      <c r="I127" s="6" t="n">
        <v>13309</v>
      </c>
      <c r="J127" t="inlineStr">
        <is>
          <t>https://www2.census.gov/programs-surveys/susb/datasets/2022/msa_3digitnaics_2022.txt</t>
        </is>
      </c>
    </row>
    <row r="128">
      <c r="A128" t="n">
        <v>127</v>
      </c>
      <c r="B128" t="inlineStr">
        <is>
          <t>Fresno, CA Metro Area</t>
        </is>
      </c>
      <c r="C128" t="inlineStr">
        <is>
          <t>23420</t>
        </is>
      </c>
      <c r="D128" s="7" t="n">
        <v>53.2</v>
      </c>
      <c r="E128" t="n">
        <v>53.22136360275087</v>
      </c>
      <c r="F128" s="7" t="n">
        <v>46.8</v>
      </c>
      <c r="G128" s="6" t="n">
        <v>324552</v>
      </c>
      <c r="H128" s="6" t="n">
        <v>172731</v>
      </c>
      <c r="I128" s="6" t="n">
        <v>151821</v>
      </c>
      <c r="J128" t="inlineStr">
        <is>
          <t>https://www2.census.gov/programs-surveys/susb/datasets/2022/msa_3digitnaics_2022.txt</t>
        </is>
      </c>
    </row>
    <row r="129">
      <c r="A129" t="n">
        <v>128</v>
      </c>
      <c r="B129" t="inlineStr">
        <is>
          <t>College Station-Bryan, TX Metro Area</t>
        </is>
      </c>
      <c r="C129" t="inlineStr">
        <is>
          <t>17780</t>
        </is>
      </c>
      <c r="D129" s="7" t="n">
        <v>53.2</v>
      </c>
      <c r="E129" t="n">
        <v>53.15712718901785</v>
      </c>
      <c r="F129" s="7" t="n">
        <v>46.8</v>
      </c>
      <c r="G129" s="6" t="n">
        <v>82971</v>
      </c>
      <c r="H129" s="6" t="n">
        <v>44105</v>
      </c>
      <c r="I129" s="6" t="n">
        <v>38866</v>
      </c>
      <c r="J129" t="inlineStr">
        <is>
          <t>https://www2.census.gov/programs-surveys/susb/datasets/2022/msa_3digitnaics_2022.txt</t>
        </is>
      </c>
    </row>
    <row r="130">
      <c r="A130" t="n">
        <v>129</v>
      </c>
      <c r="B130" t="inlineStr">
        <is>
          <t>Racine-Mount Pleasant, WI Metro Area</t>
        </is>
      </c>
      <c r="C130" t="inlineStr">
        <is>
          <t>39540</t>
        </is>
      </c>
      <c r="D130" s="7" t="n">
        <v>53.1</v>
      </c>
      <c r="E130" t="n">
        <v>53.11779315238602</v>
      </c>
      <c r="F130" s="7" t="n">
        <v>46.9</v>
      </c>
      <c r="G130" s="6" t="n">
        <v>67644</v>
      </c>
      <c r="H130" s="6" t="n">
        <v>35931</v>
      </c>
      <c r="I130" s="6" t="n">
        <v>31713</v>
      </c>
      <c r="J130" t="inlineStr">
        <is>
          <t>https://www2.census.gov/programs-surveys/susb/datasets/2022/msa_3digitnaics_2022.txt</t>
        </is>
      </c>
    </row>
    <row r="131">
      <c r="A131" t="n">
        <v>130</v>
      </c>
      <c r="B131" t="inlineStr">
        <is>
          <t>Auburn-Opelika, AL Metro Area</t>
        </is>
      </c>
      <c r="C131" t="inlineStr">
        <is>
          <t>12220</t>
        </is>
      </c>
      <c r="D131" s="7" t="n">
        <v>53</v>
      </c>
      <c r="E131" t="n">
        <v>53.03550555230859</v>
      </c>
      <c r="F131" s="7" t="n">
        <v>47</v>
      </c>
      <c r="G131" s="6" t="n">
        <v>54752</v>
      </c>
      <c r="H131" s="6" t="n">
        <v>29038</v>
      </c>
      <c r="I131" s="6" t="n">
        <v>25714</v>
      </c>
      <c r="J131" t="inlineStr">
        <is>
          <t>https://www2.census.gov/programs-surveys/susb/datasets/2022/msa_3digitnaics_2022.txt</t>
        </is>
      </c>
    </row>
    <row r="132">
      <c r="A132" t="n">
        <v>131</v>
      </c>
      <c r="B132" t="inlineStr">
        <is>
          <t>Spokane-Spokane Valley, WA Metro Area</t>
        </is>
      </c>
      <c r="C132" t="inlineStr">
        <is>
          <t>44060</t>
        </is>
      </c>
      <c r="D132" s="7" t="n">
        <v>53</v>
      </c>
      <c r="E132" t="n">
        <v>53.01711367259696</v>
      </c>
      <c r="F132" s="7" t="n">
        <v>47</v>
      </c>
      <c r="G132" s="6" t="n">
        <v>212637</v>
      </c>
      <c r="H132" s="6" t="n">
        <v>112734</v>
      </c>
      <c r="I132" s="6" t="n">
        <v>99903</v>
      </c>
      <c r="J132" t="inlineStr">
        <is>
          <t>https://www2.census.gov/programs-surveys/susb/datasets/2022/msa_3digitnaics_2022.txt</t>
        </is>
      </c>
    </row>
    <row r="133">
      <c r="A133" t="n">
        <v>132</v>
      </c>
      <c r="B133" t="inlineStr">
        <is>
          <t>Lewiston, ID-WA Metro Area</t>
        </is>
      </c>
      <c r="C133" t="inlineStr">
        <is>
          <t>30300</t>
        </is>
      </c>
      <c r="D133" s="7" t="n">
        <v>53</v>
      </c>
      <c r="E133" t="n">
        <v>52.97478844979499</v>
      </c>
      <c r="F133" s="7" t="n">
        <v>47</v>
      </c>
      <c r="G133" s="6" t="n">
        <v>22926</v>
      </c>
      <c r="H133" s="6" t="n">
        <v>12145</v>
      </c>
      <c r="I133" s="6" t="n">
        <v>10781</v>
      </c>
      <c r="J133" t="inlineStr">
        <is>
          <t>https://www2.census.gov/programs-surveys/susb/datasets/2022/msa_3digitnaics_2022.txt</t>
        </is>
      </c>
    </row>
    <row r="134">
      <c r="A134" t="n">
        <v>133</v>
      </c>
      <c r="B134" t="inlineStr">
        <is>
          <t>Charleston-North Charleston, SC Metro Area</t>
        </is>
      </c>
      <c r="C134" t="inlineStr">
        <is>
          <t>16700</t>
        </is>
      </c>
      <c r="D134" s="7" t="n">
        <v>53</v>
      </c>
      <c r="E134" t="n">
        <v>52.96890002766612</v>
      </c>
      <c r="F134" s="7" t="n">
        <v>47</v>
      </c>
      <c r="G134" s="6" t="n">
        <v>307235</v>
      </c>
      <c r="H134" s="6" t="n">
        <v>162739</v>
      </c>
      <c r="I134" s="6" t="n">
        <v>144496</v>
      </c>
      <c r="J134" t="inlineStr">
        <is>
          <t>https://www2.census.gov/programs-surveys/susb/datasets/2022/msa_3digitnaics_2022.txt</t>
        </is>
      </c>
    </row>
    <row r="135">
      <c r="A135" t="n">
        <v>134</v>
      </c>
      <c r="B135" t="inlineStr">
        <is>
          <t>Boise City, ID Metro Area</t>
        </is>
      </c>
      <c r="C135" t="inlineStr">
        <is>
          <t>14260</t>
        </is>
      </c>
      <c r="D135" s="7" t="n">
        <v>52.9</v>
      </c>
      <c r="E135" t="n">
        <v>52.92091024313039</v>
      </c>
      <c r="F135" s="7" t="n">
        <v>47.1</v>
      </c>
      <c r="G135" s="6" t="n">
        <v>310862</v>
      </c>
      <c r="H135" s="6" t="n">
        <v>164511</v>
      </c>
      <c r="I135" s="6" t="n">
        <v>146351</v>
      </c>
      <c r="J135" t="inlineStr">
        <is>
          <t>https://www2.census.gov/programs-surveys/susb/datasets/2022/msa_3digitnaics_2022.txt</t>
        </is>
      </c>
    </row>
    <row r="136">
      <c r="A136" t="n">
        <v>135</v>
      </c>
      <c r="B136" t="inlineStr">
        <is>
          <t>Mansfield, OH Metro Area</t>
        </is>
      </c>
      <c r="C136" t="inlineStr">
        <is>
          <t>31900</t>
        </is>
      </c>
      <c r="D136" s="7" t="n">
        <v>52.9</v>
      </c>
      <c r="E136" t="n">
        <v>52.85206131483993</v>
      </c>
      <c r="F136" s="7" t="n">
        <v>47.1</v>
      </c>
      <c r="G136" s="6" t="n">
        <v>39077</v>
      </c>
      <c r="H136" s="6" t="n">
        <v>20653</v>
      </c>
      <c r="I136" s="6" t="n">
        <v>18424</v>
      </c>
      <c r="J136" t="inlineStr">
        <is>
          <t>https://www2.census.gov/programs-surveys/susb/datasets/2022/msa_3digitnaics_2022.txt</t>
        </is>
      </c>
    </row>
    <row r="137">
      <c r="A137" t="n">
        <v>136</v>
      </c>
      <c r="B137" t="inlineStr">
        <is>
          <t>Deltona-Daytona Beach-Ormond Beach, FL Metro Area</t>
        </is>
      </c>
      <c r="C137" t="inlineStr">
        <is>
          <t>19660</t>
        </is>
      </c>
      <c r="D137" s="7" t="n">
        <v>52.7</v>
      </c>
      <c r="E137" t="n">
        <v>52.72328091540309</v>
      </c>
      <c r="F137" s="7" t="n">
        <v>47.3</v>
      </c>
      <c r="G137" s="6" t="n">
        <v>184924</v>
      </c>
      <c r="H137" s="6" t="n">
        <v>97498</v>
      </c>
      <c r="I137" s="6" t="n">
        <v>87426</v>
      </c>
      <c r="J137" t="inlineStr">
        <is>
          <t>https://www2.census.gov/programs-surveys/susb/datasets/2022/msa_3digitnaics_2022.txt</t>
        </is>
      </c>
    </row>
    <row r="138">
      <c r="A138" t="n">
        <v>137</v>
      </c>
      <c r="B138" t="inlineStr">
        <is>
          <t>Michigan City-La Porte, IN Metro Area</t>
        </is>
      </c>
      <c r="C138" t="inlineStr">
        <is>
          <t>33140</t>
        </is>
      </c>
      <c r="D138" s="7" t="n">
        <v>52.7</v>
      </c>
      <c r="E138" t="n">
        <v>52.66182787735151</v>
      </c>
      <c r="F138" s="7" t="n">
        <v>47.3</v>
      </c>
      <c r="G138" s="6" t="n">
        <v>33755</v>
      </c>
      <c r="H138" s="6" t="n">
        <v>17776</v>
      </c>
      <c r="I138" s="6" t="n">
        <v>15979</v>
      </c>
      <c r="J138" t="inlineStr">
        <is>
          <t>https://www2.census.gov/programs-surveys/susb/datasets/2022/msa_3digitnaics_2022.txt</t>
        </is>
      </c>
    </row>
    <row r="139">
      <c r="A139" t="n">
        <v>138</v>
      </c>
      <c r="B139" t="inlineStr">
        <is>
          <t>Los Angeles-Long Beach-Anaheim, CA Metro Area</t>
        </is>
      </c>
      <c r="C139" t="inlineStr">
        <is>
          <t>31080</t>
        </is>
      </c>
      <c r="D139" s="7" t="n">
        <v>52.6</v>
      </c>
      <c r="E139" t="n">
        <v>52.58457216220127</v>
      </c>
      <c r="F139" s="7" t="n">
        <v>47.4</v>
      </c>
      <c r="G139" s="6" t="n">
        <v>5460130</v>
      </c>
      <c r="H139" s="6" t="n">
        <v>2871186</v>
      </c>
      <c r="I139" s="6" t="n">
        <v>2588944</v>
      </c>
      <c r="J139" t="inlineStr">
        <is>
          <t>https://www2.census.gov/programs-surveys/susb/datasets/2022/msa_3digitnaics_2022.txt</t>
        </is>
      </c>
    </row>
    <row r="140">
      <c r="A140" t="n">
        <v>139</v>
      </c>
      <c r="B140" t="inlineStr">
        <is>
          <t>Eau Claire, WI Metro Area</t>
        </is>
      </c>
      <c r="C140" t="inlineStr">
        <is>
          <t>20740</t>
        </is>
      </c>
      <c r="D140" s="7" t="n">
        <v>52.6</v>
      </c>
      <c r="E140" t="n">
        <v>52.56901530075289</v>
      </c>
      <c r="F140" s="7" t="n">
        <v>47.4</v>
      </c>
      <c r="G140" s="6" t="n">
        <v>74114</v>
      </c>
      <c r="H140" s="6" t="n">
        <v>38961</v>
      </c>
      <c r="I140" s="6" t="n">
        <v>35153</v>
      </c>
      <c r="J140" t="inlineStr">
        <is>
          <t>https://www2.census.gov/programs-surveys/susb/datasets/2022/msa_3digitnaics_2022.txt</t>
        </is>
      </c>
    </row>
    <row r="141">
      <c r="A141" t="n">
        <v>140</v>
      </c>
      <c r="B141" t="inlineStr">
        <is>
          <t>Valdosta, GA Metro Area</t>
        </is>
      </c>
      <c r="C141" t="inlineStr">
        <is>
          <t>46660</t>
        </is>
      </c>
      <c r="D141" s="7" t="n">
        <v>52.6</v>
      </c>
      <c r="E141" t="n">
        <v>52.55278485620677</v>
      </c>
      <c r="F141" s="7" t="n">
        <v>47.4</v>
      </c>
      <c r="G141" s="6" t="n">
        <v>43952</v>
      </c>
      <c r="H141" s="6" t="n">
        <v>23098</v>
      </c>
      <c r="I141" s="6" t="n">
        <v>20854</v>
      </c>
      <c r="J141" t="inlineStr">
        <is>
          <t>https://www2.census.gov/programs-surveys/susb/datasets/2022/msa_3digitnaics_2022.txt</t>
        </is>
      </c>
    </row>
    <row r="142">
      <c r="A142" t="n">
        <v>141</v>
      </c>
      <c r="B142" t="inlineStr">
        <is>
          <t>Lincoln, NE Metro Area</t>
        </is>
      </c>
      <c r="C142" t="inlineStr">
        <is>
          <t>30700</t>
        </is>
      </c>
      <c r="D142" s="7" t="n">
        <v>52.5</v>
      </c>
      <c r="E142" t="n">
        <v>52.50392670157068</v>
      </c>
      <c r="F142" s="7" t="n">
        <v>47.5</v>
      </c>
      <c r="G142" s="6" t="n">
        <v>152800</v>
      </c>
      <c r="H142" s="6" t="n">
        <v>80226</v>
      </c>
      <c r="I142" s="6" t="n">
        <v>72574</v>
      </c>
      <c r="J142" t="inlineStr">
        <is>
          <t>https://www2.census.gov/programs-surveys/susb/datasets/2022/msa_3digitnaics_2022.txt</t>
        </is>
      </c>
    </row>
    <row r="143">
      <c r="A143" t="n">
        <v>142</v>
      </c>
      <c r="B143" t="inlineStr">
        <is>
          <t>Logan, UT-ID Metro Area</t>
        </is>
      </c>
      <c r="C143" t="inlineStr">
        <is>
          <t>30860</t>
        </is>
      </c>
      <c r="D143" s="7" t="n">
        <v>52.5</v>
      </c>
      <c r="E143" t="n">
        <v>52.48966906867935</v>
      </c>
      <c r="F143" s="7" t="n">
        <v>47.5</v>
      </c>
      <c r="G143" s="6" t="n">
        <v>58562</v>
      </c>
      <c r="H143" s="6" t="n">
        <v>30739</v>
      </c>
      <c r="I143" s="6" t="n">
        <v>27823</v>
      </c>
      <c r="J143" t="inlineStr">
        <is>
          <t>https://www2.census.gov/programs-surveys/susb/datasets/2022/msa_3digitnaics_2022.txt</t>
        </is>
      </c>
    </row>
    <row r="144">
      <c r="A144" t="n">
        <v>143</v>
      </c>
      <c r="B144" t="inlineStr">
        <is>
          <t>Fond du Lac, WI Metro Area</t>
        </is>
      </c>
      <c r="C144" t="inlineStr">
        <is>
          <t>22540</t>
        </is>
      </c>
      <c r="D144" s="7" t="n">
        <v>52.5</v>
      </c>
      <c r="E144" t="n">
        <v>52.46135892733811</v>
      </c>
      <c r="F144" s="7" t="n">
        <v>47.5</v>
      </c>
      <c r="G144" s="6" t="n">
        <v>41989</v>
      </c>
      <c r="H144" s="6" t="n">
        <v>22028</v>
      </c>
      <c r="I144" s="6" t="n">
        <v>19961</v>
      </c>
      <c r="J144" t="inlineStr">
        <is>
          <t>https://www2.census.gov/programs-surveys/susb/datasets/2022/msa_3digitnaics_2022.txt</t>
        </is>
      </c>
    </row>
    <row r="145">
      <c r="A145" t="n">
        <v>144</v>
      </c>
      <c r="B145" t="inlineStr">
        <is>
          <t>Portland-South Portland, ME Metro Area</t>
        </is>
      </c>
      <c r="C145" t="inlineStr">
        <is>
          <t>38860</t>
        </is>
      </c>
      <c r="D145" s="7" t="n">
        <v>52.4</v>
      </c>
      <c r="E145" t="n">
        <v>52.43069028594959</v>
      </c>
      <c r="F145" s="7" t="n">
        <v>47.6</v>
      </c>
      <c r="G145" s="6" t="n">
        <v>252562</v>
      </c>
      <c r="H145" s="6" t="n">
        <v>132420</v>
      </c>
      <c r="I145" s="6" t="n">
        <v>120142</v>
      </c>
      <c r="J145" t="inlineStr">
        <is>
          <t>https://www2.census.gov/programs-surveys/susb/datasets/2022/msa_3digitnaics_2022.txt</t>
        </is>
      </c>
    </row>
    <row r="146">
      <c r="A146" t="n">
        <v>145</v>
      </c>
      <c r="B146" t="inlineStr">
        <is>
          <t>Jefferson City, MO Metro Area</t>
        </is>
      </c>
      <c r="C146" t="inlineStr">
        <is>
          <t>27620</t>
        </is>
      </c>
      <c r="D146" s="7" t="n">
        <v>52.4</v>
      </c>
      <c r="E146" t="n">
        <v>52.37705365427652</v>
      </c>
      <c r="F146" s="7" t="n">
        <v>47.6</v>
      </c>
      <c r="G146" s="6" t="n">
        <v>54963</v>
      </c>
      <c r="H146" s="6" t="n">
        <v>28788</v>
      </c>
      <c r="I146" s="6" t="n">
        <v>26175</v>
      </c>
      <c r="J146" t="inlineStr">
        <is>
          <t>https://www2.census.gov/programs-surveys/susb/datasets/2022/msa_3digitnaics_2022.txt</t>
        </is>
      </c>
    </row>
    <row r="147">
      <c r="A147" t="n">
        <v>146</v>
      </c>
      <c r="B147" t="inlineStr">
        <is>
          <t>Flint, MI Metro Area</t>
        </is>
      </c>
      <c r="C147" t="inlineStr">
        <is>
          <t>22420</t>
        </is>
      </c>
      <c r="D147" s="7" t="n">
        <v>52.4</v>
      </c>
      <c r="E147" t="n">
        <v>52.35548701621729</v>
      </c>
      <c r="F147" s="7" t="n">
        <v>47.6</v>
      </c>
      <c r="G147" s="6" t="n">
        <v>120612</v>
      </c>
      <c r="H147" s="6" t="n">
        <v>63147</v>
      </c>
      <c r="I147" s="6" t="n">
        <v>57465</v>
      </c>
      <c r="J147" t="inlineStr">
        <is>
          <t>https://www2.census.gov/programs-surveys/susb/datasets/2022/msa_3digitnaics_2022.txt</t>
        </is>
      </c>
    </row>
    <row r="148">
      <c r="A148" t="n">
        <v>147</v>
      </c>
      <c r="B148" t="inlineStr">
        <is>
          <t>Jackson, MI Metro Area</t>
        </is>
      </c>
      <c r="C148" t="inlineStr">
        <is>
          <t>27100</t>
        </is>
      </c>
      <c r="D148" s="7" t="n">
        <v>52.3</v>
      </c>
      <c r="E148" t="n">
        <v>52.32265105665245</v>
      </c>
      <c r="F148" s="7" t="n">
        <v>47.7</v>
      </c>
      <c r="G148" s="6" t="n">
        <v>50395</v>
      </c>
      <c r="H148" s="6" t="n">
        <v>26368</v>
      </c>
      <c r="I148" s="6" t="n">
        <v>24027</v>
      </c>
      <c r="J148" t="inlineStr">
        <is>
          <t>https://www2.census.gov/programs-surveys/susb/datasets/2022/msa_3digitnaics_2022.txt</t>
        </is>
      </c>
    </row>
    <row r="149">
      <c r="A149" t="n">
        <v>148</v>
      </c>
      <c r="B149" t="inlineStr">
        <is>
          <t>Amarillo, TX Metro Area</t>
        </is>
      </c>
      <c r="C149" t="inlineStr">
        <is>
          <t>11100</t>
        </is>
      </c>
      <c r="D149" s="7" t="n">
        <v>52.3</v>
      </c>
      <c r="E149" t="n">
        <v>52.25597826637878</v>
      </c>
      <c r="F149" s="7" t="n">
        <v>47.7</v>
      </c>
      <c r="G149" s="6" t="n">
        <v>98649</v>
      </c>
      <c r="H149" s="6" t="n">
        <v>51550</v>
      </c>
      <c r="I149" s="6" t="n">
        <v>47099</v>
      </c>
      <c r="J149" t="inlineStr">
        <is>
          <t>https://www2.census.gov/programs-surveys/susb/datasets/2022/msa_3digitnaics_2022.txt</t>
        </is>
      </c>
    </row>
    <row r="150">
      <c r="A150" t="n">
        <v>149</v>
      </c>
      <c r="B150" t="inlineStr">
        <is>
          <t>Pueblo, CO Metro Area</t>
        </is>
      </c>
      <c r="C150" t="inlineStr">
        <is>
          <t>39380</t>
        </is>
      </c>
      <c r="D150" s="7" t="n">
        <v>52.2</v>
      </c>
      <c r="E150" t="n">
        <v>52.18037757996674</v>
      </c>
      <c r="F150" s="7" t="n">
        <v>47.8</v>
      </c>
      <c r="G150" s="6" t="n">
        <v>51115</v>
      </c>
      <c r="H150" s="6" t="n">
        <v>26672</v>
      </c>
      <c r="I150" s="6" t="n">
        <v>24443</v>
      </c>
      <c r="J150" t="inlineStr">
        <is>
          <t>https://www2.census.gov/programs-surveys/susb/datasets/2022/msa_3digitnaics_2022.txt</t>
        </is>
      </c>
    </row>
    <row r="151">
      <c r="A151" t="n">
        <v>150</v>
      </c>
      <c r="B151" t="inlineStr">
        <is>
          <t>Canton-Massillon, OH Metro Area</t>
        </is>
      </c>
      <c r="C151" t="inlineStr">
        <is>
          <t>15940</t>
        </is>
      </c>
      <c r="D151" s="7" t="n">
        <v>52.2</v>
      </c>
      <c r="E151" t="n">
        <v>52.15579697585258</v>
      </c>
      <c r="F151" s="7" t="n">
        <v>47.8</v>
      </c>
      <c r="G151" s="6" t="n">
        <v>144239</v>
      </c>
      <c r="H151" s="6" t="n">
        <v>75229</v>
      </c>
      <c r="I151" s="6" t="n">
        <v>69010</v>
      </c>
      <c r="J151" t="inlineStr">
        <is>
          <t>https://www2.census.gov/programs-surveys/susb/datasets/2022/msa_3digitnaics_2022.txt</t>
        </is>
      </c>
    </row>
    <row r="152">
      <c r="A152" t="n">
        <v>151</v>
      </c>
      <c r="B152" t="inlineStr">
        <is>
          <t>Dothan, AL Metro Area</t>
        </is>
      </c>
      <c r="C152" t="inlineStr">
        <is>
          <t>20020</t>
        </is>
      </c>
      <c r="D152" s="7" t="n">
        <v>52.1</v>
      </c>
      <c r="E152" t="n">
        <v>52.13891229055509</v>
      </c>
      <c r="F152" s="7" t="n">
        <v>47.9</v>
      </c>
      <c r="G152" s="6" t="n">
        <v>53415</v>
      </c>
      <c r="H152" s="6" t="n">
        <v>27850</v>
      </c>
      <c r="I152" s="6" t="n">
        <v>25565</v>
      </c>
      <c r="J152" t="inlineStr">
        <is>
          <t>https://www2.census.gov/programs-surveys/susb/datasets/2022/msa_3digitnaics_2022.txt</t>
        </is>
      </c>
    </row>
    <row r="153">
      <c r="A153" t="n">
        <v>152</v>
      </c>
      <c r="B153" t="inlineStr">
        <is>
          <t>Longview, TX Metro Area</t>
        </is>
      </c>
      <c r="C153" t="inlineStr">
        <is>
          <t>30980</t>
        </is>
      </c>
      <c r="D153" s="7" t="n">
        <v>52.1</v>
      </c>
      <c r="E153" t="n">
        <v>52.07670590106569</v>
      </c>
      <c r="F153" s="7" t="n">
        <v>47.9</v>
      </c>
      <c r="G153" s="6" t="n">
        <v>100592</v>
      </c>
      <c r="H153" s="6" t="n">
        <v>52385</v>
      </c>
      <c r="I153" s="6" t="n">
        <v>48207</v>
      </c>
      <c r="J153" t="inlineStr">
        <is>
          <t>https://www2.census.gov/programs-surveys/susb/datasets/2022/msa_3digitnaics_2022.txt</t>
        </is>
      </c>
    </row>
    <row r="154">
      <c r="A154" t="n">
        <v>153</v>
      </c>
      <c r="B154" t="inlineStr">
        <is>
          <t>Asheville, NC Metro Area</t>
        </is>
      </c>
      <c r="C154" t="inlineStr">
        <is>
          <t>11700</t>
        </is>
      </c>
      <c r="D154" s="7" t="n">
        <v>52.1</v>
      </c>
      <c r="E154" t="n">
        <v>52.07455136697579</v>
      </c>
      <c r="F154" s="7" t="n">
        <v>47.9</v>
      </c>
      <c r="G154" s="6" t="n">
        <v>166060</v>
      </c>
      <c r="H154" s="6" t="n">
        <v>86475</v>
      </c>
      <c r="I154" s="6" t="n">
        <v>79585</v>
      </c>
      <c r="J154" t="inlineStr">
        <is>
          <t>https://www2.census.gov/programs-surveys/susb/datasets/2022/msa_3digitnaics_2022.txt</t>
        </is>
      </c>
    </row>
    <row r="155">
      <c r="A155" t="n">
        <v>154</v>
      </c>
      <c r="B155" t="inlineStr">
        <is>
          <t>Pinehurst-Southern Pines, NC Metro Area</t>
        </is>
      </c>
      <c r="C155" t="inlineStr">
        <is>
          <t>38240</t>
        </is>
      </c>
      <c r="D155" s="7" t="n">
        <v>52</v>
      </c>
      <c r="E155" t="n">
        <v>51.96608433392136</v>
      </c>
      <c r="F155" s="7" t="n">
        <v>48</v>
      </c>
      <c r="G155" s="6" t="n">
        <v>35146</v>
      </c>
      <c r="H155" s="6" t="n">
        <v>18264</v>
      </c>
      <c r="I155" s="6" t="n">
        <v>16882</v>
      </c>
      <c r="J155" t="inlineStr">
        <is>
          <t>https://www2.census.gov/programs-surveys/susb/datasets/2022/msa_3digitnaics_2022.txt</t>
        </is>
      </c>
    </row>
    <row r="156">
      <c r="A156" t="n">
        <v>155</v>
      </c>
      <c r="B156" t="inlineStr">
        <is>
          <t>Visalia, CA Metro Area</t>
        </is>
      </c>
      <c r="C156" t="inlineStr">
        <is>
          <t>47300</t>
        </is>
      </c>
      <c r="D156" s="7" t="n">
        <v>51.9</v>
      </c>
      <c r="E156" t="n">
        <v>51.89864864864865</v>
      </c>
      <c r="F156" s="7" t="n">
        <v>48.1</v>
      </c>
      <c r="G156" s="6" t="n">
        <v>103600</v>
      </c>
      <c r="H156" s="6" t="n">
        <v>53767</v>
      </c>
      <c r="I156" s="6" t="n">
        <v>49833</v>
      </c>
      <c r="J156" t="inlineStr">
        <is>
          <t>https://www2.census.gov/programs-surveys/susb/datasets/2022/msa_3digitnaics_2022.txt</t>
        </is>
      </c>
    </row>
    <row r="157">
      <c r="A157" t="n">
        <v>156</v>
      </c>
      <c r="B157" t="inlineStr">
        <is>
          <t>Modesto, CA Metro Area</t>
        </is>
      </c>
      <c r="C157" t="inlineStr">
        <is>
          <t>33700</t>
        </is>
      </c>
      <c r="D157" s="7" t="n">
        <v>51.9</v>
      </c>
      <c r="E157" t="n">
        <v>51.87221543843437</v>
      </c>
      <c r="F157" s="7" t="n">
        <v>48.1</v>
      </c>
      <c r="G157" s="6" t="n">
        <v>151505</v>
      </c>
      <c r="H157" s="6" t="n">
        <v>78589</v>
      </c>
      <c r="I157" s="6" t="n">
        <v>72916</v>
      </c>
      <c r="J157" t="inlineStr">
        <is>
          <t>https://www2.census.gov/programs-surveys/susb/datasets/2022/msa_3digitnaics_2022.txt</t>
        </is>
      </c>
    </row>
    <row r="158">
      <c r="A158" t="n">
        <v>157</v>
      </c>
      <c r="B158" t="inlineStr">
        <is>
          <t>Providence-Warwick, RI-MA Metro Area</t>
        </is>
      </c>
      <c r="C158" t="inlineStr">
        <is>
          <t>39300</t>
        </is>
      </c>
      <c r="D158" s="7" t="n">
        <v>51.7</v>
      </c>
      <c r="E158" t="n">
        <v>51.67062639061734</v>
      </c>
      <c r="F158" s="7" t="n">
        <v>48.3</v>
      </c>
      <c r="G158" s="6" t="n">
        <v>636408</v>
      </c>
      <c r="H158" s="6" t="n">
        <v>328836</v>
      </c>
      <c r="I158" s="6" t="n">
        <v>307572</v>
      </c>
      <c r="J158" t="inlineStr">
        <is>
          <t>https://www2.census.gov/programs-surveys/susb/datasets/2022/msa_3digitnaics_2022.txt</t>
        </is>
      </c>
    </row>
    <row r="159">
      <c r="A159" t="n">
        <v>158</v>
      </c>
      <c r="B159" t="inlineStr">
        <is>
          <t>Monroe, MI Metro Area</t>
        </is>
      </c>
      <c r="C159" t="inlineStr">
        <is>
          <t>33780</t>
        </is>
      </c>
      <c r="D159" s="7" t="n">
        <v>51.7</v>
      </c>
      <c r="E159" t="n">
        <v>51.66716896353325</v>
      </c>
      <c r="F159" s="7" t="n">
        <v>48.3</v>
      </c>
      <c r="G159" s="6" t="n">
        <v>36499</v>
      </c>
      <c r="H159" s="6" t="n">
        <v>18858</v>
      </c>
      <c r="I159" s="6" t="n">
        <v>17641</v>
      </c>
      <c r="J159" t="inlineStr">
        <is>
          <t>https://www2.census.gov/programs-surveys/susb/datasets/2022/msa_3digitnaics_2022.txt</t>
        </is>
      </c>
    </row>
    <row r="160">
      <c r="A160" t="n">
        <v>159</v>
      </c>
      <c r="B160" t="inlineStr">
        <is>
          <t>Ocala, FL Metro Area</t>
        </is>
      </c>
      <c r="C160" t="inlineStr">
        <is>
          <t>36100</t>
        </is>
      </c>
      <c r="D160" s="7" t="n">
        <v>51.6</v>
      </c>
      <c r="E160" t="n">
        <v>51.57701911662369</v>
      </c>
      <c r="F160" s="7" t="n">
        <v>48.4</v>
      </c>
      <c r="G160" s="6" t="n">
        <v>97716</v>
      </c>
      <c r="H160" s="6" t="n">
        <v>50399</v>
      </c>
      <c r="I160" s="6" t="n">
        <v>47317</v>
      </c>
      <c r="J160" t="inlineStr">
        <is>
          <t>https://www2.census.gov/programs-surveys/susb/datasets/2022/msa_3digitnaics_2022.txt</t>
        </is>
      </c>
    </row>
    <row r="161">
      <c r="A161" t="n">
        <v>160</v>
      </c>
      <c r="B161" t="inlineStr">
        <is>
          <t>Mankato, MN Metro Area</t>
        </is>
      </c>
      <c r="C161" t="inlineStr">
        <is>
          <t>31860</t>
        </is>
      </c>
      <c r="D161" s="7" t="n">
        <v>51.6</v>
      </c>
      <c r="E161" t="n">
        <v>51.57304301030757</v>
      </c>
      <c r="F161" s="7" t="n">
        <v>48.4</v>
      </c>
      <c r="G161" s="6" t="n">
        <v>48314</v>
      </c>
      <c r="H161" s="6" t="n">
        <v>24917</v>
      </c>
      <c r="I161" s="6" t="n">
        <v>23397</v>
      </c>
      <c r="J161" t="inlineStr">
        <is>
          <t>https://www2.census.gov/programs-surveys/susb/datasets/2022/msa_3digitnaics_2022.txt</t>
        </is>
      </c>
    </row>
    <row r="162">
      <c r="A162" t="n">
        <v>161</v>
      </c>
      <c r="B162" t="inlineStr">
        <is>
          <t>Oklahoma City, OK Metro Area</t>
        </is>
      </c>
      <c r="C162" t="inlineStr">
        <is>
          <t>36420</t>
        </is>
      </c>
      <c r="D162" s="7" t="n">
        <v>51.5</v>
      </c>
      <c r="E162" t="n">
        <v>51.51475264336606</v>
      </c>
      <c r="F162" s="7" t="n">
        <v>48.5</v>
      </c>
      <c r="G162" s="6" t="n">
        <v>531803</v>
      </c>
      <c r="H162" s="6" t="n">
        <v>273957</v>
      </c>
      <c r="I162" s="6" t="n">
        <v>257846</v>
      </c>
      <c r="J162" t="inlineStr">
        <is>
          <t>https://www2.census.gov/programs-surveys/susb/datasets/2022/msa_3digitnaics_2022.txt</t>
        </is>
      </c>
    </row>
    <row r="163">
      <c r="A163" t="n">
        <v>162</v>
      </c>
      <c r="B163" t="inlineStr">
        <is>
          <t>New Orleans-Metairie, LA Metro Area</t>
        </is>
      </c>
      <c r="C163" t="inlineStr">
        <is>
          <t>35380</t>
        </is>
      </c>
      <c r="D163" s="7" t="n">
        <v>51.5</v>
      </c>
      <c r="E163" t="n">
        <v>51.48968181965865</v>
      </c>
      <c r="F163" s="7" t="n">
        <v>48.5</v>
      </c>
      <c r="G163" s="6" t="n">
        <v>400119</v>
      </c>
      <c r="H163" s="6" t="n">
        <v>206020</v>
      </c>
      <c r="I163" s="6" t="n">
        <v>194099</v>
      </c>
      <c r="J163" t="inlineStr">
        <is>
          <t>https://www2.census.gov/programs-surveys/susb/datasets/2022/msa_3digitnaics_2022.txt</t>
        </is>
      </c>
    </row>
    <row r="164">
      <c r="A164" t="n">
        <v>163</v>
      </c>
      <c r="B164" t="inlineStr">
        <is>
          <t>Bridgeport-Stamford-Danbury, CT Metro Area</t>
        </is>
      </c>
      <c r="C164" t="inlineStr">
        <is>
          <t>14860</t>
        </is>
      </c>
      <c r="D164" s="7" t="n">
        <v>51.4</v>
      </c>
      <c r="E164" t="n">
        <v>51.37906709945299</v>
      </c>
      <c r="F164" s="7" t="n">
        <v>48.6</v>
      </c>
      <c r="G164" s="6" t="n">
        <v>398349</v>
      </c>
      <c r="H164" s="6" t="n">
        <v>204668</v>
      </c>
      <c r="I164" s="6" t="n">
        <v>193681</v>
      </c>
      <c r="J164" t="inlineStr">
        <is>
          <t>https://www2.census.gov/programs-surveys/susb/datasets/2022/msa_3digitnaics_2022.txt</t>
        </is>
      </c>
    </row>
    <row r="165">
      <c r="A165" t="n">
        <v>164</v>
      </c>
      <c r="B165" t="inlineStr">
        <is>
          <t>Lebanon, PA Metro Area</t>
        </is>
      </c>
      <c r="C165" t="inlineStr">
        <is>
          <t>30140</t>
        </is>
      </c>
      <c r="D165" s="7" t="n">
        <v>51.3</v>
      </c>
      <c r="E165" t="n">
        <v>51.27262968849988</v>
      </c>
      <c r="F165" s="7" t="n">
        <v>48.7</v>
      </c>
      <c r="G165" s="6" t="n">
        <v>48443</v>
      </c>
      <c r="H165" s="6" t="n">
        <v>24838</v>
      </c>
      <c r="I165" s="6" t="n">
        <v>23605</v>
      </c>
      <c r="J165" t="inlineStr">
        <is>
          <t>https://www2.census.gov/programs-surveys/susb/datasets/2022/msa_3digitnaics_2022.txt</t>
        </is>
      </c>
    </row>
    <row r="166">
      <c r="A166" t="n">
        <v>165</v>
      </c>
      <c r="B166" t="inlineStr">
        <is>
          <t>Urban Honolulu, HI Metro Area</t>
        </is>
      </c>
      <c r="C166" t="inlineStr">
        <is>
          <t>46520</t>
        </is>
      </c>
      <c r="D166" s="7" t="n">
        <v>51.3</v>
      </c>
      <c r="E166" t="n">
        <v>51.26030332005955</v>
      </c>
      <c r="F166" s="7" t="n">
        <v>48.7</v>
      </c>
      <c r="G166" s="6" t="n">
        <v>330476</v>
      </c>
      <c r="H166" s="6" t="n">
        <v>169403</v>
      </c>
      <c r="I166" s="6" t="n">
        <v>161073</v>
      </c>
      <c r="J166" t="inlineStr">
        <is>
          <t>https://www2.census.gov/programs-surveys/susb/datasets/2022/msa_3digitnaics_2022.txt</t>
        </is>
      </c>
    </row>
    <row r="167">
      <c r="A167" t="n">
        <v>166</v>
      </c>
      <c r="B167" t="inlineStr">
        <is>
          <t>Muskegon-Norton Shores, MI Metro Area</t>
        </is>
      </c>
      <c r="C167" t="inlineStr">
        <is>
          <t>34740</t>
        </is>
      </c>
      <c r="D167" s="7" t="n">
        <v>51.2</v>
      </c>
      <c r="E167" t="n">
        <v>51.24306515441274</v>
      </c>
      <c r="F167" s="7" t="n">
        <v>48.8</v>
      </c>
      <c r="G167" s="6" t="n">
        <v>52813</v>
      </c>
      <c r="H167" s="6" t="n">
        <v>27063</v>
      </c>
      <c r="I167" s="6" t="n">
        <v>25750</v>
      </c>
      <c r="J167" t="inlineStr">
        <is>
          <t>https://www2.census.gov/programs-surveys/susb/datasets/2022/msa_3digitnaics_2022.txt</t>
        </is>
      </c>
    </row>
    <row r="168">
      <c r="A168" t="n">
        <v>167</v>
      </c>
      <c r="B168" t="inlineStr">
        <is>
          <t>Dubuque, IA Metro Area</t>
        </is>
      </c>
      <c r="C168" t="inlineStr">
        <is>
          <t>20220</t>
        </is>
      </c>
      <c r="D168" s="7" t="n">
        <v>51.2</v>
      </c>
      <c r="E168" t="n">
        <v>51.16871688635489</v>
      </c>
      <c r="F168" s="7" t="n">
        <v>48.8</v>
      </c>
      <c r="G168" s="6" t="n">
        <v>54547</v>
      </c>
      <c r="H168" s="6" t="n">
        <v>27911</v>
      </c>
      <c r="I168" s="6" t="n">
        <v>26636</v>
      </c>
      <c r="J168" t="inlineStr">
        <is>
          <t>https://www2.census.gov/programs-surveys/susb/datasets/2022/msa_3digitnaics_2022.txt</t>
        </is>
      </c>
    </row>
    <row r="169">
      <c r="A169" t="n">
        <v>168</v>
      </c>
      <c r="B169" t="inlineStr">
        <is>
          <t>San Diego-Chula Vista-Carlsbad, CA Metro Area</t>
        </is>
      </c>
      <c r="C169" t="inlineStr">
        <is>
          <t>41740</t>
        </is>
      </c>
      <c r="D169" s="7" t="n">
        <v>51.1</v>
      </c>
      <c r="E169" t="n">
        <v>51.07957861572711</v>
      </c>
      <c r="F169" s="7" t="n">
        <v>48.9</v>
      </c>
      <c r="G169" s="6" t="n">
        <v>1338161</v>
      </c>
      <c r="H169" s="6" t="n">
        <v>683527</v>
      </c>
      <c r="I169" s="6" t="n">
        <v>654634</v>
      </c>
      <c r="J169" t="inlineStr">
        <is>
          <t>https://www2.census.gov/programs-surveys/susb/datasets/2022/msa_3digitnaics_2022.txt</t>
        </is>
      </c>
    </row>
    <row r="170">
      <c r="A170" t="n">
        <v>169</v>
      </c>
      <c r="B170" t="inlineStr">
        <is>
          <t>Merced, CA Metro Area</t>
        </is>
      </c>
      <c r="C170" t="inlineStr">
        <is>
          <t>32900</t>
        </is>
      </c>
      <c r="D170" s="7" t="n">
        <v>51</v>
      </c>
      <c r="E170" t="n">
        <v>50.98830590913795</v>
      </c>
      <c r="F170" s="7" t="n">
        <v>49</v>
      </c>
      <c r="G170" s="6" t="n">
        <v>48315</v>
      </c>
      <c r="H170" s="6" t="n">
        <v>24635</v>
      </c>
      <c r="I170" s="6" t="n">
        <v>23680</v>
      </c>
      <c r="J170" t="inlineStr">
        <is>
          <t>https://www2.census.gov/programs-surveys/susb/datasets/2022/msa_3digitnaics_2022.txt</t>
        </is>
      </c>
    </row>
    <row r="171">
      <c r="A171" t="n">
        <v>170</v>
      </c>
      <c r="B171" t="inlineStr">
        <is>
          <t>Beaumont-Port Arthur, TX Metro Area</t>
        </is>
      </c>
      <c r="C171" t="inlineStr">
        <is>
          <t>13140</t>
        </is>
      </c>
      <c r="D171" s="7" t="n">
        <v>51</v>
      </c>
      <c r="E171" t="n">
        <v>50.96273145603317</v>
      </c>
      <c r="F171" s="7" t="n">
        <v>49</v>
      </c>
      <c r="G171" s="6" t="n">
        <v>127346</v>
      </c>
      <c r="H171" s="6" t="n">
        <v>64899</v>
      </c>
      <c r="I171" s="6" t="n">
        <v>62447</v>
      </c>
      <c r="J171" t="inlineStr">
        <is>
          <t>https://www2.census.gov/programs-surveys/susb/datasets/2022/msa_3digitnaics_2022.txt</t>
        </is>
      </c>
    </row>
    <row r="172">
      <c r="A172" t="n">
        <v>171</v>
      </c>
      <c r="B172" t="inlineStr">
        <is>
          <t>Tulsa, OK Metro Area</t>
        </is>
      </c>
      <c r="C172" t="inlineStr">
        <is>
          <t>46140</t>
        </is>
      </c>
      <c r="D172" s="7" t="n">
        <v>50.9</v>
      </c>
      <c r="E172" t="n">
        <v>50.94609570756902</v>
      </c>
      <c r="F172" s="7" t="n">
        <v>49.1</v>
      </c>
      <c r="G172" s="6" t="n">
        <v>390711</v>
      </c>
      <c r="H172" s="6" t="n">
        <v>199052</v>
      </c>
      <c r="I172" s="6" t="n">
        <v>191659</v>
      </c>
      <c r="J172" t="inlineStr">
        <is>
          <t>https://www2.census.gov/programs-surveys/susb/datasets/2022/msa_3digitnaics_2022.txt</t>
        </is>
      </c>
    </row>
    <row r="173">
      <c r="A173" t="n">
        <v>172</v>
      </c>
      <c r="B173" t="inlineStr">
        <is>
          <t>McAllen-Edinburg-Mission, TX Metro Area</t>
        </is>
      </c>
      <c r="C173" t="inlineStr">
        <is>
          <t>32580</t>
        </is>
      </c>
      <c r="D173" s="7" t="n">
        <v>50.9</v>
      </c>
      <c r="E173" t="n">
        <v>50.9047382447265</v>
      </c>
      <c r="F173" s="7" t="n">
        <v>49.1</v>
      </c>
      <c r="G173" s="6" t="n">
        <v>221390</v>
      </c>
      <c r="H173" s="6" t="n">
        <v>112698</v>
      </c>
      <c r="I173" s="6" t="n">
        <v>108692</v>
      </c>
      <c r="J173" t="inlineStr">
        <is>
          <t>https://www2.census.gov/programs-surveys/susb/datasets/2022/msa_3digitnaics_2022.txt</t>
        </is>
      </c>
    </row>
    <row r="174">
      <c r="A174" t="n">
        <v>173</v>
      </c>
      <c r="B174" t="inlineStr">
        <is>
          <t>Anchorage, AK Metro Area</t>
        </is>
      </c>
      <c r="C174" t="inlineStr">
        <is>
          <t>11260</t>
        </is>
      </c>
      <c r="D174" s="7" t="n">
        <v>50.9</v>
      </c>
      <c r="E174" t="n">
        <v>50.85404787637113</v>
      </c>
      <c r="F174" s="7" t="n">
        <v>49.1</v>
      </c>
      <c r="G174" s="6" t="n">
        <v>160998</v>
      </c>
      <c r="H174" s="6" t="n">
        <v>81874</v>
      </c>
      <c r="I174" s="6" t="n">
        <v>79124</v>
      </c>
      <c r="J174" t="inlineStr">
        <is>
          <t>https://www2.census.gov/programs-surveys/susb/datasets/2022/msa_3digitnaics_2022.txt</t>
        </is>
      </c>
    </row>
    <row r="175">
      <c r="A175" t="n">
        <v>174</v>
      </c>
      <c r="B175" t="inlineStr">
        <is>
          <t>Atlantic City-Hammonton, NJ Metro Area</t>
        </is>
      </c>
      <c r="C175" t="inlineStr">
        <is>
          <t>12100</t>
        </is>
      </c>
      <c r="D175" s="7" t="n">
        <v>50.8</v>
      </c>
      <c r="E175" t="n">
        <v>50.83965370803594</v>
      </c>
      <c r="F175" s="7" t="n">
        <v>49.2</v>
      </c>
      <c r="G175" s="6" t="n">
        <v>134222</v>
      </c>
      <c r="H175" s="6" t="n">
        <v>68238</v>
      </c>
      <c r="I175" s="6" t="n">
        <v>65984</v>
      </c>
      <c r="J175" t="inlineStr">
        <is>
          <t>https://www2.census.gov/programs-surveys/susb/datasets/2022/msa_3digitnaics_2022.txt</t>
        </is>
      </c>
    </row>
    <row r="176">
      <c r="A176" t="n">
        <v>175</v>
      </c>
      <c r="B176" t="inlineStr">
        <is>
          <t>Fargo, ND-MN Metro Area</t>
        </is>
      </c>
      <c r="C176" t="inlineStr">
        <is>
          <t>22020</t>
        </is>
      </c>
      <c r="D176" s="7" t="n">
        <v>50.7</v>
      </c>
      <c r="E176" t="n">
        <v>50.66274050419629</v>
      </c>
      <c r="F176" s="7" t="n">
        <v>49.3</v>
      </c>
      <c r="G176" s="6" t="n">
        <v>124634</v>
      </c>
      <c r="H176" s="6" t="n">
        <v>63143</v>
      </c>
      <c r="I176" s="6" t="n">
        <v>61491</v>
      </c>
      <c r="J176" t="inlineStr">
        <is>
          <t>https://www2.census.gov/programs-surveys/susb/datasets/2022/msa_3digitnaics_2022.txt</t>
        </is>
      </c>
    </row>
    <row r="177">
      <c r="A177" t="n">
        <v>176</v>
      </c>
      <c r="B177" t="inlineStr">
        <is>
          <t>Wildwood-The Villages, FL Metro Area</t>
        </is>
      </c>
      <c r="C177" t="inlineStr">
        <is>
          <t>48680</t>
        </is>
      </c>
      <c r="D177" s="7" t="n">
        <v>50.6</v>
      </c>
      <c r="E177" t="n">
        <v>50.58436005447692</v>
      </c>
      <c r="F177" s="7" t="n">
        <v>49.4</v>
      </c>
      <c r="G177" s="6" t="n">
        <v>31573</v>
      </c>
      <c r="H177" s="6" t="n">
        <v>15971</v>
      </c>
      <c r="I177" s="6" t="n">
        <v>15602</v>
      </c>
      <c r="J177" t="inlineStr">
        <is>
          <t>https://www2.census.gov/programs-surveys/susb/datasets/2022/msa_3digitnaics_2022.txt</t>
        </is>
      </c>
    </row>
    <row r="178">
      <c r="A178" t="n">
        <v>177</v>
      </c>
      <c r="B178" t="inlineStr">
        <is>
          <t>Grand Rapids-Wyoming-Kentwood, MI Metro Area</t>
        </is>
      </c>
      <c r="C178" t="inlineStr">
        <is>
          <t>24340</t>
        </is>
      </c>
      <c r="D178" s="7" t="n">
        <v>50.6</v>
      </c>
      <c r="E178" t="n">
        <v>50.55443319562355</v>
      </c>
      <c r="F178" s="7" t="n">
        <v>49.4</v>
      </c>
      <c r="G178" s="6" t="n">
        <v>528648</v>
      </c>
      <c r="H178" s="6" t="n">
        <v>267255</v>
      </c>
      <c r="I178" s="6" t="n">
        <v>261393</v>
      </c>
      <c r="J178" t="inlineStr">
        <is>
          <t>https://www2.census.gov/programs-surveys/susb/datasets/2022/msa_3digitnaics_2022.txt</t>
        </is>
      </c>
    </row>
    <row r="179">
      <c r="A179" t="n">
        <v>178</v>
      </c>
      <c r="B179" t="inlineStr">
        <is>
          <t>Provo-Orem-Lehi, UT Metro Area</t>
        </is>
      </c>
      <c r="C179" t="inlineStr">
        <is>
          <t>39340</t>
        </is>
      </c>
      <c r="D179" s="7" t="n">
        <v>50.5</v>
      </c>
      <c r="E179" t="n">
        <v>50.5024146777122</v>
      </c>
      <c r="F179" s="7" t="n">
        <v>49.5</v>
      </c>
      <c r="G179" s="6" t="n">
        <v>272086</v>
      </c>
      <c r="H179" s="6" t="n">
        <v>137410</v>
      </c>
      <c r="I179" s="6" t="n">
        <v>134676</v>
      </c>
      <c r="J179" t="inlineStr">
        <is>
          <t>https://www2.census.gov/programs-surveys/susb/datasets/2022/msa_3digitnaics_2022.txt</t>
        </is>
      </c>
    </row>
    <row r="180">
      <c r="A180" t="n">
        <v>179</v>
      </c>
      <c r="B180" t="inlineStr">
        <is>
          <t>Williamsport, PA Metro Area</t>
        </is>
      </c>
      <c r="C180" t="inlineStr">
        <is>
          <t>48700</t>
        </is>
      </c>
      <c r="D180" s="7" t="n">
        <v>50.5</v>
      </c>
      <c r="E180" t="n">
        <v>50.45263320191185</v>
      </c>
      <c r="F180" s="7" t="n">
        <v>49.5</v>
      </c>
      <c r="G180" s="6" t="n">
        <v>45401</v>
      </c>
      <c r="H180" s="6" t="n">
        <v>22906</v>
      </c>
      <c r="I180" s="6" t="n">
        <v>22495</v>
      </c>
      <c r="J180" t="inlineStr">
        <is>
          <t>https://www2.census.gov/programs-surveys/susb/datasets/2022/msa_3digitnaics_2022.txt</t>
        </is>
      </c>
    </row>
    <row r="181">
      <c r="A181" t="n">
        <v>180</v>
      </c>
      <c r="B181" t="inlineStr">
        <is>
          <t>Sacramento-Roseville-Folsom, CA Metro Area</t>
        </is>
      </c>
      <c r="C181" t="inlineStr">
        <is>
          <t>40900</t>
        </is>
      </c>
      <c r="D181" s="7" t="n">
        <v>50.4</v>
      </c>
      <c r="E181" t="n">
        <v>50.44625159772521</v>
      </c>
      <c r="F181" s="7" t="n">
        <v>49.6</v>
      </c>
      <c r="G181" s="6" t="n">
        <v>809745</v>
      </c>
      <c r="H181" s="6" t="n">
        <v>408486</v>
      </c>
      <c r="I181" s="6" t="n">
        <v>401259</v>
      </c>
      <c r="J181" t="inlineStr">
        <is>
          <t>https://www2.census.gov/programs-surveys/susb/datasets/2022/msa_3digitnaics_2022.txt</t>
        </is>
      </c>
    </row>
    <row r="182">
      <c r="A182" t="n">
        <v>181</v>
      </c>
      <c r="B182" t="inlineStr">
        <is>
          <t>Goldsboro, NC Metro Area</t>
        </is>
      </c>
      <c r="C182" t="inlineStr">
        <is>
          <t>24140</t>
        </is>
      </c>
      <c r="D182" s="7" t="n">
        <v>50.4</v>
      </c>
      <c r="E182" t="n">
        <v>50.43718361711919</v>
      </c>
      <c r="F182" s="7" t="n">
        <v>49.6</v>
      </c>
      <c r="G182" s="6" t="n">
        <v>32595</v>
      </c>
      <c r="H182" s="6" t="n">
        <v>16440</v>
      </c>
      <c r="I182" s="6" t="n">
        <v>16155</v>
      </c>
      <c r="J182" t="inlineStr">
        <is>
          <t>https://www2.census.gov/programs-surveys/susb/datasets/2022/msa_3digitnaics_2022.txt</t>
        </is>
      </c>
    </row>
    <row r="183">
      <c r="A183" t="n">
        <v>182</v>
      </c>
      <c r="B183" t="inlineStr">
        <is>
          <t>Palm Bay-Melbourne-Titusville, FL Metro Area</t>
        </is>
      </c>
      <c r="C183" t="inlineStr">
        <is>
          <t>37340</t>
        </is>
      </c>
      <c r="D183" s="7" t="n">
        <v>50.3</v>
      </c>
      <c r="E183" t="n">
        <v>50.30403822489046</v>
      </c>
      <c r="F183" s="7" t="n">
        <v>49.7</v>
      </c>
      <c r="G183" s="6" t="n">
        <v>194219</v>
      </c>
      <c r="H183" s="6" t="n">
        <v>97700</v>
      </c>
      <c r="I183" s="6" t="n">
        <v>96519</v>
      </c>
      <c r="J183" t="inlineStr">
        <is>
          <t>https://www2.census.gov/programs-surveys/susb/datasets/2022/msa_3digitnaics_2022.txt</t>
        </is>
      </c>
    </row>
    <row r="184">
      <c r="A184" t="n">
        <v>183</v>
      </c>
      <c r="B184" t="inlineStr">
        <is>
          <t>Reno, NV Metro Area</t>
        </is>
      </c>
      <c r="C184" t="inlineStr">
        <is>
          <t>39900</t>
        </is>
      </c>
      <c r="D184" s="7" t="n">
        <v>50.3</v>
      </c>
      <c r="E184" t="n">
        <v>50.28075438422069</v>
      </c>
      <c r="F184" s="7" t="n">
        <v>49.7</v>
      </c>
      <c r="G184" s="6" t="n">
        <v>231341</v>
      </c>
      <c r="H184" s="6" t="n">
        <v>116320</v>
      </c>
      <c r="I184" s="6" t="n">
        <v>115021</v>
      </c>
      <c r="J184" t="inlineStr">
        <is>
          <t>https://www2.census.gov/programs-surveys/susb/datasets/2022/msa_3digitnaics_2022.txt</t>
        </is>
      </c>
    </row>
    <row r="185">
      <c r="A185" t="n">
        <v>184</v>
      </c>
      <c r="B185" t="inlineStr">
        <is>
          <t>Portland-Vancouver-Hillsboro, OR-WA Metro Area</t>
        </is>
      </c>
      <c r="C185" t="inlineStr">
        <is>
          <t>38900</t>
        </is>
      </c>
      <c r="D185" s="7" t="n">
        <v>50.2</v>
      </c>
      <c r="E185" t="n">
        <v>50.23858151189219</v>
      </c>
      <c r="F185" s="7" t="n">
        <v>49.8</v>
      </c>
      <c r="G185" s="6" t="n">
        <v>1084535</v>
      </c>
      <c r="H185" s="6" t="n">
        <v>544855</v>
      </c>
      <c r="I185" s="6" t="n">
        <v>539680</v>
      </c>
      <c r="J185" t="inlineStr">
        <is>
          <t>https://www2.census.gov/programs-surveys/susb/datasets/2022/msa_3digitnaics_2022.txt</t>
        </is>
      </c>
    </row>
    <row r="186">
      <c r="A186" t="n">
        <v>185</v>
      </c>
      <c r="B186" t="inlineStr">
        <is>
          <t>Manchester-Nashua, NH Metro Area</t>
        </is>
      </c>
      <c r="C186" t="inlineStr">
        <is>
          <t>31700</t>
        </is>
      </c>
      <c r="D186" s="7" t="n">
        <v>50.2</v>
      </c>
      <c r="E186" t="n">
        <v>50.23345711989924</v>
      </c>
      <c r="F186" s="7" t="n">
        <v>49.8</v>
      </c>
      <c r="G186" s="6" t="n">
        <v>184188</v>
      </c>
      <c r="H186" s="6" t="n">
        <v>92524</v>
      </c>
      <c r="I186" s="6" t="n">
        <v>91664</v>
      </c>
      <c r="J186" t="inlineStr">
        <is>
          <t>https://www2.census.gov/programs-surveys/susb/datasets/2022/msa_3digitnaics_2022.txt</t>
        </is>
      </c>
    </row>
    <row r="187">
      <c r="A187" t="n">
        <v>186</v>
      </c>
      <c r="B187" t="inlineStr">
        <is>
          <t>New York-Newark-Jersey City, NY-NJ Metro Area</t>
        </is>
      </c>
      <c r="C187" t="inlineStr">
        <is>
          <t>35620</t>
        </is>
      </c>
      <c r="D187" s="7" t="n">
        <v>50.2</v>
      </c>
      <c r="E187" t="n">
        <v>50.22019555119687</v>
      </c>
      <c r="F187" s="7" t="n">
        <v>49.8</v>
      </c>
      <c r="G187" s="6" t="n">
        <v>8206342</v>
      </c>
      <c r="H187" s="6" t="n">
        <v>4121241</v>
      </c>
      <c r="I187" s="6" t="n">
        <v>4085101</v>
      </c>
      <c r="J187" t="inlineStr">
        <is>
          <t>https://www2.census.gov/programs-surveys/susb/datasets/2022/msa_3digitnaics_2022.txt</t>
        </is>
      </c>
    </row>
    <row r="188">
      <c r="A188" t="n">
        <v>187</v>
      </c>
      <c r="B188" t="inlineStr">
        <is>
          <t>Sandusky, OH Metro Area</t>
        </is>
      </c>
      <c r="C188" t="inlineStr">
        <is>
          <t>41780</t>
        </is>
      </c>
      <c r="D188" s="7" t="n">
        <v>50.1</v>
      </c>
      <c r="E188" t="n">
        <v>50.14623011627078</v>
      </c>
      <c r="F188" s="7" t="n">
        <v>49.9</v>
      </c>
      <c r="G188" s="6" t="n">
        <v>42057</v>
      </c>
      <c r="H188" s="6" t="n">
        <v>21090</v>
      </c>
      <c r="I188" s="6" t="n">
        <v>20967</v>
      </c>
      <c r="J188" t="inlineStr">
        <is>
          <t>https://www2.census.gov/programs-surveys/susb/datasets/2022/msa_3digitnaics_2022.txt</t>
        </is>
      </c>
    </row>
    <row r="189">
      <c r="A189" t="n">
        <v>188</v>
      </c>
      <c r="B189" t="inlineStr">
        <is>
          <t>Yuma, AZ Metro Area</t>
        </is>
      </c>
      <c r="C189" t="inlineStr">
        <is>
          <t>49740</t>
        </is>
      </c>
      <c r="D189" s="7" t="n">
        <v>50</v>
      </c>
      <c r="E189" t="n">
        <v>49.99025872817955</v>
      </c>
      <c r="F189" s="7" t="n">
        <v>50</v>
      </c>
      <c r="G189" s="6" t="n">
        <v>51328</v>
      </c>
      <c r="H189" s="6" t="n">
        <v>25659</v>
      </c>
      <c r="I189" s="6" t="n">
        <v>25669</v>
      </c>
      <c r="J189" t="inlineStr">
        <is>
          <t>https://www2.census.gov/programs-surveys/susb/datasets/2022/msa_3digitnaics_2022.txt</t>
        </is>
      </c>
    </row>
    <row r="190">
      <c r="A190" t="n">
        <v>189</v>
      </c>
      <c r="B190" t="inlineStr">
        <is>
          <t>Wichita, KS Metro Area</t>
        </is>
      </c>
      <c r="C190" t="inlineStr">
        <is>
          <t>48620</t>
        </is>
      </c>
      <c r="D190" s="7" t="n">
        <v>49.9</v>
      </c>
      <c r="E190" t="n">
        <v>49.93976042298159</v>
      </c>
      <c r="F190" s="7" t="n">
        <v>50.1</v>
      </c>
      <c r="G190" s="6" t="n">
        <v>260626</v>
      </c>
      <c r="H190" s="6" t="n">
        <v>130156</v>
      </c>
      <c r="I190" s="6" t="n">
        <v>130470</v>
      </c>
      <c r="J190" t="inlineStr">
        <is>
          <t>https://www2.census.gov/programs-surveys/susb/datasets/2022/msa_3digitnaics_2022.txt</t>
        </is>
      </c>
    </row>
    <row r="191">
      <c r="A191" t="n">
        <v>190</v>
      </c>
      <c r="B191" t="inlineStr">
        <is>
          <t>El Paso, TX Metro Area</t>
        </is>
      </c>
      <c r="C191" t="inlineStr">
        <is>
          <t>21340</t>
        </is>
      </c>
      <c r="D191" s="7" t="n">
        <v>49.9</v>
      </c>
      <c r="E191" t="n">
        <v>49.91780976074401</v>
      </c>
      <c r="F191" s="7" t="n">
        <v>50.1</v>
      </c>
      <c r="G191" s="6" t="n">
        <v>248813</v>
      </c>
      <c r="H191" s="6" t="n">
        <v>124202</v>
      </c>
      <c r="I191" s="6" t="n">
        <v>124611</v>
      </c>
      <c r="J191" t="inlineStr">
        <is>
          <t>https://www2.census.gov/programs-surveys/susb/datasets/2022/msa_3digitnaics_2022.txt</t>
        </is>
      </c>
    </row>
    <row r="192">
      <c r="A192" t="n">
        <v>191</v>
      </c>
      <c r="B192" t="inlineStr">
        <is>
          <t>Warner Robins, GA Metro Area</t>
        </is>
      </c>
      <c r="C192" t="inlineStr">
        <is>
          <t>47580</t>
        </is>
      </c>
      <c r="D192" s="7" t="n">
        <v>49.9</v>
      </c>
      <c r="E192" t="n">
        <v>49.90578462161888</v>
      </c>
      <c r="F192" s="7" t="n">
        <v>50.1</v>
      </c>
      <c r="G192" s="6" t="n">
        <v>49355</v>
      </c>
      <c r="H192" s="6" t="n">
        <v>24631</v>
      </c>
      <c r="I192" s="6" t="n">
        <v>24724</v>
      </c>
      <c r="J192" t="inlineStr">
        <is>
          <t>https://www2.census.gov/programs-surveys/susb/datasets/2022/msa_3digitnaics_2022.txt</t>
        </is>
      </c>
    </row>
    <row r="193">
      <c r="A193" t="n">
        <v>192</v>
      </c>
      <c r="B193" t="inlineStr">
        <is>
          <t>Baton Rouge, LA Metro Area</t>
        </is>
      </c>
      <c r="C193" t="inlineStr">
        <is>
          <t>12940</t>
        </is>
      </c>
      <c r="D193" s="7" t="n">
        <v>49.8</v>
      </c>
      <c r="E193" t="n">
        <v>49.81805783350675</v>
      </c>
      <c r="F193" s="7" t="n">
        <v>50.2</v>
      </c>
      <c r="G193" s="6" t="n">
        <v>340218</v>
      </c>
      <c r="H193" s="6" t="n">
        <v>169490</v>
      </c>
      <c r="I193" s="6" t="n">
        <v>170728</v>
      </c>
      <c r="J193" t="inlineStr">
        <is>
          <t>https://www2.census.gov/programs-surveys/susb/datasets/2022/msa_3digitnaics_2022.txt</t>
        </is>
      </c>
    </row>
    <row r="194">
      <c r="A194" t="n">
        <v>193</v>
      </c>
      <c r="B194" t="inlineStr">
        <is>
          <t>Erie, PA Metro Area</t>
        </is>
      </c>
      <c r="C194" t="inlineStr">
        <is>
          <t>21500</t>
        </is>
      </c>
      <c r="D194" s="7" t="n">
        <v>49.8</v>
      </c>
      <c r="E194" t="n">
        <v>49.80102432321502</v>
      </c>
      <c r="F194" s="7" t="n">
        <v>50.2</v>
      </c>
      <c r="G194" s="6" t="n">
        <v>112074</v>
      </c>
      <c r="H194" s="6" t="n">
        <v>55814</v>
      </c>
      <c r="I194" s="6" t="n">
        <v>56260</v>
      </c>
      <c r="J194" t="inlineStr">
        <is>
          <t>https://www2.census.gov/programs-surveys/susb/datasets/2022/msa_3digitnaics_2022.txt</t>
        </is>
      </c>
    </row>
    <row r="195">
      <c r="A195" t="n">
        <v>194</v>
      </c>
      <c r="B195" t="inlineStr">
        <is>
          <t>Abilene, TX Metro Area</t>
        </is>
      </c>
      <c r="C195" t="inlineStr">
        <is>
          <t>10180</t>
        </is>
      </c>
      <c r="D195" s="7" t="n">
        <v>49.8</v>
      </c>
      <c r="E195" t="n">
        <v>49.7795042427523</v>
      </c>
      <c r="F195" s="7" t="n">
        <v>50.2</v>
      </c>
      <c r="G195" s="6" t="n">
        <v>62813</v>
      </c>
      <c r="H195" s="6" t="n">
        <v>31268</v>
      </c>
      <c r="I195" s="6" t="n">
        <v>31545</v>
      </c>
      <c r="J195" t="inlineStr">
        <is>
          <t>https://www2.census.gov/programs-surveys/susb/datasets/2022/msa_3digitnaics_2022.txt</t>
        </is>
      </c>
    </row>
    <row r="196">
      <c r="A196" t="n">
        <v>195</v>
      </c>
      <c r="B196" t="inlineStr">
        <is>
          <t>Buffalo-Cheektowaga, NY Metro Area</t>
        </is>
      </c>
      <c r="C196" t="inlineStr">
        <is>
          <t>15380</t>
        </is>
      </c>
      <c r="D196" s="7" t="n">
        <v>49.7</v>
      </c>
      <c r="E196" t="n">
        <v>49.74710214631661</v>
      </c>
      <c r="F196" s="7" t="n">
        <v>50.3</v>
      </c>
      <c r="G196" s="6" t="n">
        <v>475093</v>
      </c>
      <c r="H196" s="6" t="n">
        <v>236345</v>
      </c>
      <c r="I196" s="6" t="n">
        <v>238748</v>
      </c>
      <c r="J196" t="inlineStr">
        <is>
          <t>https://www2.census.gov/programs-surveys/susb/datasets/2022/msa_3digitnaics_2022.txt</t>
        </is>
      </c>
    </row>
    <row r="197">
      <c r="A197" t="n">
        <v>196</v>
      </c>
      <c r="B197" t="inlineStr">
        <is>
          <t>Lawton, OK Metro Area</t>
        </is>
      </c>
      <c r="C197" t="inlineStr">
        <is>
          <t>30020</t>
        </is>
      </c>
      <c r="D197" s="7" t="n">
        <v>49.7</v>
      </c>
      <c r="E197" t="n">
        <v>49.71465744108342</v>
      </c>
      <c r="F197" s="7" t="n">
        <v>50.3</v>
      </c>
      <c r="G197" s="6" t="n">
        <v>33819</v>
      </c>
      <c r="H197" s="6" t="n">
        <v>16813</v>
      </c>
      <c r="I197" s="6" t="n">
        <v>17006</v>
      </c>
      <c r="J197" t="inlineStr">
        <is>
          <t>https://www2.census.gov/programs-surveys/susb/datasets/2022/msa_3digitnaics_2022.txt</t>
        </is>
      </c>
    </row>
    <row r="198">
      <c r="A198" t="n">
        <v>197</v>
      </c>
      <c r="B198" t="inlineStr">
        <is>
          <t>Appleton, WI Metro Area</t>
        </is>
      </c>
      <c r="C198" t="inlineStr">
        <is>
          <t>11540</t>
        </is>
      </c>
      <c r="D198" s="7" t="n">
        <v>49.6</v>
      </c>
      <c r="E198" t="n">
        <v>49.61017824173324</v>
      </c>
      <c r="F198" s="7" t="n">
        <v>50.4</v>
      </c>
      <c r="G198" s="6" t="n">
        <v>114283</v>
      </c>
      <c r="H198" s="6" t="n">
        <v>56696</v>
      </c>
      <c r="I198" s="6" t="n">
        <v>57587</v>
      </c>
      <c r="J198" t="inlineStr">
        <is>
          <t>https://www2.census.gov/programs-surveys/susb/datasets/2022/msa_3digitnaics_2022.txt</t>
        </is>
      </c>
    </row>
    <row r="199">
      <c r="A199" t="n">
        <v>198</v>
      </c>
      <c r="B199" t="inlineStr">
        <is>
          <t>Albany, GA Metro Area</t>
        </is>
      </c>
      <c r="C199" t="inlineStr">
        <is>
          <t>10500</t>
        </is>
      </c>
      <c r="D199" s="7" t="n">
        <v>49.6</v>
      </c>
      <c r="E199" t="n">
        <v>49.60830173255523</v>
      </c>
      <c r="F199" s="7" t="n">
        <v>50.4</v>
      </c>
      <c r="G199" s="6" t="n">
        <v>44039</v>
      </c>
      <c r="H199" s="6" t="n">
        <v>21847</v>
      </c>
      <c r="I199" s="6" t="n">
        <v>22192</v>
      </c>
      <c r="J199" t="inlineStr">
        <is>
          <t>https://www2.census.gov/programs-surveys/susb/datasets/2022/msa_3digitnaics_2022.txt</t>
        </is>
      </c>
    </row>
    <row r="200">
      <c r="A200" t="n">
        <v>199</v>
      </c>
      <c r="B200" t="inlineStr">
        <is>
          <t>Gainesville, FL Metro Area</t>
        </is>
      </c>
      <c r="C200" t="inlineStr">
        <is>
          <t>23540</t>
        </is>
      </c>
      <c r="D200" s="7" t="n">
        <v>49.6</v>
      </c>
      <c r="E200" t="n">
        <v>49.56445177122946</v>
      </c>
      <c r="F200" s="7" t="n">
        <v>50.4</v>
      </c>
      <c r="G200" s="6" t="n">
        <v>106762</v>
      </c>
      <c r="H200" s="6" t="n">
        <v>52916</v>
      </c>
      <c r="I200" s="6" t="n">
        <v>53846</v>
      </c>
      <c r="J200" t="inlineStr">
        <is>
          <t>https://www2.census.gov/programs-surveys/susb/datasets/2022/msa_3digitnaics_2022.txt</t>
        </is>
      </c>
    </row>
    <row r="201">
      <c r="A201" t="n">
        <v>200</v>
      </c>
      <c r="B201" t="inlineStr">
        <is>
          <t>Springfield, MA Metro Area</t>
        </is>
      </c>
      <c r="C201" t="inlineStr">
        <is>
          <t>44140</t>
        </is>
      </c>
      <c r="D201" s="7" t="n">
        <v>49.6</v>
      </c>
      <c r="E201" t="n">
        <v>49.55380483863301</v>
      </c>
      <c r="F201" s="7" t="n">
        <v>50.4</v>
      </c>
      <c r="G201" s="6" t="n">
        <v>168312</v>
      </c>
      <c r="H201" s="6" t="n">
        <v>83405</v>
      </c>
      <c r="I201" s="6" t="n">
        <v>84907</v>
      </c>
      <c r="J201" t="inlineStr">
        <is>
          <t>https://www2.census.gov/programs-surveys/susb/datasets/2022/msa_3digitnaics_2022.txt</t>
        </is>
      </c>
    </row>
    <row r="202">
      <c r="A202" t="n">
        <v>201</v>
      </c>
      <c r="B202" t="inlineStr">
        <is>
          <t>Beckley, WV Metro Area</t>
        </is>
      </c>
      <c r="C202" t="inlineStr">
        <is>
          <t>13220</t>
        </is>
      </c>
      <c r="D202" s="7" t="n">
        <v>49.4</v>
      </c>
      <c r="E202" t="n">
        <v>49.37806372549019</v>
      </c>
      <c r="F202" s="7" t="n">
        <v>50.6</v>
      </c>
      <c r="G202" s="6" t="n">
        <v>32640</v>
      </c>
      <c r="H202" s="6" t="n">
        <v>16117</v>
      </c>
      <c r="I202" s="6" t="n">
        <v>16523</v>
      </c>
      <c r="J202" t="inlineStr">
        <is>
          <t>https://www2.census.gov/programs-surveys/susb/datasets/2022/msa_3digitnaics_2022.txt</t>
        </is>
      </c>
    </row>
    <row r="203">
      <c r="A203" t="n">
        <v>202</v>
      </c>
      <c r="B203" t="inlineStr">
        <is>
          <t>Huntington-Ashland, WV-KY-OH Metro Area</t>
        </is>
      </c>
      <c r="C203" t="inlineStr">
        <is>
          <t>26580</t>
        </is>
      </c>
      <c r="D203" s="7" t="n">
        <v>49.4</v>
      </c>
      <c r="E203" t="n">
        <v>49.37103868971536</v>
      </c>
      <c r="F203" s="7" t="n">
        <v>50.6</v>
      </c>
      <c r="G203" s="6" t="n">
        <v>113441</v>
      </c>
      <c r="H203" s="6" t="n">
        <v>56007</v>
      </c>
      <c r="I203" s="6" t="n">
        <v>57434</v>
      </c>
      <c r="J203" t="inlineStr">
        <is>
          <t>https://www2.census.gov/programs-surveys/susb/datasets/2022/msa_3digitnaics_2022.txt</t>
        </is>
      </c>
    </row>
    <row r="204">
      <c r="A204" t="n">
        <v>203</v>
      </c>
      <c r="B204" t="inlineStr">
        <is>
          <t>Montgomery, AL Metro Area</t>
        </is>
      </c>
      <c r="C204" t="inlineStr">
        <is>
          <t>33860</t>
        </is>
      </c>
      <c r="D204" s="7" t="n">
        <v>49.3</v>
      </c>
      <c r="E204" t="n">
        <v>49.31504763065114</v>
      </c>
      <c r="F204" s="7" t="n">
        <v>50.7</v>
      </c>
      <c r="G204" s="6" t="n">
        <v>131323</v>
      </c>
      <c r="H204" s="6" t="n">
        <v>64762</v>
      </c>
      <c r="I204" s="6" t="n">
        <v>66561</v>
      </c>
      <c r="J204" t="inlineStr">
        <is>
          <t>https://www2.census.gov/programs-surveys/susb/datasets/2022/msa_3digitnaics_2022.txt</t>
        </is>
      </c>
    </row>
    <row r="205">
      <c r="A205" t="n">
        <v>204</v>
      </c>
      <c r="B205" t="inlineStr">
        <is>
          <t>Tyler, TX Metro Area</t>
        </is>
      </c>
      <c r="C205" t="inlineStr">
        <is>
          <t>46340</t>
        </is>
      </c>
      <c r="D205" s="7" t="n">
        <v>49.2</v>
      </c>
      <c r="E205" t="n">
        <v>49.194049937298</v>
      </c>
      <c r="F205" s="7" t="n">
        <v>50.8</v>
      </c>
      <c r="G205" s="6" t="n">
        <v>98083</v>
      </c>
      <c r="H205" s="6" t="n">
        <v>48251</v>
      </c>
      <c r="I205" s="6" t="n">
        <v>49832</v>
      </c>
      <c r="J205" t="inlineStr">
        <is>
          <t>https://www2.census.gov/programs-surveys/susb/datasets/2022/msa_3digitnaics_2022.txt</t>
        </is>
      </c>
    </row>
    <row r="206">
      <c r="A206" t="n">
        <v>205</v>
      </c>
      <c r="B206" t="inlineStr">
        <is>
          <t>Brownsville-Harlingen, TX Metro Area</t>
        </is>
      </c>
      <c r="C206" t="inlineStr">
        <is>
          <t>15180</t>
        </is>
      </c>
      <c r="D206" s="7" t="n">
        <v>49.2</v>
      </c>
      <c r="E206" t="n">
        <v>49.1881291672114</v>
      </c>
      <c r="F206" s="7" t="n">
        <v>50.8</v>
      </c>
      <c r="G206" s="6" t="n">
        <v>114735</v>
      </c>
      <c r="H206" s="6" t="n">
        <v>56436</v>
      </c>
      <c r="I206" s="6" t="n">
        <v>58299</v>
      </c>
      <c r="J206" t="inlineStr">
        <is>
          <t>https://www2.census.gov/programs-surveys/susb/datasets/2022/msa_3digitnaics_2022.txt</t>
        </is>
      </c>
    </row>
    <row r="207">
      <c r="A207" t="n">
        <v>206</v>
      </c>
      <c r="B207" t="inlineStr">
        <is>
          <t>Washington-Arlington-Alexandria, DC-VA-MD-WV Metro Area</t>
        </is>
      </c>
      <c r="C207" t="inlineStr">
        <is>
          <t>47900</t>
        </is>
      </c>
      <c r="D207" s="7" t="n">
        <v>49.1</v>
      </c>
      <c r="E207" t="n">
        <v>49.1439150209684</v>
      </c>
      <c r="F207" s="7" t="n">
        <v>50.9</v>
      </c>
      <c r="G207" s="6" t="n">
        <v>2775367</v>
      </c>
      <c r="H207" s="6" t="n">
        <v>1363924</v>
      </c>
      <c r="I207" s="6" t="n">
        <v>1411443</v>
      </c>
      <c r="J207" t="inlineStr">
        <is>
          <t>https://www2.census.gov/programs-surveys/susb/datasets/2022/msa_3digitnaics_2022.txt</t>
        </is>
      </c>
    </row>
    <row r="208">
      <c r="A208" t="n">
        <v>207</v>
      </c>
      <c r="B208" t="inlineStr">
        <is>
          <t>Colorado Springs, CO Metro Area</t>
        </is>
      </c>
      <c r="C208" t="inlineStr">
        <is>
          <t>17820</t>
        </is>
      </c>
      <c r="D208" s="7" t="n">
        <v>49.1</v>
      </c>
      <c r="E208" t="n">
        <v>49.10494950849829</v>
      </c>
      <c r="F208" s="7" t="n">
        <v>50.9</v>
      </c>
      <c r="G208" s="6" t="n">
        <v>260935</v>
      </c>
      <c r="H208" s="6" t="n">
        <v>128132</v>
      </c>
      <c r="I208" s="6" t="n">
        <v>132803</v>
      </c>
      <c r="J208" t="inlineStr">
        <is>
          <t>https://www2.census.gov/programs-surveys/susb/datasets/2022/msa_3digitnaics_2022.txt</t>
        </is>
      </c>
    </row>
    <row r="209">
      <c r="A209" t="n">
        <v>208</v>
      </c>
      <c r="B209" t="inlineStr">
        <is>
          <t>St. Cloud, MN Metro Area</t>
        </is>
      </c>
      <c r="C209" t="inlineStr">
        <is>
          <t>41060</t>
        </is>
      </c>
      <c r="D209" s="7" t="n">
        <v>49.1</v>
      </c>
      <c r="E209" t="n">
        <v>49.09555723044957</v>
      </c>
      <c r="F209" s="7" t="n">
        <v>50.9</v>
      </c>
      <c r="G209" s="6" t="n">
        <v>98182</v>
      </c>
      <c r="H209" s="6" t="n">
        <v>48203</v>
      </c>
      <c r="I209" s="6" t="n">
        <v>49979</v>
      </c>
      <c r="J209" t="inlineStr">
        <is>
          <t>https://www2.census.gov/programs-surveys/susb/datasets/2022/msa_3digitnaics_2022.txt</t>
        </is>
      </c>
    </row>
    <row r="210">
      <c r="A210" t="n">
        <v>209</v>
      </c>
      <c r="B210" t="inlineStr">
        <is>
          <t>Sherman-Denison, TX Metro Area</t>
        </is>
      </c>
      <c r="C210" t="inlineStr">
        <is>
          <t>43300</t>
        </is>
      </c>
      <c r="D210" s="7" t="n">
        <v>48.9</v>
      </c>
      <c r="E210" t="n">
        <v>48.92795570988029</v>
      </c>
      <c r="F210" s="7" t="n">
        <v>51.1</v>
      </c>
      <c r="G210" s="6" t="n">
        <v>41183</v>
      </c>
      <c r="H210" s="6" t="n">
        <v>20150</v>
      </c>
      <c r="I210" s="6" t="n">
        <v>21033</v>
      </c>
      <c r="J210" t="inlineStr">
        <is>
          <t>https://www2.census.gov/programs-surveys/susb/datasets/2022/msa_3digitnaics_2022.txt</t>
        </is>
      </c>
    </row>
    <row r="211">
      <c r="A211" t="n">
        <v>210</v>
      </c>
      <c r="B211" t="inlineStr">
        <is>
          <t>Albuquerque, NM Metro Area</t>
        </is>
      </c>
      <c r="C211" t="inlineStr">
        <is>
          <t>10740</t>
        </is>
      </c>
      <c r="D211" s="7" t="n">
        <v>48.9</v>
      </c>
      <c r="E211" t="n">
        <v>48.91897503779694</v>
      </c>
      <c r="F211" s="7" t="n">
        <v>51.1</v>
      </c>
      <c r="G211" s="6" t="n">
        <v>308226</v>
      </c>
      <c r="H211" s="6" t="n">
        <v>150781</v>
      </c>
      <c r="I211" s="6" t="n">
        <v>157445</v>
      </c>
      <c r="J211" t="inlineStr">
        <is>
          <t>https://www2.census.gov/programs-surveys/susb/datasets/2022/msa_3digitnaics_2022.txt</t>
        </is>
      </c>
    </row>
    <row r="212">
      <c r="A212" t="n">
        <v>211</v>
      </c>
      <c r="B212" t="inlineStr">
        <is>
          <t>Walla Walla, WA Metro Area</t>
        </is>
      </c>
      <c r="C212" t="inlineStr">
        <is>
          <t>47460</t>
        </is>
      </c>
      <c r="D212" s="7" t="n">
        <v>48.9</v>
      </c>
      <c r="E212" t="n">
        <v>48.8962678888785</v>
      </c>
      <c r="F212" s="7" t="n">
        <v>51.1</v>
      </c>
      <c r="G212" s="6" t="n">
        <v>21382</v>
      </c>
      <c r="H212" s="6" t="n">
        <v>10455</v>
      </c>
      <c r="I212" s="6" t="n">
        <v>10927</v>
      </c>
      <c r="J212" t="inlineStr">
        <is>
          <t>https://www2.census.gov/programs-surveys/susb/datasets/2022/msa_3digitnaics_2022.txt</t>
        </is>
      </c>
    </row>
    <row r="213">
      <c r="A213" t="n">
        <v>212</v>
      </c>
      <c r="B213" t="inlineStr">
        <is>
          <t>Topeka, KS Metro Area</t>
        </is>
      </c>
      <c r="C213" t="inlineStr">
        <is>
          <t>45820</t>
        </is>
      </c>
      <c r="D213" s="7" t="n">
        <v>48.8</v>
      </c>
      <c r="E213" t="n">
        <v>48.80602672225908</v>
      </c>
      <c r="F213" s="7" t="n">
        <v>51.2</v>
      </c>
      <c r="G213" s="6" t="n">
        <v>84424</v>
      </c>
      <c r="H213" s="6" t="n">
        <v>41204</v>
      </c>
      <c r="I213" s="6" t="n">
        <v>43220</v>
      </c>
      <c r="J213" t="inlineStr">
        <is>
          <t>https://www2.census.gov/programs-surveys/susb/datasets/2022/msa_3digitnaics_2022.txt</t>
        </is>
      </c>
    </row>
    <row r="214">
      <c r="A214" t="n">
        <v>213</v>
      </c>
      <c r="B214" t="inlineStr">
        <is>
          <t>Sioux Falls, SD-MN Metro Area</t>
        </is>
      </c>
      <c r="C214" t="inlineStr">
        <is>
          <t>43620</t>
        </is>
      </c>
      <c r="D214" s="7" t="n">
        <v>48.8</v>
      </c>
      <c r="E214" t="n">
        <v>48.78584345130457</v>
      </c>
      <c r="F214" s="7" t="n">
        <v>51.2</v>
      </c>
      <c r="G214" s="6" t="n">
        <v>154840</v>
      </c>
      <c r="H214" s="6" t="n">
        <v>75540</v>
      </c>
      <c r="I214" s="6" t="n">
        <v>79300</v>
      </c>
      <c r="J214" t="inlineStr">
        <is>
          <t>https://www2.census.gov/programs-surveys/susb/datasets/2022/msa_3digitnaics_2022.txt</t>
        </is>
      </c>
    </row>
    <row r="215">
      <c r="A215" t="n">
        <v>214</v>
      </c>
      <c r="B215" t="inlineStr">
        <is>
          <t>Baltimore-Columbia-Towson, MD Metro Area</t>
        </is>
      </c>
      <c r="C215" t="inlineStr">
        <is>
          <t>12580</t>
        </is>
      </c>
      <c r="D215" s="7" t="n">
        <v>48.7</v>
      </c>
      <c r="E215" t="n">
        <v>48.74970653844957</v>
      </c>
      <c r="F215" s="7" t="n">
        <v>51.3</v>
      </c>
      <c r="G215" s="6" t="n">
        <v>1188401</v>
      </c>
      <c r="H215" s="6" t="n">
        <v>579342</v>
      </c>
      <c r="I215" s="6" t="n">
        <v>609059</v>
      </c>
      <c r="J215" t="inlineStr">
        <is>
          <t>https://www2.census.gov/programs-surveys/susb/datasets/2022/msa_3digitnaics_2022.txt</t>
        </is>
      </c>
    </row>
    <row r="216">
      <c r="A216" t="n">
        <v>215</v>
      </c>
      <c r="B216" t="inlineStr">
        <is>
          <t>Kennewick-Richland, WA Metro Area</t>
        </is>
      </c>
      <c r="C216" t="inlineStr">
        <is>
          <t>28420</t>
        </is>
      </c>
      <c r="D216" s="7" t="n">
        <v>48.6</v>
      </c>
      <c r="E216" t="n">
        <v>48.62182043782682</v>
      </c>
      <c r="F216" s="7" t="n">
        <v>51.4</v>
      </c>
      <c r="G216" s="6" t="n">
        <v>101547</v>
      </c>
      <c r="H216" s="6" t="n">
        <v>49374</v>
      </c>
      <c r="I216" s="6" t="n">
        <v>52173</v>
      </c>
      <c r="J216" t="inlineStr">
        <is>
          <t>https://www2.census.gov/programs-surveys/susb/datasets/2022/msa_3digitnaics_2022.txt</t>
        </is>
      </c>
    </row>
    <row r="217">
      <c r="A217" t="n">
        <v>216</v>
      </c>
      <c r="B217" t="inlineStr">
        <is>
          <t>Altoona, PA Metro Area</t>
        </is>
      </c>
      <c r="C217" t="inlineStr">
        <is>
          <t>11020</t>
        </is>
      </c>
      <c r="D217" s="7" t="n">
        <v>48.6</v>
      </c>
      <c r="E217" t="n">
        <v>48.59916625981147</v>
      </c>
      <c r="F217" s="7" t="n">
        <v>51.4</v>
      </c>
      <c r="G217" s="6" t="n">
        <v>53254</v>
      </c>
      <c r="H217" s="6" t="n">
        <v>25881</v>
      </c>
      <c r="I217" s="6" t="n">
        <v>27373</v>
      </c>
      <c r="J217" t="inlineStr">
        <is>
          <t>https://www2.census.gov/programs-surveys/susb/datasets/2022/msa_3digitnaics_2022.txt</t>
        </is>
      </c>
    </row>
    <row r="218">
      <c r="A218" t="n">
        <v>217</v>
      </c>
      <c r="B218" t="inlineStr">
        <is>
          <t>Jonesboro, AR Metro Area</t>
        </is>
      </c>
      <c r="C218" t="inlineStr">
        <is>
          <t>27860</t>
        </is>
      </c>
      <c r="D218" s="7" t="n">
        <v>48.6</v>
      </c>
      <c r="E218" t="n">
        <v>48.56647951260303</v>
      </c>
      <c r="F218" s="7" t="n">
        <v>51.4</v>
      </c>
      <c r="G218" s="6" t="n">
        <v>50226</v>
      </c>
      <c r="H218" s="6" t="n">
        <v>24393</v>
      </c>
      <c r="I218" s="6" t="n">
        <v>25833</v>
      </c>
      <c r="J218" t="inlineStr">
        <is>
          <t>https://www2.census.gov/programs-surveys/susb/datasets/2022/msa_3digitnaics_2022.txt</t>
        </is>
      </c>
    </row>
    <row r="219">
      <c r="A219" t="n">
        <v>218</v>
      </c>
      <c r="B219" t="inlineStr">
        <is>
          <t>Eagle Pass, TX Metro Area</t>
        </is>
      </c>
      <c r="C219" t="inlineStr">
        <is>
          <t>20580</t>
        </is>
      </c>
      <c r="D219" s="7" t="n">
        <v>48.5</v>
      </c>
      <c r="E219" t="n">
        <v>48.53587115666178</v>
      </c>
      <c r="F219" s="7" t="n">
        <v>51.5</v>
      </c>
      <c r="G219" s="6" t="n">
        <v>12294</v>
      </c>
      <c r="H219" s="6" t="n">
        <v>5967</v>
      </c>
      <c r="I219" s="6" t="n">
        <v>6327</v>
      </c>
      <c r="J219" t="inlineStr">
        <is>
          <t>https://www2.census.gov/programs-surveys/susb/datasets/2022/msa_3digitnaics_2022.txt</t>
        </is>
      </c>
    </row>
    <row r="220">
      <c r="A220" t="n">
        <v>219</v>
      </c>
      <c r="B220" t="inlineStr">
        <is>
          <t>Utica-Rome, NY Metro Area</t>
        </is>
      </c>
      <c r="C220" t="inlineStr">
        <is>
          <t>46540</t>
        </is>
      </c>
      <c r="D220" s="7" t="n">
        <v>48.4</v>
      </c>
      <c r="E220" t="n">
        <v>48.43604404913172</v>
      </c>
      <c r="F220" s="7" t="n">
        <v>51.6</v>
      </c>
      <c r="G220" s="6" t="n">
        <v>94440</v>
      </c>
      <c r="H220" s="6" t="n">
        <v>45743</v>
      </c>
      <c r="I220" s="6" t="n">
        <v>48697</v>
      </c>
      <c r="J220" t="inlineStr">
        <is>
          <t>https://www2.census.gov/programs-surveys/susb/datasets/2022/msa_3digitnaics_2022.txt</t>
        </is>
      </c>
    </row>
    <row r="221">
      <c r="A221" t="n">
        <v>220</v>
      </c>
      <c r="B221" t="inlineStr">
        <is>
          <t>La Crosse-Onalaska, WI-MN Metro Area</t>
        </is>
      </c>
      <c r="C221" t="inlineStr">
        <is>
          <t>29100</t>
        </is>
      </c>
      <c r="D221" s="7" t="n">
        <v>48.4</v>
      </c>
      <c r="E221" t="n">
        <v>48.39664463380319</v>
      </c>
      <c r="F221" s="7" t="n">
        <v>51.6</v>
      </c>
      <c r="G221" s="6" t="n">
        <v>75342</v>
      </c>
      <c r="H221" s="6" t="n">
        <v>36463</v>
      </c>
      <c r="I221" s="6" t="n">
        <v>38879</v>
      </c>
      <c r="J221" t="inlineStr">
        <is>
          <t>https://www2.census.gov/programs-surveys/susb/datasets/2022/msa_3digitnaics_2022.txt</t>
        </is>
      </c>
    </row>
    <row r="222">
      <c r="A222" t="n">
        <v>221</v>
      </c>
      <c r="B222" t="inlineStr">
        <is>
          <t>Lansing-East Lansing, MI Metro Area</t>
        </is>
      </c>
      <c r="C222" t="inlineStr">
        <is>
          <t>29620</t>
        </is>
      </c>
      <c r="D222" s="7" t="n">
        <v>48.3</v>
      </c>
      <c r="E222" t="n">
        <v>48.34581404138713</v>
      </c>
      <c r="F222" s="7" t="n">
        <v>51.7</v>
      </c>
      <c r="G222" s="6" t="n">
        <v>169328</v>
      </c>
      <c r="H222" s="6" t="n">
        <v>81863</v>
      </c>
      <c r="I222" s="6" t="n">
        <v>87465</v>
      </c>
      <c r="J222" t="inlineStr">
        <is>
          <t>https://www2.census.gov/programs-surveys/susb/datasets/2022/msa_3digitnaics_2022.txt</t>
        </is>
      </c>
    </row>
    <row r="223">
      <c r="A223" t="n">
        <v>222</v>
      </c>
      <c r="B223" t="inlineStr">
        <is>
          <t>Florence-Muscle Shoals, AL Metro Area</t>
        </is>
      </c>
      <c r="C223" t="inlineStr">
        <is>
          <t>22520</t>
        </is>
      </c>
      <c r="D223" s="7" t="n">
        <v>48.3</v>
      </c>
      <c r="E223" t="n">
        <v>48.31672226428995</v>
      </c>
      <c r="F223" s="7" t="n">
        <v>51.7</v>
      </c>
      <c r="G223" s="6" t="n">
        <v>48863</v>
      </c>
      <c r="H223" s="6" t="n">
        <v>23609</v>
      </c>
      <c r="I223" s="6" t="n">
        <v>25254</v>
      </c>
      <c r="J223" t="inlineStr">
        <is>
          <t>https://www2.census.gov/programs-surveys/susb/datasets/2022/msa_3digitnaics_2022.txt</t>
        </is>
      </c>
    </row>
    <row r="224">
      <c r="A224" t="n">
        <v>223</v>
      </c>
      <c r="B224" t="inlineStr">
        <is>
          <t>Vallejo, CA Metro Area</t>
        </is>
      </c>
      <c r="C224" t="inlineStr">
        <is>
          <t>46700</t>
        </is>
      </c>
      <c r="D224" s="7" t="n">
        <v>48.3</v>
      </c>
      <c r="E224" t="n">
        <v>48.25540094438176</v>
      </c>
      <c r="F224" s="7" t="n">
        <v>51.7</v>
      </c>
      <c r="G224" s="6" t="n">
        <v>119655</v>
      </c>
      <c r="H224" s="6" t="n">
        <v>57740</v>
      </c>
      <c r="I224" s="6" t="n">
        <v>61915</v>
      </c>
      <c r="J224" t="inlineStr">
        <is>
          <t>https://www2.census.gov/programs-surveys/susb/datasets/2022/msa_3digitnaics_2022.txt</t>
        </is>
      </c>
    </row>
    <row r="225">
      <c r="A225" t="n">
        <v>224</v>
      </c>
      <c r="B225" t="inlineStr">
        <is>
          <t>Bloomington, IN Metro Area</t>
        </is>
      </c>
      <c r="C225" t="inlineStr">
        <is>
          <t>14020</t>
        </is>
      </c>
      <c r="D225" s="7" t="n">
        <v>48.2</v>
      </c>
      <c r="E225" t="n">
        <v>48.18549794123805</v>
      </c>
      <c r="F225" s="7" t="n">
        <v>51.8</v>
      </c>
      <c r="G225" s="6" t="n">
        <v>57316</v>
      </c>
      <c r="H225" s="6" t="n">
        <v>27618</v>
      </c>
      <c r="I225" s="6" t="n">
        <v>29698</v>
      </c>
      <c r="J225" t="inlineStr">
        <is>
          <t>https://www2.census.gov/programs-surveys/susb/datasets/2022/msa_3digitnaics_2022.txt</t>
        </is>
      </c>
    </row>
    <row r="226">
      <c r="A226" t="n">
        <v>225</v>
      </c>
      <c r="B226" t="inlineStr">
        <is>
          <t>Austin-Round Rock-San Marcos, TX Metro Area</t>
        </is>
      </c>
      <c r="C226" t="inlineStr">
        <is>
          <t>12420</t>
        </is>
      </c>
      <c r="D226" s="7" t="n">
        <v>48.1</v>
      </c>
      <c r="E226" t="n">
        <v>48.09645751575632</v>
      </c>
      <c r="F226" s="7" t="n">
        <v>51.9</v>
      </c>
      <c r="G226" s="6" t="n">
        <v>985636</v>
      </c>
      <c r="H226" s="6" t="n">
        <v>474056</v>
      </c>
      <c r="I226" s="6" t="n">
        <v>511580</v>
      </c>
      <c r="J226" t="inlineStr">
        <is>
          <t>https://www2.census.gov/programs-surveys/susb/datasets/2022/msa_3digitnaics_2022.txt</t>
        </is>
      </c>
    </row>
    <row r="227">
      <c r="A227" t="n">
        <v>226</v>
      </c>
      <c r="B227" t="inlineStr">
        <is>
          <t>Decatur, AL Metro Area</t>
        </is>
      </c>
      <c r="C227" t="inlineStr">
        <is>
          <t>19460</t>
        </is>
      </c>
      <c r="D227" s="7" t="n">
        <v>48.1</v>
      </c>
      <c r="E227" t="n">
        <v>48.09179938668513</v>
      </c>
      <c r="F227" s="7" t="n">
        <v>51.9</v>
      </c>
      <c r="G227" s="6" t="n">
        <v>50545</v>
      </c>
      <c r="H227" s="6" t="n">
        <v>24308</v>
      </c>
      <c r="I227" s="6" t="n">
        <v>26237</v>
      </c>
      <c r="J227" t="inlineStr">
        <is>
          <t>https://www2.census.gov/programs-surveys/susb/datasets/2022/msa_3digitnaics_2022.txt</t>
        </is>
      </c>
    </row>
    <row r="228">
      <c r="A228" t="n">
        <v>227</v>
      </c>
      <c r="B228" t="inlineStr">
        <is>
          <t>Champaign-Urbana, IL Metro Area</t>
        </is>
      </c>
      <c r="C228" t="inlineStr">
        <is>
          <t>16580</t>
        </is>
      </c>
      <c r="D228" s="7" t="n">
        <v>48.1</v>
      </c>
      <c r="E228" t="n">
        <v>48.0671269361053</v>
      </c>
      <c r="F228" s="7" t="n">
        <v>51.9</v>
      </c>
      <c r="G228" s="6" t="n">
        <v>77346</v>
      </c>
      <c r="H228" s="6" t="n">
        <v>37178</v>
      </c>
      <c r="I228" s="6" t="n">
        <v>40168</v>
      </c>
      <c r="J228" t="inlineStr">
        <is>
          <t>https://www2.census.gov/programs-surveys/susb/datasets/2022/msa_3digitnaics_2022.txt</t>
        </is>
      </c>
    </row>
    <row r="229">
      <c r="A229" t="n">
        <v>228</v>
      </c>
      <c r="B229" t="inlineStr">
        <is>
          <t>Hattiesburg, MS Metro Area</t>
        </is>
      </c>
      <c r="C229" t="inlineStr">
        <is>
          <t>25620</t>
        </is>
      </c>
      <c r="D229" s="7" t="n">
        <v>48.1</v>
      </c>
      <c r="E229" t="n">
        <v>48.06710836441921</v>
      </c>
      <c r="F229" s="7" t="n">
        <v>51.9</v>
      </c>
      <c r="G229" s="6" t="n">
        <v>53883</v>
      </c>
      <c r="H229" s="6" t="n">
        <v>25900</v>
      </c>
      <c r="I229" s="6" t="n">
        <v>27983</v>
      </c>
      <c r="J229" t="inlineStr">
        <is>
          <t>https://www2.census.gov/programs-surveys/susb/datasets/2022/msa_3digitnaics_2022.txt</t>
        </is>
      </c>
    </row>
    <row r="230">
      <c r="A230" t="n">
        <v>229</v>
      </c>
      <c r="B230" t="inlineStr">
        <is>
          <t>Parkersburg-Vienna, WV Metro Area</t>
        </is>
      </c>
      <c r="C230" t="inlineStr">
        <is>
          <t>37620</t>
        </is>
      </c>
      <c r="D230" s="7" t="n">
        <v>48.1</v>
      </c>
      <c r="E230" t="n">
        <v>48.06293292491907</v>
      </c>
      <c r="F230" s="7" t="n">
        <v>51.9</v>
      </c>
      <c r="G230" s="6" t="n">
        <v>28729</v>
      </c>
      <c r="H230" s="6" t="n">
        <v>13808</v>
      </c>
      <c r="I230" s="6" t="n">
        <v>14921</v>
      </c>
      <c r="J230" t="inlineStr">
        <is>
          <t>https://www2.census.gov/programs-surveys/susb/datasets/2022/msa_3digitnaics_2022.txt</t>
        </is>
      </c>
    </row>
    <row r="231">
      <c r="A231" t="n">
        <v>230</v>
      </c>
      <c r="B231" t="inlineStr">
        <is>
          <t>Fort Wayne, IN Metro Area</t>
        </is>
      </c>
      <c r="C231" t="inlineStr">
        <is>
          <t>23060</t>
        </is>
      </c>
      <c r="D231" s="7" t="n">
        <v>47.8</v>
      </c>
      <c r="E231" t="n">
        <v>47.81995500314211</v>
      </c>
      <c r="F231" s="7" t="n">
        <v>52.2</v>
      </c>
      <c r="G231" s="6" t="n">
        <v>208459</v>
      </c>
      <c r="H231" s="6" t="n">
        <v>99685</v>
      </c>
      <c r="I231" s="6" t="n">
        <v>108774</v>
      </c>
      <c r="J231" t="inlineStr">
        <is>
          <t>https://www2.census.gov/programs-surveys/susb/datasets/2022/msa_3digitnaics_2022.txt</t>
        </is>
      </c>
    </row>
    <row r="232">
      <c r="A232" t="n">
        <v>231</v>
      </c>
      <c r="B232" t="inlineStr">
        <is>
          <t>Milwaukee-Waukesha, WI Metro Area</t>
        </is>
      </c>
      <c r="C232" t="inlineStr">
        <is>
          <t>33340</t>
        </is>
      </c>
      <c r="D232" s="7" t="n">
        <v>47.7</v>
      </c>
      <c r="E232" t="n">
        <v>47.74969565690279</v>
      </c>
      <c r="F232" s="7" t="n">
        <v>52.3</v>
      </c>
      <c r="G232" s="6" t="n">
        <v>763119</v>
      </c>
      <c r="H232" s="6" t="n">
        <v>364387</v>
      </c>
      <c r="I232" s="6" t="n">
        <v>398732</v>
      </c>
      <c r="J232" t="inlineStr">
        <is>
          <t>https://www2.census.gov/programs-surveys/susb/datasets/2022/msa_3digitnaics_2022.txt</t>
        </is>
      </c>
    </row>
    <row r="233">
      <c r="A233" t="n">
        <v>232</v>
      </c>
      <c r="B233" t="inlineStr">
        <is>
          <t>Little Rock-North Little Rock-Conway, AR Metro Area</t>
        </is>
      </c>
      <c r="C233" t="inlineStr">
        <is>
          <t>30780</t>
        </is>
      </c>
      <c r="D233" s="7" t="n">
        <v>47.7</v>
      </c>
      <c r="E233" t="n">
        <v>47.74148553598815</v>
      </c>
      <c r="F233" s="7" t="n">
        <v>52.3</v>
      </c>
      <c r="G233" s="6" t="n">
        <v>302544</v>
      </c>
      <c r="H233" s="6" t="n">
        <v>144439</v>
      </c>
      <c r="I233" s="6" t="n">
        <v>158105</v>
      </c>
      <c r="J233" t="inlineStr">
        <is>
          <t>https://www2.census.gov/programs-surveys/susb/datasets/2022/msa_3digitnaics_2022.txt</t>
        </is>
      </c>
    </row>
    <row r="234">
      <c r="A234" t="n">
        <v>233</v>
      </c>
      <c r="B234" t="inlineStr">
        <is>
          <t>Wheeling, WV-OH Metro Area</t>
        </is>
      </c>
      <c r="C234" t="inlineStr">
        <is>
          <t>48540</t>
        </is>
      </c>
      <c r="D234" s="7" t="n">
        <v>47.7</v>
      </c>
      <c r="E234" t="n">
        <v>47.74085537970371</v>
      </c>
      <c r="F234" s="7" t="n">
        <v>52.3</v>
      </c>
      <c r="G234" s="6" t="n">
        <v>51369</v>
      </c>
      <c r="H234" s="6" t="n">
        <v>24524</v>
      </c>
      <c r="I234" s="6" t="n">
        <v>26845</v>
      </c>
      <c r="J234" t="inlineStr">
        <is>
          <t>https://www2.census.gov/programs-surveys/susb/datasets/2022/msa_3digitnaics_2022.txt</t>
        </is>
      </c>
    </row>
    <row r="235">
      <c r="A235" t="n">
        <v>234</v>
      </c>
      <c r="B235" t="inlineStr">
        <is>
          <t>Green Bay, WI Metro Area</t>
        </is>
      </c>
      <c r="C235" t="inlineStr">
        <is>
          <t>24580</t>
        </is>
      </c>
      <c r="D235" s="7" t="n">
        <v>47.7</v>
      </c>
      <c r="E235" t="n">
        <v>47.71804880570779</v>
      </c>
      <c r="F235" s="7" t="n">
        <v>52.3</v>
      </c>
      <c r="G235" s="6" t="n">
        <v>154736</v>
      </c>
      <c r="H235" s="6" t="n">
        <v>73837</v>
      </c>
      <c r="I235" s="6" t="n">
        <v>80899</v>
      </c>
      <c r="J235" t="inlineStr">
        <is>
          <t>https://www2.census.gov/programs-surveys/susb/datasets/2022/msa_3digitnaics_2022.txt</t>
        </is>
      </c>
    </row>
    <row r="236">
      <c r="A236" t="n">
        <v>235</v>
      </c>
      <c r="B236" t="inlineStr">
        <is>
          <t>Stockton-Lodi, CA Metro Area</t>
        </is>
      </c>
      <c r="C236" t="inlineStr">
        <is>
          <t>44700</t>
        </is>
      </c>
      <c r="D236" s="7" t="n">
        <v>47.7</v>
      </c>
      <c r="E236" t="n">
        <v>47.70332715031281</v>
      </c>
      <c r="F236" s="7" t="n">
        <v>52.3</v>
      </c>
      <c r="G236" s="6" t="n">
        <v>214027</v>
      </c>
      <c r="H236" s="6" t="n">
        <v>102098</v>
      </c>
      <c r="I236" s="6" t="n">
        <v>111929</v>
      </c>
      <c r="J236" t="inlineStr">
        <is>
          <t>https://www2.census.gov/programs-surveys/susb/datasets/2022/msa_3digitnaics_2022.txt</t>
        </is>
      </c>
    </row>
    <row r="237">
      <c r="A237" t="n">
        <v>236</v>
      </c>
      <c r="B237" t="inlineStr">
        <is>
          <t>Akron, OH Metro Area</t>
        </is>
      </c>
      <c r="C237" t="inlineStr">
        <is>
          <t>10420</t>
        </is>
      </c>
      <c r="D237" s="7" t="n">
        <v>47.6</v>
      </c>
      <c r="E237" t="n">
        <v>47.61090772046947</v>
      </c>
      <c r="F237" s="7" t="n">
        <v>52.4</v>
      </c>
      <c r="G237" s="6" t="n">
        <v>297184</v>
      </c>
      <c r="H237" s="6" t="n">
        <v>141492</v>
      </c>
      <c r="I237" s="6" t="n">
        <v>155692</v>
      </c>
      <c r="J237" t="inlineStr">
        <is>
          <t>https://www2.census.gov/programs-surveys/susb/datasets/2022/msa_3digitnaics_2022.txt</t>
        </is>
      </c>
    </row>
    <row r="238">
      <c r="A238" t="n">
        <v>237</v>
      </c>
      <c r="B238" t="inlineStr">
        <is>
          <t>Waterloo-Cedar Falls, IA Metro Area</t>
        </is>
      </c>
      <c r="C238" t="inlineStr">
        <is>
          <t>47940</t>
        </is>
      </c>
      <c r="D238" s="7" t="n">
        <v>47.6</v>
      </c>
      <c r="E238" t="n">
        <v>47.57455885728172</v>
      </c>
      <c r="F238" s="7" t="n">
        <v>52.4</v>
      </c>
      <c r="G238" s="6" t="n">
        <v>74069</v>
      </c>
      <c r="H238" s="6" t="n">
        <v>35238</v>
      </c>
      <c r="I238" s="6" t="n">
        <v>38831</v>
      </c>
      <c r="J238" t="inlineStr">
        <is>
          <t>https://www2.census.gov/programs-surveys/susb/datasets/2022/msa_3digitnaics_2022.txt</t>
        </is>
      </c>
    </row>
    <row r="239">
      <c r="A239" t="n">
        <v>238</v>
      </c>
      <c r="B239" t="inlineStr">
        <is>
          <t>Raleigh-Cary, NC Metro Area</t>
        </is>
      </c>
      <c r="C239" t="inlineStr">
        <is>
          <t>39580</t>
        </is>
      </c>
      <c r="D239" s="7" t="n">
        <v>47.4</v>
      </c>
      <c r="E239" t="n">
        <v>47.43446997235935</v>
      </c>
      <c r="F239" s="7" t="n">
        <v>52.6</v>
      </c>
      <c r="G239" s="6" t="n">
        <v>590073</v>
      </c>
      <c r="H239" s="6" t="n">
        <v>279898</v>
      </c>
      <c r="I239" s="6" t="n">
        <v>310175</v>
      </c>
      <c r="J239" t="inlineStr">
        <is>
          <t>https://www2.census.gov/programs-surveys/susb/datasets/2022/msa_3digitnaics_2022.txt</t>
        </is>
      </c>
    </row>
    <row r="240">
      <c r="A240" t="n">
        <v>239</v>
      </c>
      <c r="B240" t="inlineStr">
        <is>
          <t>Kalamazoo-Portage, MI Metro Area</t>
        </is>
      </c>
      <c r="C240" t="inlineStr">
        <is>
          <t>28020</t>
        </is>
      </c>
      <c r="D240" s="7" t="n">
        <v>47.4</v>
      </c>
      <c r="E240" t="n">
        <v>47.3969278384961</v>
      </c>
      <c r="F240" s="7" t="n">
        <v>52.6</v>
      </c>
      <c r="G240" s="6" t="n">
        <v>113731</v>
      </c>
      <c r="H240" s="6" t="n">
        <v>53905</v>
      </c>
      <c r="I240" s="6" t="n">
        <v>59826</v>
      </c>
      <c r="J240" t="inlineStr">
        <is>
          <t>https://www2.census.gov/programs-surveys/susb/datasets/2022/msa_3digitnaics_2022.txt</t>
        </is>
      </c>
    </row>
    <row r="241">
      <c r="A241" t="n">
        <v>240</v>
      </c>
      <c r="B241" t="inlineStr">
        <is>
          <t>Ann Arbor, MI Metro Area</t>
        </is>
      </c>
      <c r="C241" t="inlineStr">
        <is>
          <t>11460</t>
        </is>
      </c>
      <c r="D241" s="7" t="n">
        <v>47.3</v>
      </c>
      <c r="E241" t="n">
        <v>47.34731240862452</v>
      </c>
      <c r="F241" s="7" t="n">
        <v>52.7</v>
      </c>
      <c r="G241" s="6" t="n">
        <v>151846</v>
      </c>
      <c r="H241" s="6" t="n">
        <v>71895</v>
      </c>
      <c r="I241" s="6" t="n">
        <v>79951</v>
      </c>
      <c r="J241" t="inlineStr">
        <is>
          <t>https://www2.census.gov/programs-surveys/susb/datasets/2022/msa_3digitnaics_2022.txt</t>
        </is>
      </c>
    </row>
    <row r="242">
      <c r="A242" t="n">
        <v>241</v>
      </c>
      <c r="B242" t="inlineStr">
        <is>
          <t>Binghamton, NY Metro Area</t>
        </is>
      </c>
      <c r="C242" t="inlineStr">
        <is>
          <t>13780</t>
        </is>
      </c>
      <c r="D242" s="7" t="n">
        <v>47.3</v>
      </c>
      <c r="E242" t="n">
        <v>47.31333223111066</v>
      </c>
      <c r="F242" s="7" t="n">
        <v>52.7</v>
      </c>
      <c r="G242" s="6" t="n">
        <v>78629</v>
      </c>
      <c r="H242" s="6" t="n">
        <v>37202</v>
      </c>
      <c r="I242" s="6" t="n">
        <v>41427</v>
      </c>
      <c r="J242" t="inlineStr">
        <is>
          <t>https://www2.census.gov/programs-surveys/susb/datasets/2022/msa_3digitnaics_2022.txt</t>
        </is>
      </c>
    </row>
    <row r="243">
      <c r="A243" t="n">
        <v>242</v>
      </c>
      <c r="B243" t="inlineStr">
        <is>
          <t>Springfield, IL Metro Area</t>
        </is>
      </c>
      <c r="C243" t="inlineStr">
        <is>
          <t>44100</t>
        </is>
      </c>
      <c r="D243" s="7" t="n">
        <v>47.3</v>
      </c>
      <c r="E243" t="n">
        <v>47.29672624226304</v>
      </c>
      <c r="F243" s="7" t="n">
        <v>52.7</v>
      </c>
      <c r="G243" s="6" t="n">
        <v>80458</v>
      </c>
      <c r="H243" s="6" t="n">
        <v>38054</v>
      </c>
      <c r="I243" s="6" t="n">
        <v>42404</v>
      </c>
      <c r="J243" t="inlineStr">
        <is>
          <t>https://www2.census.gov/programs-surveys/susb/datasets/2022/msa_3digitnaics_2022.txt</t>
        </is>
      </c>
    </row>
    <row r="244">
      <c r="A244" t="n">
        <v>243</v>
      </c>
      <c r="B244" t="inlineStr">
        <is>
          <t>Fort Smith, AR-OK Metro Area</t>
        </is>
      </c>
      <c r="C244" t="inlineStr">
        <is>
          <t>22900</t>
        </is>
      </c>
      <c r="D244" s="7" t="n">
        <v>47.3</v>
      </c>
      <c r="E244" t="n">
        <v>47.2574622251898</v>
      </c>
      <c r="F244" s="7" t="n">
        <v>52.7</v>
      </c>
      <c r="G244" s="6" t="n">
        <v>80874</v>
      </c>
      <c r="H244" s="6" t="n">
        <v>38219</v>
      </c>
      <c r="I244" s="6" t="n">
        <v>42655</v>
      </c>
      <c r="J244" t="inlineStr">
        <is>
          <t>https://www2.census.gov/programs-surveys/susb/datasets/2022/msa_3digitnaics_2022.txt</t>
        </is>
      </c>
    </row>
    <row r="245">
      <c r="A245" t="n">
        <v>244</v>
      </c>
      <c r="B245" t="inlineStr">
        <is>
          <t>Worcester, MA Metro Area</t>
        </is>
      </c>
      <c r="C245" t="inlineStr">
        <is>
          <t>49340</t>
        </is>
      </c>
      <c r="D245" s="7" t="n">
        <v>47.3</v>
      </c>
      <c r="E245" t="n">
        <v>47.25588939572187</v>
      </c>
      <c r="F245" s="7" t="n">
        <v>52.7</v>
      </c>
      <c r="G245" s="6" t="n">
        <v>311959</v>
      </c>
      <c r="H245" s="6" t="n">
        <v>147419</v>
      </c>
      <c r="I245" s="6" t="n">
        <v>164540</v>
      </c>
      <c r="J245" t="inlineStr">
        <is>
          <t>https://www2.census.gov/programs-surveys/susb/datasets/2022/msa_3digitnaics_2022.txt</t>
        </is>
      </c>
    </row>
    <row r="246">
      <c r="A246" t="n">
        <v>245</v>
      </c>
      <c r="B246" t="inlineStr">
        <is>
          <t>Riverside-San Bernardino-Ontario, CA Metro Area</t>
        </is>
      </c>
      <c r="C246" t="inlineStr">
        <is>
          <t>40140</t>
        </is>
      </c>
      <c r="D246" s="7" t="n">
        <v>47.2</v>
      </c>
      <c r="E246" t="n">
        <v>47.18604569291026</v>
      </c>
      <c r="F246" s="7" t="n">
        <v>52.8</v>
      </c>
      <c r="G246" s="6" t="n">
        <v>1335043</v>
      </c>
      <c r="H246" s="6" t="n">
        <v>629954</v>
      </c>
      <c r="I246" s="6" t="n">
        <v>705089</v>
      </c>
      <c r="J246" t="inlineStr">
        <is>
          <t>https://www2.census.gov/programs-surveys/susb/datasets/2022/msa_3digitnaics_2022.txt</t>
        </is>
      </c>
    </row>
    <row r="247">
      <c r="A247" t="n">
        <v>246</v>
      </c>
      <c r="B247" t="inlineStr">
        <is>
          <t>Detroit-Warren-Dearborn, MI Metro Area</t>
        </is>
      </c>
      <c r="C247" t="inlineStr">
        <is>
          <t>19820</t>
        </is>
      </c>
      <c r="D247" s="7" t="n">
        <v>47.2</v>
      </c>
      <c r="E247" t="n">
        <v>47.16733814944698</v>
      </c>
      <c r="F247" s="7" t="n">
        <v>52.8</v>
      </c>
      <c r="G247" s="6" t="n">
        <v>1781381</v>
      </c>
      <c r="H247" s="6" t="n">
        <v>840230</v>
      </c>
      <c r="I247" s="6" t="n">
        <v>941151</v>
      </c>
      <c r="J247" t="inlineStr">
        <is>
          <t>https://www2.census.gov/programs-surveys/susb/datasets/2022/msa_3digitnaics_2022.txt</t>
        </is>
      </c>
    </row>
    <row r="248">
      <c r="A248" t="n">
        <v>247</v>
      </c>
      <c r="B248" t="inlineStr">
        <is>
          <t>Virginia Beach-Chesapeake-Norfolk, VA-NC Metro Area</t>
        </is>
      </c>
      <c r="C248" t="inlineStr">
        <is>
          <t>47260</t>
        </is>
      </c>
      <c r="D248" s="7" t="n">
        <v>47.1</v>
      </c>
      <c r="E248" t="n">
        <v>47.13155440095581</v>
      </c>
      <c r="F248" s="7" t="n">
        <v>52.9</v>
      </c>
      <c r="G248" s="6" t="n">
        <v>633601</v>
      </c>
      <c r="H248" s="6" t="n">
        <v>298626</v>
      </c>
      <c r="I248" s="6" t="n">
        <v>334975</v>
      </c>
      <c r="J248" t="inlineStr">
        <is>
          <t>https://www2.census.gov/programs-surveys/susb/datasets/2022/msa_3digitnaics_2022.txt</t>
        </is>
      </c>
    </row>
    <row r="249">
      <c r="A249" t="n">
        <v>248</v>
      </c>
      <c r="B249" t="inlineStr">
        <is>
          <t>Sioux City, IA-NE-SD Metro Area</t>
        </is>
      </c>
      <c r="C249" t="inlineStr">
        <is>
          <t>43580</t>
        </is>
      </c>
      <c r="D249" s="7" t="n">
        <v>47.1</v>
      </c>
      <c r="E249" t="n">
        <v>47.0849084036057</v>
      </c>
      <c r="F249" s="7" t="n">
        <v>52.9</v>
      </c>
      <c r="G249" s="6" t="n">
        <v>68780</v>
      </c>
      <c r="H249" s="6" t="n">
        <v>32385</v>
      </c>
      <c r="I249" s="6" t="n">
        <v>36395</v>
      </c>
      <c r="J249" t="inlineStr">
        <is>
          <t>https://www2.census.gov/programs-surveys/susb/datasets/2022/msa_3digitnaics_2022.txt</t>
        </is>
      </c>
    </row>
    <row r="250">
      <c r="A250" t="n">
        <v>249</v>
      </c>
      <c r="B250" t="inlineStr">
        <is>
          <t>Lima, OH Metro Area</t>
        </is>
      </c>
      <c r="C250" t="inlineStr">
        <is>
          <t>30620</t>
        </is>
      </c>
      <c r="D250" s="7" t="n">
        <v>46.9</v>
      </c>
      <c r="E250" t="n">
        <v>46.94492455738777</v>
      </c>
      <c r="F250" s="7" t="n">
        <v>53.1</v>
      </c>
      <c r="G250" s="6" t="n">
        <v>42814</v>
      </c>
      <c r="H250" s="6" t="n">
        <v>20099</v>
      </c>
      <c r="I250" s="6" t="n">
        <v>22715</v>
      </c>
      <c r="J250" t="inlineStr">
        <is>
          <t>https://www2.census.gov/programs-surveys/susb/datasets/2022/msa_3digitnaics_2022.txt</t>
        </is>
      </c>
    </row>
    <row r="251">
      <c r="A251" t="n">
        <v>250</v>
      </c>
      <c r="B251" t="inlineStr">
        <is>
          <t>Staunton-Stuarts Draft, VA Metro Area</t>
        </is>
      </c>
      <c r="C251" t="inlineStr">
        <is>
          <t>44420</t>
        </is>
      </c>
      <c r="D251" s="7" t="n">
        <v>46.9</v>
      </c>
      <c r="E251" t="n">
        <v>46.92132678721111</v>
      </c>
      <c r="F251" s="7" t="n">
        <v>53.1</v>
      </c>
      <c r="G251" s="6" t="n">
        <v>41755</v>
      </c>
      <c r="H251" s="6" t="n">
        <v>19592</v>
      </c>
      <c r="I251" s="6" t="n">
        <v>22163</v>
      </c>
      <c r="J251" t="inlineStr">
        <is>
          <t>https://www2.census.gov/programs-surveys/susb/datasets/2022/msa_3digitnaics_2022.txt</t>
        </is>
      </c>
    </row>
    <row r="252">
      <c r="A252" t="n">
        <v>251</v>
      </c>
      <c r="B252" t="inlineStr">
        <is>
          <t>Burlington, NC Metro Area</t>
        </is>
      </c>
      <c r="C252" t="inlineStr">
        <is>
          <t>15500</t>
        </is>
      </c>
      <c r="D252" s="7" t="n">
        <v>46.9</v>
      </c>
      <c r="E252" t="n">
        <v>46.90678039263084</v>
      </c>
      <c r="F252" s="7" t="n">
        <v>53.1</v>
      </c>
      <c r="G252" s="6" t="n">
        <v>57917</v>
      </c>
      <c r="H252" s="6" t="n">
        <v>27167</v>
      </c>
      <c r="I252" s="6" t="n">
        <v>30750</v>
      </c>
      <c r="J252" t="inlineStr">
        <is>
          <t>https://www2.census.gov/programs-surveys/susb/datasets/2022/msa_3digitnaics_2022.txt</t>
        </is>
      </c>
    </row>
    <row r="253">
      <c r="A253" t="n">
        <v>252</v>
      </c>
      <c r="B253" t="inlineStr">
        <is>
          <t>Terre Haute, IN Metro Area</t>
        </is>
      </c>
      <c r="C253" t="inlineStr">
        <is>
          <t>45460</t>
        </is>
      </c>
      <c r="D253" s="7" t="n">
        <v>46.8</v>
      </c>
      <c r="E253" t="n">
        <v>46.84318087280488</v>
      </c>
      <c r="F253" s="7" t="n">
        <v>53.2</v>
      </c>
      <c r="G253" s="6" t="n">
        <v>55293</v>
      </c>
      <c r="H253" s="6" t="n">
        <v>25901</v>
      </c>
      <c r="I253" s="6" t="n">
        <v>29392</v>
      </c>
      <c r="J253" t="inlineStr">
        <is>
          <t>https://www2.census.gov/programs-surveys/susb/datasets/2022/msa_3digitnaics_2022.txt</t>
        </is>
      </c>
    </row>
    <row r="254">
      <c r="A254" t="n">
        <v>253</v>
      </c>
      <c r="B254" t="inlineStr">
        <is>
          <t>Corpus Christi, TX Metro Area</t>
        </is>
      </c>
      <c r="C254" t="inlineStr">
        <is>
          <t>18580</t>
        </is>
      </c>
      <c r="D254" s="7" t="n">
        <v>46.8</v>
      </c>
      <c r="E254" t="n">
        <v>46.79755845522872</v>
      </c>
      <c r="F254" s="7" t="n">
        <v>53.2</v>
      </c>
      <c r="G254" s="6" t="n">
        <v>155803</v>
      </c>
      <c r="H254" s="6" t="n">
        <v>72912</v>
      </c>
      <c r="I254" s="6" t="n">
        <v>82891</v>
      </c>
      <c r="J254" t="inlineStr">
        <is>
          <t>https://www2.census.gov/programs-surveys/susb/datasets/2022/msa_3digitnaics_2022.txt</t>
        </is>
      </c>
    </row>
    <row r="255">
      <c r="A255" t="n">
        <v>254</v>
      </c>
      <c r="B255" t="inlineStr">
        <is>
          <t>San Francisco-Oakland-Fremont, CA Metro Area</t>
        </is>
      </c>
      <c r="C255" t="inlineStr">
        <is>
          <t>41860</t>
        </is>
      </c>
      <c r="D255" s="7" t="n">
        <v>46.7</v>
      </c>
      <c r="E255" t="n">
        <v>46.67328854739375</v>
      </c>
      <c r="F255" s="7" t="n">
        <v>53.3</v>
      </c>
      <c r="G255" s="6" t="n">
        <v>2360860</v>
      </c>
      <c r="H255" s="6" t="n">
        <v>1101891</v>
      </c>
      <c r="I255" s="6" t="n">
        <v>1258969</v>
      </c>
      <c r="J255" t="inlineStr">
        <is>
          <t>https://www2.census.gov/programs-surveys/susb/datasets/2022/msa_3digitnaics_2022.txt</t>
        </is>
      </c>
    </row>
    <row r="256">
      <c r="A256" t="n">
        <v>255</v>
      </c>
      <c r="B256" t="inlineStr">
        <is>
          <t>Grand Island, NE Metro Area</t>
        </is>
      </c>
      <c r="C256" t="inlineStr">
        <is>
          <t>24260</t>
        </is>
      </c>
      <c r="D256" s="7" t="n">
        <v>46.7</v>
      </c>
      <c r="E256" t="n">
        <v>46.65777999944459</v>
      </c>
      <c r="F256" s="7" t="n">
        <v>53.3</v>
      </c>
      <c r="G256" s="6" t="n">
        <v>36009</v>
      </c>
      <c r="H256" s="6" t="n">
        <v>16801</v>
      </c>
      <c r="I256" s="6" t="n">
        <v>19208</v>
      </c>
      <c r="J256" t="inlineStr">
        <is>
          <t>https://www2.census.gov/programs-surveys/susb/datasets/2022/msa_3digitnaics_2022.txt</t>
        </is>
      </c>
    </row>
    <row r="257">
      <c r="A257" t="n">
        <v>256</v>
      </c>
      <c r="B257" t="inlineStr">
        <is>
          <t>Clarksville, TN-KY Metro Area</t>
        </is>
      </c>
      <c r="C257" t="inlineStr">
        <is>
          <t>17300</t>
        </is>
      </c>
      <c r="D257" s="7" t="n">
        <v>46.6</v>
      </c>
      <c r="E257" t="n">
        <v>46.62314128185685</v>
      </c>
      <c r="F257" s="7" t="n">
        <v>53.4</v>
      </c>
      <c r="G257" s="6" t="n">
        <v>77809</v>
      </c>
      <c r="H257" s="6" t="n">
        <v>36277</v>
      </c>
      <c r="I257" s="6" t="n">
        <v>41532</v>
      </c>
      <c r="J257" t="inlineStr">
        <is>
          <t>https://www2.census.gov/programs-surveys/susb/datasets/2022/msa_3digitnaics_2022.txt</t>
        </is>
      </c>
    </row>
    <row r="258">
      <c r="A258" t="n">
        <v>257</v>
      </c>
      <c r="B258" t="inlineStr">
        <is>
          <t>Wausau, WI Metro Area</t>
        </is>
      </c>
      <c r="C258" t="inlineStr">
        <is>
          <t>48140</t>
        </is>
      </c>
      <c r="D258" s="7" t="n">
        <v>46.5</v>
      </c>
      <c r="E258" t="n">
        <v>46.46771202158152</v>
      </c>
      <c r="F258" s="7" t="n">
        <v>53.5</v>
      </c>
      <c r="G258" s="6" t="n">
        <v>65241</v>
      </c>
      <c r="H258" s="6" t="n">
        <v>30316</v>
      </c>
      <c r="I258" s="6" t="n">
        <v>34925</v>
      </c>
      <c r="J258" t="inlineStr">
        <is>
          <t>https://www2.census.gov/programs-surveys/susb/datasets/2022/msa_3digitnaics_2022.txt</t>
        </is>
      </c>
    </row>
    <row r="259">
      <c r="A259" t="n">
        <v>258</v>
      </c>
      <c r="B259" t="inlineStr">
        <is>
          <t>New Haven, CT Metro Area</t>
        </is>
      </c>
      <c r="C259" t="inlineStr">
        <is>
          <t>35300</t>
        </is>
      </c>
      <c r="D259" s="7" t="n">
        <v>46.4</v>
      </c>
      <c r="E259" t="n">
        <v>46.43904207878779</v>
      </c>
      <c r="F259" s="7" t="n">
        <v>53.6</v>
      </c>
      <c r="G259" s="6" t="n">
        <v>259228</v>
      </c>
      <c r="H259" s="6" t="n">
        <v>120383</v>
      </c>
      <c r="I259" s="6" t="n">
        <v>138845</v>
      </c>
      <c r="J259" t="inlineStr">
        <is>
          <t>https://www2.census.gov/programs-surveys/susb/datasets/2022/msa_3digitnaics_2022.txt</t>
        </is>
      </c>
    </row>
    <row r="260">
      <c r="A260" t="n">
        <v>259</v>
      </c>
      <c r="B260" t="inlineStr">
        <is>
          <t>Syracuse, NY Metro Area</t>
        </is>
      </c>
      <c r="C260" t="inlineStr">
        <is>
          <t>45060</t>
        </is>
      </c>
      <c r="D260" s="7" t="n">
        <v>46.4</v>
      </c>
      <c r="E260" t="n">
        <v>46.3732258328878</v>
      </c>
      <c r="F260" s="7" t="n">
        <v>53.6</v>
      </c>
      <c r="G260" s="6" t="n">
        <v>256247</v>
      </c>
      <c r="H260" s="6" t="n">
        <v>118830</v>
      </c>
      <c r="I260" s="6" t="n">
        <v>137417</v>
      </c>
      <c r="J260" t="inlineStr">
        <is>
          <t>https://www2.census.gov/programs-surveys/susb/datasets/2022/msa_3digitnaics_2022.txt</t>
        </is>
      </c>
    </row>
    <row r="261">
      <c r="A261" t="n">
        <v>260</v>
      </c>
      <c r="B261" t="inlineStr">
        <is>
          <t>Rochester, NY Metro Area</t>
        </is>
      </c>
      <c r="C261" t="inlineStr">
        <is>
          <t>40380</t>
        </is>
      </c>
      <c r="D261" s="7" t="n">
        <v>46.4</v>
      </c>
      <c r="E261" t="n">
        <v>46.3701385475015</v>
      </c>
      <c r="F261" s="7" t="n">
        <v>53.6</v>
      </c>
      <c r="G261" s="6" t="n">
        <v>433281</v>
      </c>
      <c r="H261" s="6" t="n">
        <v>200913</v>
      </c>
      <c r="I261" s="6" t="n">
        <v>232368</v>
      </c>
      <c r="J261" t="inlineStr">
        <is>
          <t>https://www2.census.gov/programs-surveys/susb/datasets/2022/msa_3digitnaics_2022.txt</t>
        </is>
      </c>
    </row>
    <row r="262">
      <c r="A262" t="n">
        <v>261</v>
      </c>
      <c r="B262" t="inlineStr">
        <is>
          <t>Springfield, MO Metro Area</t>
        </is>
      </c>
      <c r="C262" t="inlineStr">
        <is>
          <t>44180</t>
        </is>
      </c>
      <c r="D262" s="7" t="n">
        <v>46.4</v>
      </c>
      <c r="E262" t="n">
        <v>46.36398712520434</v>
      </c>
      <c r="F262" s="7" t="n">
        <v>53.6</v>
      </c>
      <c r="G262" s="6" t="n">
        <v>196974</v>
      </c>
      <c r="H262" s="6" t="n">
        <v>91325</v>
      </c>
      <c r="I262" s="6" t="n">
        <v>105649</v>
      </c>
      <c r="J262" t="inlineStr">
        <is>
          <t>https://www2.census.gov/programs-surveys/susb/datasets/2022/msa_3digitnaics_2022.txt</t>
        </is>
      </c>
    </row>
    <row r="263">
      <c r="A263" t="n">
        <v>262</v>
      </c>
      <c r="B263" t="inlineStr">
        <is>
          <t>Houston-Pasadena-The Woodlands, TX Metro Area</t>
        </is>
      </c>
      <c r="C263" t="inlineStr">
        <is>
          <t>26420</t>
        </is>
      </c>
      <c r="D263" s="7" t="n">
        <v>46.3</v>
      </c>
      <c r="E263" t="n">
        <v>46.34481091386595</v>
      </c>
      <c r="F263" s="7" t="n">
        <v>53.7</v>
      </c>
      <c r="G263" s="6" t="n">
        <v>2730105</v>
      </c>
      <c r="H263" s="6" t="n">
        <v>1265262</v>
      </c>
      <c r="I263" s="6" t="n">
        <v>1464843</v>
      </c>
      <c r="J263" t="inlineStr">
        <is>
          <t>https://www2.census.gov/programs-surveys/susb/datasets/2022/msa_3digitnaics_2022.txt</t>
        </is>
      </c>
    </row>
    <row r="264">
      <c r="A264" t="n">
        <v>263</v>
      </c>
      <c r="B264" t="inlineStr">
        <is>
          <t>Mobile, AL Metro Area</t>
        </is>
      </c>
      <c r="C264" t="inlineStr">
        <is>
          <t>33660</t>
        </is>
      </c>
      <c r="D264" s="7" t="n">
        <v>46.3</v>
      </c>
      <c r="E264" t="n">
        <v>46.33788710912697</v>
      </c>
      <c r="F264" s="7" t="n">
        <v>53.7</v>
      </c>
      <c r="G264" s="6" t="n">
        <v>152767</v>
      </c>
      <c r="H264" s="6" t="n">
        <v>70789</v>
      </c>
      <c r="I264" s="6" t="n">
        <v>81978</v>
      </c>
      <c r="J264" t="inlineStr">
        <is>
          <t>https://www2.census.gov/programs-surveys/susb/datasets/2022/msa_3digitnaics_2022.txt</t>
        </is>
      </c>
    </row>
    <row r="265">
      <c r="A265" t="n">
        <v>264</v>
      </c>
      <c r="B265" t="inlineStr">
        <is>
          <t>Cleveland, OH Metro Area</t>
        </is>
      </c>
      <c r="C265" t="inlineStr">
        <is>
          <t>17410</t>
        </is>
      </c>
      <c r="D265" s="7" t="n">
        <v>46.3</v>
      </c>
      <c r="E265" t="n">
        <v>46.330796289428</v>
      </c>
      <c r="F265" s="7" t="n">
        <v>53.7</v>
      </c>
      <c r="G265" s="6" t="n">
        <v>946377</v>
      </c>
      <c r="H265" s="6" t="n">
        <v>438464</v>
      </c>
      <c r="I265" s="6" t="n">
        <v>507913</v>
      </c>
      <c r="J265" t="inlineStr">
        <is>
          <t>https://www2.census.gov/programs-surveys/susb/datasets/2022/msa_3digitnaics_2022.txt</t>
        </is>
      </c>
    </row>
    <row r="266">
      <c r="A266" t="n">
        <v>265</v>
      </c>
      <c r="B266" t="inlineStr">
        <is>
          <t>Lynchburg, VA Metro Area</t>
        </is>
      </c>
      <c r="C266" t="inlineStr">
        <is>
          <t>31340</t>
        </is>
      </c>
      <c r="D266" s="7" t="n">
        <v>46.3</v>
      </c>
      <c r="E266" t="n">
        <v>46.25724910126596</v>
      </c>
      <c r="F266" s="7" t="n">
        <v>53.7</v>
      </c>
      <c r="G266" s="6" t="n">
        <v>97081</v>
      </c>
      <c r="H266" s="6" t="n">
        <v>44907</v>
      </c>
      <c r="I266" s="6" t="n">
        <v>52174</v>
      </c>
      <c r="J266" t="inlineStr">
        <is>
          <t>https://www2.census.gov/programs-surveys/susb/datasets/2022/msa_3digitnaics_2022.txt</t>
        </is>
      </c>
    </row>
    <row r="267">
      <c r="A267" t="n">
        <v>266</v>
      </c>
      <c r="B267" t="inlineStr">
        <is>
          <t>Janesville-Beloit, WI Metro Area</t>
        </is>
      </c>
      <c r="C267" t="inlineStr">
        <is>
          <t>27500</t>
        </is>
      </c>
      <c r="D267" s="7" t="n">
        <v>46.2</v>
      </c>
      <c r="E267" t="n">
        <v>46.16063548102383</v>
      </c>
      <c r="F267" s="7" t="n">
        <v>53.8</v>
      </c>
      <c r="G267" s="6" t="n">
        <v>61182</v>
      </c>
      <c r="H267" s="6" t="n">
        <v>28242</v>
      </c>
      <c r="I267" s="6" t="n">
        <v>32940</v>
      </c>
      <c r="J267" t="inlineStr">
        <is>
          <t>https://www2.census.gov/programs-surveys/susb/datasets/2022/msa_3digitnaics_2022.txt</t>
        </is>
      </c>
    </row>
    <row r="268">
      <c r="A268" t="n">
        <v>267</v>
      </c>
      <c r="B268" t="inlineStr">
        <is>
          <t>Philadelphia-Camden-Wilmington, PA-NJ-DE-MD Metro Area</t>
        </is>
      </c>
      <c r="C268" t="inlineStr">
        <is>
          <t>37980</t>
        </is>
      </c>
      <c r="D268" s="7" t="n">
        <v>46</v>
      </c>
      <c r="E268" t="n">
        <v>46.02369153853996</v>
      </c>
      <c r="F268" s="7" t="n">
        <v>54</v>
      </c>
      <c r="G268" s="6" t="n">
        <v>2765882</v>
      </c>
      <c r="H268" s="6" t="n">
        <v>1272961</v>
      </c>
      <c r="I268" s="6" t="n">
        <v>1492921</v>
      </c>
      <c r="J268" t="inlineStr">
        <is>
          <t>https://www2.census.gov/programs-surveys/susb/datasets/2022/msa_3digitnaics_2022.txt</t>
        </is>
      </c>
    </row>
    <row r="269">
      <c r="A269" t="n">
        <v>268</v>
      </c>
      <c r="B269" t="inlineStr">
        <is>
          <t>Hartford-West Hartford-East Hartford, CT Metro Area</t>
        </is>
      </c>
      <c r="C269" t="inlineStr">
        <is>
          <t>25540</t>
        </is>
      </c>
      <c r="D269" s="7" t="n">
        <v>46</v>
      </c>
      <c r="E269" t="n">
        <v>45.96708846176002</v>
      </c>
      <c r="F269" s="7" t="n">
        <v>54</v>
      </c>
      <c r="G269" s="6" t="n">
        <v>520790</v>
      </c>
      <c r="H269" s="6" t="n">
        <v>239392</v>
      </c>
      <c r="I269" s="6" t="n">
        <v>281398</v>
      </c>
      <c r="J269" t="inlineStr">
        <is>
          <t>https://www2.census.gov/programs-surveys/susb/datasets/2022/msa_3digitnaics_2022.txt</t>
        </is>
      </c>
    </row>
    <row r="270">
      <c r="A270" t="n">
        <v>269</v>
      </c>
      <c r="B270" t="inlineStr">
        <is>
          <t>Tucson, AZ Metro Area</t>
        </is>
      </c>
      <c r="C270" t="inlineStr">
        <is>
          <t>46060</t>
        </is>
      </c>
      <c r="D270" s="7" t="n">
        <v>45.9</v>
      </c>
      <c r="E270" t="n">
        <v>45.94377098491196</v>
      </c>
      <c r="F270" s="7" t="n">
        <v>54.1</v>
      </c>
      <c r="G270" s="6" t="n">
        <v>331786</v>
      </c>
      <c r="H270" s="6" t="n">
        <v>152435</v>
      </c>
      <c r="I270" s="6" t="n">
        <v>179351</v>
      </c>
      <c r="J270" t="inlineStr">
        <is>
          <t>https://www2.census.gov/programs-surveys/susb/datasets/2022/msa_3digitnaics_2022.txt</t>
        </is>
      </c>
    </row>
    <row r="271">
      <c r="A271" t="n">
        <v>270</v>
      </c>
      <c r="B271" t="inlineStr">
        <is>
          <t>Rockford, IL Metro Area</t>
        </is>
      </c>
      <c r="C271" t="inlineStr">
        <is>
          <t>40420</t>
        </is>
      </c>
      <c r="D271" s="7" t="n">
        <v>45.9</v>
      </c>
      <c r="E271" t="n">
        <v>45.92933461115027</v>
      </c>
      <c r="F271" s="7" t="n">
        <v>54.1</v>
      </c>
      <c r="G271" s="6" t="n">
        <v>126257</v>
      </c>
      <c r="H271" s="6" t="n">
        <v>57989</v>
      </c>
      <c r="I271" s="6" t="n">
        <v>68268</v>
      </c>
      <c r="J271" t="inlineStr">
        <is>
          <t>https://www2.census.gov/programs-surveys/susb/datasets/2022/msa_3digitnaics_2022.txt</t>
        </is>
      </c>
    </row>
    <row r="272">
      <c r="A272" t="n">
        <v>271</v>
      </c>
      <c r="B272" t="inlineStr">
        <is>
          <t>Minneapolis-St. Paul-Bloomington, MN-WI Metro Area</t>
        </is>
      </c>
      <c r="C272" t="inlineStr">
        <is>
          <t>33460</t>
        </is>
      </c>
      <c r="D272" s="7" t="n">
        <v>45.8</v>
      </c>
      <c r="E272" t="n">
        <v>45.81681596358854</v>
      </c>
      <c r="F272" s="7" t="n">
        <v>54.2</v>
      </c>
      <c r="G272" s="6" t="n">
        <v>1840739</v>
      </c>
      <c r="H272" s="6" t="n">
        <v>843368</v>
      </c>
      <c r="I272" s="6" t="n">
        <v>997371</v>
      </c>
      <c r="J272" t="inlineStr">
        <is>
          <t>https://www2.census.gov/programs-surveys/susb/datasets/2022/msa_3digitnaics_2022.txt</t>
        </is>
      </c>
    </row>
    <row r="273">
      <c r="A273" t="n">
        <v>272</v>
      </c>
      <c r="B273" t="inlineStr">
        <is>
          <t>Tuscaloosa, AL Metro Area</t>
        </is>
      </c>
      <c r="C273" t="inlineStr">
        <is>
          <t>46220</t>
        </is>
      </c>
      <c r="D273" s="7" t="n">
        <v>45.8</v>
      </c>
      <c r="E273" t="n">
        <v>45.80311476351934</v>
      </c>
      <c r="F273" s="7" t="n">
        <v>54.2</v>
      </c>
      <c r="G273" s="6" t="n">
        <v>87005</v>
      </c>
      <c r="H273" s="6" t="n">
        <v>39851</v>
      </c>
      <c r="I273" s="6" t="n">
        <v>47154</v>
      </c>
      <c r="J273" t="inlineStr">
        <is>
          <t>https://www2.census.gov/programs-surveys/susb/datasets/2022/msa_3digitnaics_2022.txt</t>
        </is>
      </c>
    </row>
    <row r="274">
      <c r="A274" t="n">
        <v>273</v>
      </c>
      <c r="B274" t="inlineStr">
        <is>
          <t>Blacksburg-Christiansburg-Radford, VA Metro Area</t>
        </is>
      </c>
      <c r="C274" t="inlineStr">
        <is>
          <t>13980</t>
        </is>
      </c>
      <c r="D274" s="7" t="n">
        <v>45.7</v>
      </c>
      <c r="E274" t="n">
        <v>45.73019240882795</v>
      </c>
      <c r="F274" s="7" t="n">
        <v>54.3</v>
      </c>
      <c r="G274" s="6" t="n">
        <v>55143</v>
      </c>
      <c r="H274" s="6" t="n">
        <v>25217</v>
      </c>
      <c r="I274" s="6" t="n">
        <v>29926</v>
      </c>
      <c r="J274" t="inlineStr">
        <is>
          <t>https://www2.census.gov/programs-surveys/susb/datasets/2022/msa_3digitnaics_2022.txt</t>
        </is>
      </c>
    </row>
    <row r="275">
      <c r="A275" t="n">
        <v>274</v>
      </c>
      <c r="B275" t="inlineStr">
        <is>
          <t>Jackson, MS Metro Area</t>
        </is>
      </c>
      <c r="C275" t="inlineStr">
        <is>
          <t>27140</t>
        </is>
      </c>
      <c r="D275" s="7" t="n">
        <v>45.7</v>
      </c>
      <c r="E275" t="n">
        <v>45.71236216106804</v>
      </c>
      <c r="F275" s="7" t="n">
        <v>54.3</v>
      </c>
      <c r="G275" s="6" t="n">
        <v>227258</v>
      </c>
      <c r="H275" s="6" t="n">
        <v>103885</v>
      </c>
      <c r="I275" s="6" t="n">
        <v>123373</v>
      </c>
      <c r="J275" t="inlineStr">
        <is>
          <t>https://www2.census.gov/programs-surveys/susb/datasets/2022/msa_3digitnaics_2022.txt</t>
        </is>
      </c>
    </row>
    <row r="276">
      <c r="A276" t="n">
        <v>275</v>
      </c>
      <c r="B276" t="inlineStr">
        <is>
          <t>Chambersburg, PA Metro Area</t>
        </is>
      </c>
      <c r="C276" t="inlineStr">
        <is>
          <t>16540</t>
        </is>
      </c>
      <c r="D276" s="7" t="n">
        <v>45.7</v>
      </c>
      <c r="E276" t="n">
        <v>45.66559926806953</v>
      </c>
      <c r="F276" s="7" t="n">
        <v>54.3</v>
      </c>
      <c r="G276" s="6" t="n">
        <v>52464</v>
      </c>
      <c r="H276" s="6" t="n">
        <v>23958</v>
      </c>
      <c r="I276" s="6" t="n">
        <v>28506</v>
      </c>
      <c r="J276" t="inlineStr">
        <is>
          <t>https://www2.census.gov/programs-surveys/susb/datasets/2022/msa_3digitnaics_2022.txt</t>
        </is>
      </c>
    </row>
    <row r="277">
      <c r="A277" t="n">
        <v>276</v>
      </c>
      <c r="B277" t="inlineStr">
        <is>
          <t>Anniston-Oxford, AL Metro Area</t>
        </is>
      </c>
      <c r="C277" t="inlineStr">
        <is>
          <t>11500</t>
        </is>
      </c>
      <c r="D277" s="7" t="n">
        <v>45.5</v>
      </c>
      <c r="E277" t="n">
        <v>45.54171782728177</v>
      </c>
      <c r="F277" s="7" t="n">
        <v>54.5</v>
      </c>
      <c r="G277" s="6" t="n">
        <v>34206</v>
      </c>
      <c r="H277" s="6" t="n">
        <v>15578</v>
      </c>
      <c r="I277" s="6" t="n">
        <v>18628</v>
      </c>
      <c r="J277" t="inlineStr">
        <is>
          <t>https://www2.census.gov/programs-surveys/susb/datasets/2022/msa_3digitnaics_2022.txt</t>
        </is>
      </c>
    </row>
    <row r="278">
      <c r="A278" t="n">
        <v>277</v>
      </c>
      <c r="B278" t="inlineStr">
        <is>
          <t>Hickory-Lenoir-Morganton, NC Metro Area</t>
        </is>
      </c>
      <c r="C278" t="inlineStr">
        <is>
          <t>25860</t>
        </is>
      </c>
      <c r="D278" s="7" t="n">
        <v>45.5</v>
      </c>
      <c r="E278" t="n">
        <v>45.51995463245198</v>
      </c>
      <c r="F278" s="7" t="n">
        <v>54.5</v>
      </c>
      <c r="G278" s="6" t="n">
        <v>141070</v>
      </c>
      <c r="H278" s="6" t="n">
        <v>64215</v>
      </c>
      <c r="I278" s="6" t="n">
        <v>76855</v>
      </c>
      <c r="J278" t="inlineStr">
        <is>
          <t>https://www2.census.gov/programs-surveys/susb/datasets/2022/msa_3digitnaics_2022.txt</t>
        </is>
      </c>
    </row>
    <row r="279">
      <c r="A279" t="n">
        <v>278</v>
      </c>
      <c r="B279" t="inlineStr">
        <is>
          <t>Elizabethtown, KY Metro Area</t>
        </is>
      </c>
      <c r="C279" t="inlineStr">
        <is>
          <t>21060</t>
        </is>
      </c>
      <c r="D279" s="7" t="n">
        <v>45.5</v>
      </c>
      <c r="E279" t="n">
        <v>45.51327503348302</v>
      </c>
      <c r="F279" s="7" t="n">
        <v>54.5</v>
      </c>
      <c r="G279" s="6" t="n">
        <v>38079</v>
      </c>
      <c r="H279" s="6" t="n">
        <v>17331</v>
      </c>
      <c r="I279" s="6" t="n">
        <v>20748</v>
      </c>
      <c r="J279" t="inlineStr">
        <is>
          <t>https://www2.census.gov/programs-surveys/susb/datasets/2022/msa_3digitnaics_2022.txt</t>
        </is>
      </c>
    </row>
    <row r="280">
      <c r="A280" t="n">
        <v>279</v>
      </c>
      <c r="B280" t="inlineStr">
        <is>
          <t>Pensacola-Ferry Pass-Brent, FL Metro Area</t>
        </is>
      </c>
      <c r="C280" t="inlineStr">
        <is>
          <t>37860</t>
        </is>
      </c>
      <c r="D280" s="7" t="n">
        <v>45.5</v>
      </c>
      <c r="E280" t="n">
        <v>45.49354452831745</v>
      </c>
      <c r="F280" s="7" t="n">
        <v>54.5</v>
      </c>
      <c r="G280" s="6" t="n">
        <v>145458</v>
      </c>
      <c r="H280" s="6" t="n">
        <v>66174</v>
      </c>
      <c r="I280" s="6" t="n">
        <v>79284</v>
      </c>
      <c r="J280" t="inlineStr">
        <is>
          <t>https://www2.census.gov/programs-surveys/susb/datasets/2022/msa_3digitnaics_2022.txt</t>
        </is>
      </c>
    </row>
    <row r="281">
      <c r="A281" t="n">
        <v>280</v>
      </c>
      <c r="B281" t="inlineStr">
        <is>
          <t>Davenport-Moline-Rock Island, IA-IL Metro Area</t>
        </is>
      </c>
      <c r="C281" t="inlineStr">
        <is>
          <t>19340</t>
        </is>
      </c>
      <c r="D281" s="7" t="n">
        <v>45.4</v>
      </c>
      <c r="E281" t="n">
        <v>45.42779608211607</v>
      </c>
      <c r="F281" s="7" t="n">
        <v>54.6</v>
      </c>
      <c r="G281" s="6" t="n">
        <v>161771</v>
      </c>
      <c r="H281" s="6" t="n">
        <v>73489</v>
      </c>
      <c r="I281" s="6" t="n">
        <v>88282</v>
      </c>
      <c r="J281" t="inlineStr">
        <is>
          <t>https://www2.census.gov/programs-surveys/susb/datasets/2022/msa_3digitnaics_2022.txt</t>
        </is>
      </c>
    </row>
    <row r="282">
      <c r="A282" t="n">
        <v>281</v>
      </c>
      <c r="B282" t="inlineStr">
        <is>
          <t>Omaha, NE-IA Metro Area</t>
        </is>
      </c>
      <c r="C282" t="inlineStr">
        <is>
          <t>36540</t>
        </is>
      </c>
      <c r="D282" s="7" t="n">
        <v>45.4</v>
      </c>
      <c r="E282" t="n">
        <v>45.42023219679434</v>
      </c>
      <c r="F282" s="7" t="n">
        <v>54.6</v>
      </c>
      <c r="G282" s="6" t="n">
        <v>436354</v>
      </c>
      <c r="H282" s="6" t="n">
        <v>198193</v>
      </c>
      <c r="I282" s="6" t="n">
        <v>238161</v>
      </c>
      <c r="J282" t="inlineStr">
        <is>
          <t>https://www2.census.gov/programs-surveys/susb/datasets/2022/msa_3digitnaics_2022.txt</t>
        </is>
      </c>
    </row>
    <row r="283">
      <c r="A283" t="n">
        <v>282</v>
      </c>
      <c r="B283" t="inlineStr">
        <is>
          <t>Albany-Schenectady-Troy, NY Metro Area</t>
        </is>
      </c>
      <c r="C283" t="inlineStr">
        <is>
          <t>10580</t>
        </is>
      </c>
      <c r="D283" s="7" t="n">
        <v>45.3</v>
      </c>
      <c r="E283" t="n">
        <v>45.32689251311614</v>
      </c>
      <c r="F283" s="7" t="n">
        <v>54.7</v>
      </c>
      <c r="G283" s="6" t="n">
        <v>351094</v>
      </c>
      <c r="H283" s="6" t="n">
        <v>159140</v>
      </c>
      <c r="I283" s="6" t="n">
        <v>191954</v>
      </c>
      <c r="J283" t="inlineStr">
        <is>
          <t>https://www2.census.gov/programs-surveys/susb/datasets/2022/msa_3digitnaics_2022.txt</t>
        </is>
      </c>
    </row>
    <row r="284">
      <c r="A284" t="n">
        <v>283</v>
      </c>
      <c r="B284" t="inlineStr">
        <is>
          <t>Fayetteville, NC Metro Area</t>
        </is>
      </c>
      <c r="C284" t="inlineStr">
        <is>
          <t>22180</t>
        </is>
      </c>
      <c r="D284" s="7" t="n">
        <v>45.3</v>
      </c>
      <c r="E284" t="n">
        <v>45.30938515776139</v>
      </c>
      <c r="F284" s="7" t="n">
        <v>54.7</v>
      </c>
      <c r="G284" s="6" t="n">
        <v>101831</v>
      </c>
      <c r="H284" s="6" t="n">
        <v>46139</v>
      </c>
      <c r="I284" s="6" t="n">
        <v>55692</v>
      </c>
      <c r="J284" t="inlineStr">
        <is>
          <t>https://www2.census.gov/programs-surveys/susb/datasets/2022/msa_3digitnaics_2022.txt</t>
        </is>
      </c>
    </row>
    <row r="285">
      <c r="A285" t="n">
        <v>284</v>
      </c>
      <c r="B285" t="inlineStr">
        <is>
          <t>Greenville, NC Metro Area</t>
        </is>
      </c>
      <c r="C285" t="inlineStr">
        <is>
          <t>24780</t>
        </is>
      </c>
      <c r="D285" s="7" t="n">
        <v>45.2</v>
      </c>
      <c r="E285" t="n">
        <v>45.23687041107421</v>
      </c>
      <c r="F285" s="7" t="n">
        <v>54.8</v>
      </c>
      <c r="G285" s="6" t="n">
        <v>64149</v>
      </c>
      <c r="H285" s="6" t="n">
        <v>29019</v>
      </c>
      <c r="I285" s="6" t="n">
        <v>35130</v>
      </c>
      <c r="J285" t="inlineStr">
        <is>
          <t>https://www2.census.gov/programs-surveys/susb/datasets/2022/msa_3digitnaics_2022.txt</t>
        </is>
      </c>
    </row>
    <row r="286">
      <c r="A286" t="n">
        <v>285</v>
      </c>
      <c r="B286" t="inlineStr">
        <is>
          <t>Reading, PA Metro Area</t>
        </is>
      </c>
      <c r="C286" t="inlineStr">
        <is>
          <t>39740</t>
        </is>
      </c>
      <c r="D286" s="7" t="n">
        <v>45.2</v>
      </c>
      <c r="E286" t="n">
        <v>45.2315087183467</v>
      </c>
      <c r="F286" s="7" t="n">
        <v>54.8</v>
      </c>
      <c r="G286" s="6" t="n">
        <v>159778</v>
      </c>
      <c r="H286" s="6" t="n">
        <v>72270</v>
      </c>
      <c r="I286" s="6" t="n">
        <v>87508</v>
      </c>
      <c r="J286" t="inlineStr">
        <is>
          <t>https://www2.census.gov/programs-surveys/susb/datasets/2022/msa_3digitnaics_2022.txt</t>
        </is>
      </c>
    </row>
    <row r="287">
      <c r="A287" t="n">
        <v>286</v>
      </c>
      <c r="B287" t="inlineStr">
        <is>
          <t>Norwich-New London-Willimantic, CT Metro Area</t>
        </is>
      </c>
      <c r="C287" t="inlineStr">
        <is>
          <t>35980</t>
        </is>
      </c>
      <c r="D287" s="7" t="n">
        <v>45.2</v>
      </c>
      <c r="E287" t="n">
        <v>45.21571534469978</v>
      </c>
      <c r="F287" s="7" t="n">
        <v>54.8</v>
      </c>
      <c r="G287" s="6" t="n">
        <v>101175</v>
      </c>
      <c r="H287" s="6" t="n">
        <v>45747</v>
      </c>
      <c r="I287" s="6" t="n">
        <v>55428</v>
      </c>
      <c r="J287" t="inlineStr">
        <is>
          <t>https://www2.census.gov/programs-surveys/susb/datasets/2022/msa_3digitnaics_2022.txt</t>
        </is>
      </c>
    </row>
    <row r="288">
      <c r="A288" t="n">
        <v>287</v>
      </c>
      <c r="B288" t="inlineStr">
        <is>
          <t>Toledo, OH Metro Area</t>
        </is>
      </c>
      <c r="C288" t="inlineStr">
        <is>
          <t>45780</t>
        </is>
      </c>
      <c r="D288" s="7" t="n">
        <v>45.2</v>
      </c>
      <c r="E288" t="n">
        <v>45.18752841484334</v>
      </c>
      <c r="F288" s="7" t="n">
        <v>54.8</v>
      </c>
      <c r="G288" s="6" t="n">
        <v>261747</v>
      </c>
      <c r="H288" s="6" t="n">
        <v>118277</v>
      </c>
      <c r="I288" s="6" t="n">
        <v>143470</v>
      </c>
      <c r="J288" t="inlineStr">
        <is>
          <t>https://www2.census.gov/programs-surveys/susb/datasets/2022/msa_3digitnaics_2022.txt</t>
        </is>
      </c>
    </row>
    <row r="289">
      <c r="A289" t="n">
        <v>288</v>
      </c>
      <c r="B289" t="inlineStr">
        <is>
          <t>Denver-Aurora-Centennial, CO Metro Area</t>
        </is>
      </c>
      <c r="C289" t="inlineStr">
        <is>
          <t>19740</t>
        </is>
      </c>
      <c r="D289" s="7" t="n">
        <v>45.2</v>
      </c>
      <c r="E289" t="n">
        <v>45.17163072923893</v>
      </c>
      <c r="F289" s="7" t="n">
        <v>54.8</v>
      </c>
      <c r="G289" s="6" t="n">
        <v>1369510</v>
      </c>
      <c r="H289" s="6" t="n">
        <v>618630</v>
      </c>
      <c r="I289" s="6" t="n">
        <v>750880</v>
      </c>
      <c r="J289" t="inlineStr">
        <is>
          <t>https://www2.census.gov/programs-surveys/susb/datasets/2022/msa_3digitnaics_2022.txt</t>
        </is>
      </c>
    </row>
    <row r="290">
      <c r="A290" t="n">
        <v>289</v>
      </c>
      <c r="B290" t="inlineStr">
        <is>
          <t>Springfield, OH Metro Area</t>
        </is>
      </c>
      <c r="C290" t="inlineStr">
        <is>
          <t>44220</t>
        </is>
      </c>
      <c r="D290" s="7" t="n">
        <v>45.1</v>
      </c>
      <c r="E290" t="n">
        <v>45.1428297775543</v>
      </c>
      <c r="F290" s="7" t="n">
        <v>54.9</v>
      </c>
      <c r="G290" s="6" t="n">
        <v>41763</v>
      </c>
      <c r="H290" s="6" t="n">
        <v>18853</v>
      </c>
      <c r="I290" s="6" t="n">
        <v>22910</v>
      </c>
      <c r="J290" t="inlineStr">
        <is>
          <t>https://www2.census.gov/programs-surveys/susb/datasets/2022/msa_3digitnaics_2022.txt</t>
        </is>
      </c>
    </row>
    <row r="291">
      <c r="A291" t="n">
        <v>290</v>
      </c>
      <c r="B291" t="inlineStr">
        <is>
          <t>Weirton-Steubenville, WV-OH Metro Area</t>
        </is>
      </c>
      <c r="C291" t="inlineStr">
        <is>
          <t>48260</t>
        </is>
      </c>
      <c r="D291" s="7" t="n">
        <v>45.1</v>
      </c>
      <c r="E291" t="n">
        <v>45.13629318989881</v>
      </c>
      <c r="F291" s="7" t="n">
        <v>54.9</v>
      </c>
      <c r="G291" s="6" t="n">
        <v>32907</v>
      </c>
      <c r="H291" s="6" t="n">
        <v>14853</v>
      </c>
      <c r="I291" s="6" t="n">
        <v>18054</v>
      </c>
      <c r="J291" t="inlineStr">
        <is>
          <t>https://www2.census.gov/programs-surveys/susb/datasets/2022/msa_3digitnaics_2022.txt</t>
        </is>
      </c>
    </row>
    <row r="292">
      <c r="A292" t="n">
        <v>291</v>
      </c>
      <c r="B292" t="inlineStr">
        <is>
          <t>Owensboro, KY Metro Area</t>
        </is>
      </c>
      <c r="C292" t="inlineStr">
        <is>
          <t>36980</t>
        </is>
      </c>
      <c r="D292" s="7" t="n">
        <v>45.1</v>
      </c>
      <c r="E292" t="n">
        <v>45.11566664396467</v>
      </c>
      <c r="F292" s="7" t="n">
        <v>54.9</v>
      </c>
      <c r="G292" s="6" t="n">
        <v>44049</v>
      </c>
      <c r="H292" s="6" t="n">
        <v>19873</v>
      </c>
      <c r="I292" s="6" t="n">
        <v>24176</v>
      </c>
      <c r="J292" t="inlineStr">
        <is>
          <t>https://www2.census.gov/programs-surveys/susb/datasets/2022/msa_3digitnaics_2022.txt</t>
        </is>
      </c>
    </row>
    <row r="293">
      <c r="A293" t="n">
        <v>292</v>
      </c>
      <c r="B293" t="inlineStr">
        <is>
          <t>Muncie, IN Metro Area</t>
        </is>
      </c>
      <c r="C293" t="inlineStr">
        <is>
          <t>34620</t>
        </is>
      </c>
      <c r="D293" s="7" t="n">
        <v>45.1</v>
      </c>
      <c r="E293" t="n">
        <v>45.10669975186104</v>
      </c>
      <c r="F293" s="7" t="n">
        <v>54.9</v>
      </c>
      <c r="G293" s="6" t="n">
        <v>40300</v>
      </c>
      <c r="H293" s="6" t="n">
        <v>18178</v>
      </c>
      <c r="I293" s="6" t="n">
        <v>22122</v>
      </c>
      <c r="J293" t="inlineStr">
        <is>
          <t>https://www2.census.gov/programs-surveys/susb/datasets/2022/msa_3digitnaics_2022.txt</t>
        </is>
      </c>
    </row>
    <row r="294">
      <c r="A294" t="n">
        <v>293</v>
      </c>
      <c r="B294" t="inlineStr">
        <is>
          <t>Sumter, SC Metro Area</t>
        </is>
      </c>
      <c r="C294" t="inlineStr">
        <is>
          <t>44940</t>
        </is>
      </c>
      <c r="D294" s="7" t="n">
        <v>45.1</v>
      </c>
      <c r="E294" t="n">
        <v>45.08742171189979</v>
      </c>
      <c r="F294" s="7" t="n">
        <v>54.9</v>
      </c>
      <c r="G294" s="6" t="n">
        <v>30656</v>
      </c>
      <c r="H294" s="6" t="n">
        <v>13822</v>
      </c>
      <c r="I294" s="6" t="n">
        <v>16834</v>
      </c>
      <c r="J294" t="inlineStr">
        <is>
          <t>https://www2.census.gov/programs-surveys/susb/datasets/2022/msa_3digitnaics_2022.txt</t>
        </is>
      </c>
    </row>
    <row r="295">
      <c r="A295" t="n">
        <v>294</v>
      </c>
      <c r="B295" t="inlineStr">
        <is>
          <t>Cedar Rapids, IA Metro Area</t>
        </is>
      </c>
      <c r="C295" t="inlineStr">
        <is>
          <t>16300</t>
        </is>
      </c>
      <c r="D295" s="7" t="n">
        <v>45.1</v>
      </c>
      <c r="E295" t="n">
        <v>45.06367041198502</v>
      </c>
      <c r="F295" s="7" t="n">
        <v>54.9</v>
      </c>
      <c r="G295" s="6" t="n">
        <v>126825</v>
      </c>
      <c r="H295" s="6" t="n">
        <v>57152</v>
      </c>
      <c r="I295" s="6" t="n">
        <v>69673</v>
      </c>
      <c r="J295" t="inlineStr">
        <is>
          <t>https://www2.census.gov/programs-surveys/susb/datasets/2022/msa_3digitnaics_2022.txt</t>
        </is>
      </c>
    </row>
    <row r="296">
      <c r="A296" t="n">
        <v>295</v>
      </c>
      <c r="B296" t="inlineStr">
        <is>
          <t>Waco, TX Metro Area</t>
        </is>
      </c>
      <c r="C296" t="inlineStr">
        <is>
          <t>47380</t>
        </is>
      </c>
      <c r="D296" s="7" t="n">
        <v>45</v>
      </c>
      <c r="E296" t="n">
        <v>45.04334482728211</v>
      </c>
      <c r="F296" s="7" t="n">
        <v>55</v>
      </c>
      <c r="G296" s="6" t="n">
        <v>113393</v>
      </c>
      <c r="H296" s="6" t="n">
        <v>51076</v>
      </c>
      <c r="I296" s="6" t="n">
        <v>62317</v>
      </c>
      <c r="J296" t="inlineStr">
        <is>
          <t>https://www2.census.gov/programs-surveys/susb/datasets/2022/msa_3digitnaics_2022.txt</t>
        </is>
      </c>
    </row>
    <row r="297">
      <c r="A297" t="n">
        <v>296</v>
      </c>
      <c r="B297" t="inlineStr">
        <is>
          <t>Savannah, GA Metro Area</t>
        </is>
      </c>
      <c r="C297" t="inlineStr">
        <is>
          <t>42340</t>
        </is>
      </c>
      <c r="D297" s="7" t="n">
        <v>45</v>
      </c>
      <c r="E297" t="n">
        <v>45.03772184594526</v>
      </c>
      <c r="F297" s="7" t="n">
        <v>55</v>
      </c>
      <c r="G297" s="6" t="n">
        <v>171121</v>
      </c>
      <c r="H297" s="6" t="n">
        <v>77069</v>
      </c>
      <c r="I297" s="6" t="n">
        <v>94052</v>
      </c>
      <c r="J297" t="inlineStr">
        <is>
          <t>https://www2.census.gov/programs-surveys/susb/datasets/2022/msa_3digitnaics_2022.txt</t>
        </is>
      </c>
    </row>
    <row r="298">
      <c r="A298" t="n">
        <v>297</v>
      </c>
      <c r="B298" t="inlineStr">
        <is>
          <t>Peoria, IL Metro Area</t>
        </is>
      </c>
      <c r="C298" t="inlineStr">
        <is>
          <t>37900</t>
        </is>
      </c>
      <c r="D298" s="7" t="n">
        <v>45</v>
      </c>
      <c r="E298" t="n">
        <v>45.01312421433828</v>
      </c>
      <c r="F298" s="7" t="n">
        <v>55</v>
      </c>
      <c r="G298" s="6" t="n">
        <v>153533</v>
      </c>
      <c r="H298" s="6" t="n">
        <v>69110</v>
      </c>
      <c r="I298" s="6" t="n">
        <v>84423</v>
      </c>
      <c r="J298" t="inlineStr">
        <is>
          <t>https://www2.census.gov/programs-surveys/susb/datasets/2022/msa_3digitnaics_2022.txt</t>
        </is>
      </c>
    </row>
    <row r="299">
      <c r="A299" t="n">
        <v>298</v>
      </c>
      <c r="B299" t="inlineStr">
        <is>
          <t>Tampa-St. Petersburg-Clearwater, FL Metro Area</t>
        </is>
      </c>
      <c r="C299" t="inlineStr">
        <is>
          <t>45300</t>
        </is>
      </c>
      <c r="D299" s="7" t="n">
        <v>45</v>
      </c>
      <c r="E299" t="n">
        <v>45.01281182620112</v>
      </c>
      <c r="F299" s="7" t="n">
        <v>55</v>
      </c>
      <c r="G299" s="6" t="n">
        <v>1230894</v>
      </c>
      <c r="H299" s="6" t="n">
        <v>554060</v>
      </c>
      <c r="I299" s="6" t="n">
        <v>676834</v>
      </c>
      <c r="J299" t="inlineStr">
        <is>
          <t>https://www2.census.gov/programs-surveys/susb/datasets/2022/msa_3digitnaics_2022.txt</t>
        </is>
      </c>
    </row>
    <row r="300">
      <c r="A300" t="n">
        <v>299</v>
      </c>
      <c r="B300" t="inlineStr">
        <is>
          <t>Columbia, MO Metro Area</t>
        </is>
      </c>
      <c r="C300" t="inlineStr">
        <is>
          <t>17860</t>
        </is>
      </c>
      <c r="D300" s="7" t="n">
        <v>45</v>
      </c>
      <c r="E300" t="n">
        <v>44.97971828474637</v>
      </c>
      <c r="F300" s="7" t="n">
        <v>55</v>
      </c>
      <c r="G300" s="6" t="n">
        <v>89736</v>
      </c>
      <c r="H300" s="6" t="n">
        <v>40363</v>
      </c>
      <c r="I300" s="6" t="n">
        <v>49373</v>
      </c>
      <c r="J300" t="inlineStr">
        <is>
          <t>https://www2.census.gov/programs-surveys/susb/datasets/2022/msa_3digitnaics_2022.txt</t>
        </is>
      </c>
    </row>
    <row r="301">
      <c r="A301" t="n">
        <v>300</v>
      </c>
      <c r="B301" t="inlineStr">
        <is>
          <t>Hanford-Corcoran, CA Metro Area</t>
        </is>
      </c>
      <c r="C301" t="inlineStr">
        <is>
          <t>25260</t>
        </is>
      </c>
      <c r="D301" s="7" t="n">
        <v>44.9</v>
      </c>
      <c r="E301" t="n">
        <v>44.85370950888192</v>
      </c>
      <c r="F301" s="7" t="n">
        <v>55.1</v>
      </c>
      <c r="G301" s="6" t="n">
        <v>26796</v>
      </c>
      <c r="H301" s="6" t="n">
        <v>12019</v>
      </c>
      <c r="I301" s="6" t="n">
        <v>14777</v>
      </c>
      <c r="J301" t="inlineStr">
        <is>
          <t>https://www2.census.gov/programs-surveys/susb/datasets/2022/msa_3digitnaics_2022.txt</t>
        </is>
      </c>
    </row>
    <row r="302">
      <c r="A302" t="n">
        <v>301</v>
      </c>
      <c r="B302" t="inlineStr">
        <is>
          <t>Greensboro-High Point, NC Metro Area</t>
        </is>
      </c>
      <c r="C302" t="inlineStr">
        <is>
          <t>24660</t>
        </is>
      </c>
      <c r="D302" s="7" t="n">
        <v>44.9</v>
      </c>
      <c r="E302" t="n">
        <v>44.85367364789349</v>
      </c>
      <c r="F302" s="7" t="n">
        <v>55.1</v>
      </c>
      <c r="G302" s="6" t="n">
        <v>329264</v>
      </c>
      <c r="H302" s="6" t="n">
        <v>147687</v>
      </c>
      <c r="I302" s="6" t="n">
        <v>181577</v>
      </c>
      <c r="J302" t="inlineStr">
        <is>
          <t>https://www2.census.gov/programs-surveys/susb/datasets/2022/msa_3digitnaics_2022.txt</t>
        </is>
      </c>
    </row>
    <row r="303">
      <c r="A303" t="n">
        <v>302</v>
      </c>
      <c r="B303" t="inlineStr">
        <is>
          <t>Pittsburgh, PA Metro Area</t>
        </is>
      </c>
      <c r="C303" t="inlineStr">
        <is>
          <t>38300</t>
        </is>
      </c>
      <c r="D303" s="7" t="n">
        <v>44.9</v>
      </c>
      <c r="E303" t="n">
        <v>44.8526122499044</v>
      </c>
      <c r="F303" s="7" t="n">
        <v>55.1</v>
      </c>
      <c r="G303" s="6" t="n">
        <v>1108776</v>
      </c>
      <c r="H303" s="6" t="n">
        <v>497315</v>
      </c>
      <c r="I303" s="6" t="n">
        <v>611461</v>
      </c>
      <c r="J303" t="inlineStr">
        <is>
          <t>https://www2.census.gov/programs-surveys/susb/datasets/2022/msa_3digitnaics_2022.txt</t>
        </is>
      </c>
    </row>
    <row r="304">
      <c r="A304" t="n">
        <v>303</v>
      </c>
      <c r="B304" t="inlineStr">
        <is>
          <t>Scranton--Wilkes-Barre, PA Metro Area</t>
        </is>
      </c>
      <c r="C304" t="inlineStr">
        <is>
          <t>42540</t>
        </is>
      </c>
      <c r="D304" s="7" t="n">
        <v>44.8</v>
      </c>
      <c r="E304" t="n">
        <v>44.81539907074573</v>
      </c>
      <c r="F304" s="7" t="n">
        <v>55.2</v>
      </c>
      <c r="G304" s="6" t="n">
        <v>232014</v>
      </c>
      <c r="H304" s="6" t="n">
        <v>103978</v>
      </c>
      <c r="I304" s="6" t="n">
        <v>128036</v>
      </c>
      <c r="J304" t="inlineStr">
        <is>
          <t>https://www2.census.gov/programs-surveys/susb/datasets/2022/msa_3digitnaics_2022.txt</t>
        </is>
      </c>
    </row>
    <row r="305">
      <c r="A305" t="n">
        <v>304</v>
      </c>
      <c r="B305" t="inlineStr">
        <is>
          <t>Birmingham, AL Metro Area</t>
        </is>
      </c>
      <c r="C305" t="inlineStr">
        <is>
          <t>13820</t>
        </is>
      </c>
      <c r="D305" s="7" t="n">
        <v>44.8</v>
      </c>
      <c r="E305" t="n">
        <v>44.80890224234685</v>
      </c>
      <c r="F305" s="7" t="n">
        <v>55.2</v>
      </c>
      <c r="G305" s="6" t="n">
        <v>470623</v>
      </c>
      <c r="H305" s="6" t="n">
        <v>210881</v>
      </c>
      <c r="I305" s="6" t="n">
        <v>259742</v>
      </c>
      <c r="J305" t="inlineStr">
        <is>
          <t>https://www2.census.gov/programs-surveys/susb/datasets/2022/msa_3digitnaics_2022.txt</t>
        </is>
      </c>
    </row>
    <row r="306">
      <c r="A306" t="n">
        <v>305</v>
      </c>
      <c r="B306" t="inlineStr">
        <is>
          <t>Harrisonburg, VA Metro Area</t>
        </is>
      </c>
      <c r="C306" t="inlineStr">
        <is>
          <t>25500</t>
        </is>
      </c>
      <c r="D306" s="7" t="n">
        <v>44.8</v>
      </c>
      <c r="E306" t="n">
        <v>44.78638467353825</v>
      </c>
      <c r="F306" s="7" t="n">
        <v>55.2</v>
      </c>
      <c r="G306" s="6" t="n">
        <v>54233</v>
      </c>
      <c r="H306" s="6" t="n">
        <v>24289</v>
      </c>
      <c r="I306" s="6" t="n">
        <v>29944</v>
      </c>
      <c r="J306" t="inlineStr">
        <is>
          <t>https://www2.census.gov/programs-surveys/susb/datasets/2022/msa_3digitnaics_2022.txt</t>
        </is>
      </c>
    </row>
    <row r="307">
      <c r="A307" t="n">
        <v>306</v>
      </c>
      <c r="B307" t="inlineStr">
        <is>
          <t>Madison, WI Metro Area</t>
        </is>
      </c>
      <c r="C307" t="inlineStr">
        <is>
          <t>31540</t>
        </is>
      </c>
      <c r="D307" s="7" t="n">
        <v>44.7</v>
      </c>
      <c r="E307" t="n">
        <v>44.67985096016051</v>
      </c>
      <c r="F307" s="7" t="n">
        <v>55.3</v>
      </c>
      <c r="G307" s="6" t="n">
        <v>348900</v>
      </c>
      <c r="H307" s="6" t="n">
        <v>155888</v>
      </c>
      <c r="I307" s="6" t="n">
        <v>193012</v>
      </c>
      <c r="J307" t="inlineStr">
        <is>
          <t>https://www2.census.gov/programs-surveys/susb/datasets/2022/msa_3digitnaics_2022.txt</t>
        </is>
      </c>
    </row>
    <row r="308">
      <c r="A308" t="n">
        <v>307</v>
      </c>
      <c r="B308" t="inlineStr">
        <is>
          <t>Johnson City, TN Metro Area</t>
        </is>
      </c>
      <c r="C308" t="inlineStr">
        <is>
          <t>27740</t>
        </is>
      </c>
      <c r="D308" s="7" t="n">
        <v>44.7</v>
      </c>
      <c r="E308" t="n">
        <v>44.66002292971162</v>
      </c>
      <c r="F308" s="7" t="n">
        <v>55.3</v>
      </c>
      <c r="G308" s="6" t="n">
        <v>68034</v>
      </c>
      <c r="H308" s="6" t="n">
        <v>30384</v>
      </c>
      <c r="I308" s="6" t="n">
        <v>37650</v>
      </c>
      <c r="J308" t="inlineStr">
        <is>
          <t>https://www2.census.gov/programs-surveys/susb/datasets/2022/msa_3digitnaics_2022.txt</t>
        </is>
      </c>
    </row>
    <row r="309">
      <c r="A309" t="n">
        <v>308</v>
      </c>
      <c r="B309" t="inlineStr">
        <is>
          <t>Saginaw, MI Metro Area</t>
        </is>
      </c>
      <c r="C309" t="inlineStr">
        <is>
          <t>40980</t>
        </is>
      </c>
      <c r="D309" s="7" t="n">
        <v>44.6</v>
      </c>
      <c r="E309" t="n">
        <v>44.6350265823276</v>
      </c>
      <c r="F309" s="7" t="n">
        <v>55.4</v>
      </c>
      <c r="G309" s="6" t="n">
        <v>77307</v>
      </c>
      <c r="H309" s="6" t="n">
        <v>34506</v>
      </c>
      <c r="I309" s="6" t="n">
        <v>42801</v>
      </c>
      <c r="J309" t="inlineStr">
        <is>
          <t>https://www2.census.gov/programs-surveys/susb/datasets/2022/msa_3digitnaics_2022.txt</t>
        </is>
      </c>
    </row>
    <row r="310">
      <c r="A310" t="n">
        <v>309</v>
      </c>
      <c r="B310" t="inlineStr">
        <is>
          <t>Chicago-Naperville-Elgin, IL-IN Metro Area</t>
        </is>
      </c>
      <c r="C310" t="inlineStr">
        <is>
          <t>16980</t>
        </is>
      </c>
      <c r="D310" s="7" t="n">
        <v>44.6</v>
      </c>
      <c r="E310" t="n">
        <v>44.62256209203548</v>
      </c>
      <c r="F310" s="7" t="n">
        <v>55.4</v>
      </c>
      <c r="G310" s="6" t="n">
        <v>4175455</v>
      </c>
      <c r="H310" s="6" t="n">
        <v>1863195</v>
      </c>
      <c r="I310" s="6" t="n">
        <v>2312260</v>
      </c>
      <c r="J310" t="inlineStr">
        <is>
          <t>https://www2.census.gov/programs-surveys/susb/datasets/2022/msa_3digitnaics_2022.txt</t>
        </is>
      </c>
    </row>
    <row r="311">
      <c r="A311" t="n">
        <v>310</v>
      </c>
      <c r="B311" t="inlineStr">
        <is>
          <t>Las Vegas-Henderson-North Las Vegas, NV Metro Area</t>
        </is>
      </c>
      <c r="C311" t="inlineStr">
        <is>
          <t>29820</t>
        </is>
      </c>
      <c r="D311" s="7" t="n">
        <v>44.6</v>
      </c>
      <c r="E311" t="n">
        <v>44.5769839219111</v>
      </c>
      <c r="F311" s="7" t="n">
        <v>55.4</v>
      </c>
      <c r="G311" s="6" t="n">
        <v>917211</v>
      </c>
      <c r="H311" s="6" t="n">
        <v>408865</v>
      </c>
      <c r="I311" s="6" t="n">
        <v>508346</v>
      </c>
      <c r="J311" t="inlineStr">
        <is>
          <t>https://www2.census.gov/programs-surveys/susb/datasets/2022/msa_3digitnaics_2022.txt</t>
        </is>
      </c>
    </row>
    <row r="312">
      <c r="A312" t="n">
        <v>311</v>
      </c>
      <c r="B312" t="inlineStr">
        <is>
          <t>Lafayette-West Lafayette, IN Metro Area</t>
        </is>
      </c>
      <c r="C312" t="inlineStr">
        <is>
          <t>29200</t>
        </is>
      </c>
      <c r="D312" s="7" t="n">
        <v>44.4</v>
      </c>
      <c r="E312" t="n">
        <v>44.42264361123066</v>
      </c>
      <c r="F312" s="7" t="n">
        <v>55.6</v>
      </c>
      <c r="G312" s="6" t="n">
        <v>78998</v>
      </c>
      <c r="H312" s="6" t="n">
        <v>35093</v>
      </c>
      <c r="I312" s="6" t="n">
        <v>43905</v>
      </c>
      <c r="J312" t="inlineStr">
        <is>
          <t>https://www2.census.gov/programs-surveys/susb/datasets/2022/msa_3digitnaics_2022.txt</t>
        </is>
      </c>
    </row>
    <row r="313">
      <c r="A313" t="n">
        <v>312</v>
      </c>
      <c r="B313" t="inlineStr">
        <is>
          <t>Boston-Cambridge-Newton, MA-NH Metro Area</t>
        </is>
      </c>
      <c r="C313" t="inlineStr">
        <is>
          <t>14460</t>
        </is>
      </c>
      <c r="D313" s="7" t="n">
        <v>44.4</v>
      </c>
      <c r="E313" t="n">
        <v>44.39350569405971</v>
      </c>
      <c r="F313" s="7" t="n">
        <v>55.6</v>
      </c>
      <c r="G313" s="6" t="n">
        <v>2599200</v>
      </c>
      <c r="H313" s="6" t="n">
        <v>1153876</v>
      </c>
      <c r="I313" s="6" t="n">
        <v>1445324</v>
      </c>
      <c r="J313" t="inlineStr">
        <is>
          <t>https://www2.census.gov/programs-surveys/susb/datasets/2022/msa_3digitnaics_2022.txt</t>
        </is>
      </c>
    </row>
    <row r="314">
      <c r="A314" t="n">
        <v>313</v>
      </c>
      <c r="B314" t="inlineStr">
        <is>
          <t>St. Louis, MO-IL Metro Area</t>
        </is>
      </c>
      <c r="C314" t="inlineStr">
        <is>
          <t>41180</t>
        </is>
      </c>
      <c r="D314" s="7" t="n">
        <v>44.4</v>
      </c>
      <c r="E314" t="n">
        <v>44.37972956358438</v>
      </c>
      <c r="F314" s="7" t="n">
        <v>55.6</v>
      </c>
      <c r="G314" s="6" t="n">
        <v>1244433</v>
      </c>
      <c r="H314" s="6" t="n">
        <v>552276</v>
      </c>
      <c r="I314" s="6" t="n">
        <v>692157</v>
      </c>
      <c r="J314" t="inlineStr">
        <is>
          <t>https://www2.census.gov/programs-surveys/susb/datasets/2022/msa_3digitnaics_2022.txt</t>
        </is>
      </c>
    </row>
    <row r="315">
      <c r="A315" t="n">
        <v>314</v>
      </c>
      <c r="B315" t="inlineStr">
        <is>
          <t>York-Hanover, PA Metro Area</t>
        </is>
      </c>
      <c r="C315" t="inlineStr">
        <is>
          <t>49620</t>
        </is>
      </c>
      <c r="D315" s="7" t="n">
        <v>44.4</v>
      </c>
      <c r="E315" t="n">
        <v>44.35714734670788</v>
      </c>
      <c r="F315" s="7" t="n">
        <v>55.6</v>
      </c>
      <c r="G315" s="6" t="n">
        <v>175009</v>
      </c>
      <c r="H315" s="6" t="n">
        <v>77629</v>
      </c>
      <c r="I315" s="6" t="n">
        <v>97380</v>
      </c>
      <c r="J315" t="inlineStr">
        <is>
          <t>https://www2.census.gov/programs-surveys/susb/datasets/2022/msa_3digitnaics_2022.txt</t>
        </is>
      </c>
    </row>
    <row r="316">
      <c r="A316" t="n">
        <v>315</v>
      </c>
      <c r="B316" t="inlineStr">
        <is>
          <t>Winchester, VA-WV Metro Area</t>
        </is>
      </c>
      <c r="C316" t="inlineStr">
        <is>
          <t>49020</t>
        </is>
      </c>
      <c r="D316" s="7" t="n">
        <v>44.3</v>
      </c>
      <c r="E316" t="n">
        <v>44.32599606067936</v>
      </c>
      <c r="F316" s="7" t="n">
        <v>55.7</v>
      </c>
      <c r="G316" s="6" t="n">
        <v>57878</v>
      </c>
      <c r="H316" s="6" t="n">
        <v>25655</v>
      </c>
      <c r="I316" s="6" t="n">
        <v>32223</v>
      </c>
      <c r="J316" t="inlineStr">
        <is>
          <t>https://www2.census.gov/programs-surveys/susb/datasets/2022/msa_3digitnaics_2022.txt</t>
        </is>
      </c>
    </row>
    <row r="317">
      <c r="A317" t="n">
        <v>316</v>
      </c>
      <c r="B317" t="inlineStr">
        <is>
          <t>Jackson, TN Metro Area</t>
        </is>
      </c>
      <c r="C317" t="inlineStr">
        <is>
          <t>27180</t>
        </is>
      </c>
      <c r="D317" s="7" t="n">
        <v>44.2</v>
      </c>
      <c r="E317" t="n">
        <v>44.19411934195903</v>
      </c>
      <c r="F317" s="7" t="n">
        <v>55.8</v>
      </c>
      <c r="G317" s="6" t="n">
        <v>72883</v>
      </c>
      <c r="H317" s="6" t="n">
        <v>32210</v>
      </c>
      <c r="I317" s="6" t="n">
        <v>40673</v>
      </c>
      <c r="J317" t="inlineStr">
        <is>
          <t>https://www2.census.gov/programs-surveys/susb/datasets/2022/msa_3digitnaics_2022.txt</t>
        </is>
      </c>
    </row>
    <row r="318">
      <c r="A318" t="n">
        <v>317</v>
      </c>
      <c r="B318" t="inlineStr">
        <is>
          <t>Roanoke, VA Metro Area</t>
        </is>
      </c>
      <c r="C318" t="inlineStr">
        <is>
          <t>40220</t>
        </is>
      </c>
      <c r="D318" s="7" t="n">
        <v>44.2</v>
      </c>
      <c r="E318" t="n">
        <v>44.18070223464492</v>
      </c>
      <c r="F318" s="7" t="n">
        <v>55.8</v>
      </c>
      <c r="G318" s="6" t="n">
        <v>138814</v>
      </c>
      <c r="H318" s="6" t="n">
        <v>61329</v>
      </c>
      <c r="I318" s="6" t="n">
        <v>77485</v>
      </c>
      <c r="J318" t="inlineStr">
        <is>
          <t>https://www2.census.gov/programs-surveys/susb/datasets/2022/msa_3digitnaics_2022.txt</t>
        </is>
      </c>
    </row>
    <row r="319">
      <c r="A319" t="n">
        <v>318</v>
      </c>
      <c r="B319" t="inlineStr">
        <is>
          <t>South Bend-Mishawaka, IN-MI Metro Area</t>
        </is>
      </c>
      <c r="C319" t="inlineStr">
        <is>
          <t>43780</t>
        </is>
      </c>
      <c r="D319" s="7" t="n">
        <v>44.2</v>
      </c>
      <c r="E319" t="n">
        <v>44.15245048713329</v>
      </c>
      <c r="F319" s="7" t="n">
        <v>55.8</v>
      </c>
      <c r="G319" s="6" t="n">
        <v>128199</v>
      </c>
      <c r="H319" s="6" t="n">
        <v>56603</v>
      </c>
      <c r="I319" s="6" t="n">
        <v>71596</v>
      </c>
      <c r="J319" t="inlineStr">
        <is>
          <t>https://www2.census.gov/programs-surveys/susb/datasets/2022/msa_3digitnaics_2022.txt</t>
        </is>
      </c>
    </row>
    <row r="320">
      <c r="A320" t="n">
        <v>319</v>
      </c>
      <c r="B320" t="inlineStr">
        <is>
          <t>Kansas City, MO-KS Metro Area</t>
        </is>
      </c>
      <c r="C320" t="inlineStr">
        <is>
          <t>28140</t>
        </is>
      </c>
      <c r="D320" s="7" t="n">
        <v>44.1</v>
      </c>
      <c r="E320" t="n">
        <v>44.14171935779252</v>
      </c>
      <c r="F320" s="7" t="n">
        <v>55.9</v>
      </c>
      <c r="G320" s="6" t="n">
        <v>990521</v>
      </c>
      <c r="H320" s="6" t="n">
        <v>437233</v>
      </c>
      <c r="I320" s="6" t="n">
        <v>553288</v>
      </c>
      <c r="J320" t="inlineStr">
        <is>
          <t>https://www2.census.gov/programs-surveys/susb/datasets/2022/msa_3digitnaics_2022.txt</t>
        </is>
      </c>
    </row>
    <row r="321">
      <c r="A321" t="n">
        <v>320</v>
      </c>
      <c r="B321" t="inlineStr">
        <is>
          <t>Greenville-Anderson-Greer, SC Metro Area</t>
        </is>
      </c>
      <c r="C321" t="inlineStr">
        <is>
          <t>24860</t>
        </is>
      </c>
      <c r="D321" s="7" t="n">
        <v>44.1</v>
      </c>
      <c r="E321" t="n">
        <v>44.11942874910206</v>
      </c>
      <c r="F321" s="7" t="n">
        <v>55.9</v>
      </c>
      <c r="G321" s="6" t="n">
        <v>373076</v>
      </c>
      <c r="H321" s="6" t="n">
        <v>164599</v>
      </c>
      <c r="I321" s="6" t="n">
        <v>208477</v>
      </c>
      <c r="J321" t="inlineStr">
        <is>
          <t>https://www2.census.gov/programs-surveys/susb/datasets/2022/msa_3digitnaics_2022.txt</t>
        </is>
      </c>
    </row>
    <row r="322">
      <c r="A322" t="n">
        <v>321</v>
      </c>
      <c r="B322" t="inlineStr">
        <is>
          <t>Charleston, WV Metro Area</t>
        </is>
      </c>
      <c r="C322" t="inlineStr">
        <is>
          <t>16620</t>
        </is>
      </c>
      <c r="D322" s="7" t="n">
        <v>44.1</v>
      </c>
      <c r="E322" t="n">
        <v>44.05776905048457</v>
      </c>
      <c r="F322" s="7" t="n">
        <v>55.9</v>
      </c>
      <c r="G322" s="6" t="n">
        <v>78935</v>
      </c>
      <c r="H322" s="6" t="n">
        <v>34777</v>
      </c>
      <c r="I322" s="6" t="n">
        <v>44158</v>
      </c>
      <c r="J322" t="inlineStr">
        <is>
          <t>https://www2.census.gov/programs-surveys/susb/datasets/2022/msa_3digitnaics_2022.txt</t>
        </is>
      </c>
    </row>
    <row r="323">
      <c r="A323" t="n">
        <v>322</v>
      </c>
      <c r="B323" t="inlineStr">
        <is>
          <t>Chattanooga, TN-GA Metro Area</t>
        </is>
      </c>
      <c r="C323" t="inlineStr">
        <is>
          <t>16860</t>
        </is>
      </c>
      <c r="D323" s="7" t="n">
        <v>44</v>
      </c>
      <c r="E323" t="n">
        <v>44.01809759775934</v>
      </c>
      <c r="F323" s="7" t="n">
        <v>56</v>
      </c>
      <c r="G323" s="6" t="n">
        <v>232075</v>
      </c>
      <c r="H323" s="6" t="n">
        <v>102155</v>
      </c>
      <c r="I323" s="6" t="n">
        <v>129920</v>
      </c>
      <c r="J323" t="inlineStr">
        <is>
          <t>https://www2.census.gov/programs-surveys/susb/datasets/2022/msa_3digitnaics_2022.txt</t>
        </is>
      </c>
    </row>
    <row r="324">
      <c r="A324" t="n">
        <v>323</v>
      </c>
      <c r="B324" t="inlineStr">
        <is>
          <t>Columbia, SC Metro Area</t>
        </is>
      </c>
      <c r="C324" t="inlineStr">
        <is>
          <t>17900</t>
        </is>
      </c>
      <c r="D324" s="7" t="n">
        <v>44</v>
      </c>
      <c r="E324" t="n">
        <v>44.0042872454448</v>
      </c>
      <c r="F324" s="7" t="n">
        <v>56</v>
      </c>
      <c r="G324" s="6" t="n">
        <v>303225</v>
      </c>
      <c r="H324" s="6" t="n">
        <v>133432</v>
      </c>
      <c r="I324" s="6" t="n">
        <v>169793</v>
      </c>
      <c r="J324" t="inlineStr">
        <is>
          <t>https://www2.census.gov/programs-surveys/susb/datasets/2022/msa_3digitnaics_2022.txt</t>
        </is>
      </c>
    </row>
    <row r="325">
      <c r="A325" t="n">
        <v>324</v>
      </c>
      <c r="B325" t="inlineStr">
        <is>
          <t>Killeen-Temple, TX Metro Area</t>
        </is>
      </c>
      <c r="C325" t="inlineStr">
        <is>
          <t>28660</t>
        </is>
      </c>
      <c r="D325" s="7" t="n">
        <v>43.9</v>
      </c>
      <c r="E325" t="n">
        <v>43.90882986360374</v>
      </c>
      <c r="F325" s="7" t="n">
        <v>56.1</v>
      </c>
      <c r="G325" s="6" t="n">
        <v>111440</v>
      </c>
      <c r="H325" s="6" t="n">
        <v>48932</v>
      </c>
      <c r="I325" s="6" t="n">
        <v>62508</v>
      </c>
      <c r="J325" t="inlineStr">
        <is>
          <t>https://www2.census.gov/programs-surveys/susb/datasets/2022/msa_3digitnaics_2022.txt</t>
        </is>
      </c>
    </row>
    <row r="326">
      <c r="A326" t="n">
        <v>325</v>
      </c>
      <c r="B326" t="inlineStr">
        <is>
          <t>Seattle-Tacoma-Bellevue, WA Metro Area</t>
        </is>
      </c>
      <c r="C326" t="inlineStr">
        <is>
          <t>42660</t>
        </is>
      </c>
      <c r="D326" s="7" t="n">
        <v>43.9</v>
      </c>
      <c r="E326" t="n">
        <v>43.89061591538756</v>
      </c>
      <c r="F326" s="7" t="n">
        <v>56.1</v>
      </c>
      <c r="G326" s="6" t="n">
        <v>1845497</v>
      </c>
      <c r="H326" s="6" t="n">
        <v>810000</v>
      </c>
      <c r="I326" s="6" t="n">
        <v>1035497</v>
      </c>
      <c r="J326" t="inlineStr">
        <is>
          <t>https://www2.census.gov/programs-surveys/susb/datasets/2022/msa_3digitnaics_2022.txt</t>
        </is>
      </c>
    </row>
    <row r="327">
      <c r="A327" t="n">
        <v>326</v>
      </c>
      <c r="B327" t="inlineStr">
        <is>
          <t>Kingsport-Bristol, TN-VA Metro Area</t>
        </is>
      </c>
      <c r="C327" t="inlineStr">
        <is>
          <t>28700</t>
        </is>
      </c>
      <c r="D327" s="7" t="n">
        <v>43.8</v>
      </c>
      <c r="E327" t="n">
        <v>43.83489912213152</v>
      </c>
      <c r="F327" s="7" t="n">
        <v>56.2</v>
      </c>
      <c r="G327" s="6" t="n">
        <v>97395</v>
      </c>
      <c r="H327" s="6" t="n">
        <v>42693</v>
      </c>
      <c r="I327" s="6" t="n">
        <v>54702</v>
      </c>
      <c r="J327" t="inlineStr">
        <is>
          <t>https://www2.census.gov/programs-surveys/susb/datasets/2022/msa_3digitnaics_2022.txt</t>
        </is>
      </c>
    </row>
    <row r="328">
      <c r="A328" t="n">
        <v>327</v>
      </c>
      <c r="B328" t="inlineStr">
        <is>
          <t>Lexington-Fayette, KY Metro Area</t>
        </is>
      </c>
      <c r="C328" t="inlineStr">
        <is>
          <t>30460</t>
        </is>
      </c>
      <c r="D328" s="7" t="n">
        <v>43.8</v>
      </c>
      <c r="E328" t="n">
        <v>43.81913165710269</v>
      </c>
      <c r="F328" s="7" t="n">
        <v>56.2</v>
      </c>
      <c r="G328" s="6" t="n">
        <v>233341</v>
      </c>
      <c r="H328" s="6" t="n">
        <v>102248</v>
      </c>
      <c r="I328" s="6" t="n">
        <v>131093</v>
      </c>
      <c r="J328" t="inlineStr">
        <is>
          <t>https://www2.census.gov/programs-surveys/susb/datasets/2022/msa_3digitnaics_2022.txt</t>
        </is>
      </c>
    </row>
    <row r="329">
      <c r="A329" t="n">
        <v>328</v>
      </c>
      <c r="B329" t="inlineStr">
        <is>
          <t>Dayton-Kettering-Beavercreek, OH Metro Area</t>
        </is>
      </c>
      <c r="C329" t="inlineStr">
        <is>
          <t>19430</t>
        </is>
      </c>
      <c r="D329" s="7" t="n">
        <v>43.8</v>
      </c>
      <c r="E329" t="n">
        <v>43.79479112043349</v>
      </c>
      <c r="F329" s="7" t="n">
        <v>56.2</v>
      </c>
      <c r="G329" s="6" t="n">
        <v>320376</v>
      </c>
      <c r="H329" s="6" t="n">
        <v>140308</v>
      </c>
      <c r="I329" s="6" t="n">
        <v>180068</v>
      </c>
      <c r="J329" t="inlineStr">
        <is>
          <t>https://www2.census.gov/programs-surveys/susb/datasets/2022/msa_3digitnaics_2022.txt</t>
        </is>
      </c>
    </row>
    <row r="330">
      <c r="A330" t="n">
        <v>329</v>
      </c>
      <c r="B330" t="inlineStr">
        <is>
          <t>Knoxville, TN Metro Area</t>
        </is>
      </c>
      <c r="C330" t="inlineStr">
        <is>
          <t>28940</t>
        </is>
      </c>
      <c r="D330" s="7" t="n">
        <v>43.7</v>
      </c>
      <c r="E330" t="n">
        <v>43.70515201877016</v>
      </c>
      <c r="F330" s="7" t="n">
        <v>56.3</v>
      </c>
      <c r="G330" s="6" t="n">
        <v>358015</v>
      </c>
      <c r="H330" s="6" t="n">
        <v>156471</v>
      </c>
      <c r="I330" s="6" t="n">
        <v>201544</v>
      </c>
      <c r="J330" t="inlineStr">
        <is>
          <t>https://www2.census.gov/programs-surveys/susb/datasets/2022/msa_3digitnaics_2022.txt</t>
        </is>
      </c>
    </row>
    <row r="331">
      <c r="A331" t="n">
        <v>330</v>
      </c>
      <c r="B331" t="inlineStr">
        <is>
          <t>Richmond, VA Metro Area</t>
        </is>
      </c>
      <c r="C331" t="inlineStr">
        <is>
          <t>40060</t>
        </is>
      </c>
      <c r="D331" s="7" t="n">
        <v>43.4</v>
      </c>
      <c r="E331" t="n">
        <v>43.43809857633984</v>
      </c>
      <c r="F331" s="7" t="n">
        <v>56.6</v>
      </c>
      <c r="G331" s="6" t="n">
        <v>564882</v>
      </c>
      <c r="H331" s="6" t="n">
        <v>245374</v>
      </c>
      <c r="I331" s="6" t="n">
        <v>319508</v>
      </c>
      <c r="J331" t="inlineStr">
        <is>
          <t>https://www2.census.gov/programs-surveys/susb/datasets/2022/msa_3digitnaics_2022.txt</t>
        </is>
      </c>
    </row>
    <row r="332">
      <c r="A332" t="n">
        <v>331</v>
      </c>
      <c r="B332" t="inlineStr">
        <is>
          <t>Sheboygan, WI Metro Area</t>
        </is>
      </c>
      <c r="C332" t="inlineStr">
        <is>
          <t>43100</t>
        </is>
      </c>
      <c r="D332" s="7" t="n">
        <v>43.4</v>
      </c>
      <c r="E332" t="n">
        <v>43.41907354873103</v>
      </c>
      <c r="F332" s="7" t="n">
        <v>56.6</v>
      </c>
      <c r="G332" s="6" t="n">
        <v>52523</v>
      </c>
      <c r="H332" s="6" t="n">
        <v>22805</v>
      </c>
      <c r="I332" s="6" t="n">
        <v>29718</v>
      </c>
      <c r="J332" t="inlineStr">
        <is>
          <t>https://www2.census.gov/programs-surveys/susb/datasets/2022/msa_3digitnaics_2022.txt</t>
        </is>
      </c>
    </row>
    <row r="333">
      <c r="A333" t="n">
        <v>332</v>
      </c>
      <c r="B333" t="inlineStr">
        <is>
          <t>Huntsville, AL Metro Area</t>
        </is>
      </c>
      <c r="C333" t="inlineStr">
        <is>
          <t>26620</t>
        </is>
      </c>
      <c r="D333" s="7" t="n">
        <v>43.2</v>
      </c>
      <c r="E333" t="n">
        <v>43.18113324882202</v>
      </c>
      <c r="F333" s="7" t="n">
        <v>56.8</v>
      </c>
      <c r="G333" s="6" t="n">
        <v>209045</v>
      </c>
      <c r="H333" s="6" t="n">
        <v>90268</v>
      </c>
      <c r="I333" s="6" t="n">
        <v>118777</v>
      </c>
      <c r="J333" t="inlineStr">
        <is>
          <t>https://www2.census.gov/programs-surveys/susb/datasets/2022/msa_3digitnaics_2022.txt</t>
        </is>
      </c>
    </row>
    <row r="334">
      <c r="A334" t="n">
        <v>333</v>
      </c>
      <c r="B334" t="inlineStr">
        <is>
          <t>Atlanta-Sandy Springs-Roswell, GA Metro Area</t>
        </is>
      </c>
      <c r="C334" t="inlineStr">
        <is>
          <t>12060</t>
        </is>
      </c>
      <c r="D334" s="7" t="n">
        <v>43.1</v>
      </c>
      <c r="E334" t="n">
        <v>43.0970709605188</v>
      </c>
      <c r="F334" s="7" t="n">
        <v>56.9</v>
      </c>
      <c r="G334" s="6" t="n">
        <v>2567019</v>
      </c>
      <c r="H334" s="6" t="n">
        <v>1106310</v>
      </c>
      <c r="I334" s="6" t="n">
        <v>1460709</v>
      </c>
      <c r="J334" t="inlineStr">
        <is>
          <t>https://www2.census.gov/programs-surveys/susb/datasets/2022/msa_3digitnaics_2022.txt</t>
        </is>
      </c>
    </row>
    <row r="335">
      <c r="A335" t="n">
        <v>334</v>
      </c>
      <c r="B335" t="inlineStr">
        <is>
          <t>Gulfport-Biloxi, MS Metro Area</t>
        </is>
      </c>
      <c r="C335" t="inlineStr">
        <is>
          <t>25060</t>
        </is>
      </c>
      <c r="D335" s="7" t="n">
        <v>43.1</v>
      </c>
      <c r="E335" t="n">
        <v>43.06004121681892</v>
      </c>
      <c r="F335" s="7" t="n">
        <v>56.9</v>
      </c>
      <c r="G335" s="6" t="n">
        <v>130044</v>
      </c>
      <c r="H335" s="6" t="n">
        <v>55997</v>
      </c>
      <c r="I335" s="6" t="n">
        <v>74047</v>
      </c>
      <c r="J335" t="inlineStr">
        <is>
          <t>https://www2.census.gov/programs-surveys/susb/datasets/2022/msa_3digitnaics_2022.txt</t>
        </is>
      </c>
    </row>
    <row r="336">
      <c r="A336" t="n">
        <v>335</v>
      </c>
      <c r="B336" t="inlineStr">
        <is>
          <t>Kankakee, IL Metro Area</t>
        </is>
      </c>
      <c r="C336" t="inlineStr">
        <is>
          <t>28100</t>
        </is>
      </c>
      <c r="D336" s="7" t="n">
        <v>43</v>
      </c>
      <c r="E336" t="n">
        <v>43.02401964984434</v>
      </c>
      <c r="F336" s="7" t="n">
        <v>57</v>
      </c>
      <c r="G336" s="6" t="n">
        <v>35013</v>
      </c>
      <c r="H336" s="6" t="n">
        <v>15064</v>
      </c>
      <c r="I336" s="6" t="n">
        <v>19949</v>
      </c>
      <c r="J336" t="inlineStr">
        <is>
          <t>https://www2.census.gov/programs-surveys/susb/datasets/2022/msa_3digitnaics_2022.txt</t>
        </is>
      </c>
    </row>
    <row r="337">
      <c r="A337" t="n">
        <v>336</v>
      </c>
      <c r="B337" t="inlineStr">
        <is>
          <t>Cleveland, TN Metro Area</t>
        </is>
      </c>
      <c r="C337" t="inlineStr">
        <is>
          <t>17420</t>
        </is>
      </c>
      <c r="D337" s="7" t="n">
        <v>43</v>
      </c>
      <c r="E337" t="n">
        <v>42.97156398104266</v>
      </c>
      <c r="F337" s="7" t="n">
        <v>57</v>
      </c>
      <c r="G337" s="6" t="n">
        <v>42200</v>
      </c>
      <c r="H337" s="6" t="n">
        <v>18134</v>
      </c>
      <c r="I337" s="6" t="n">
        <v>24066</v>
      </c>
      <c r="J337" t="inlineStr">
        <is>
          <t>https://www2.census.gov/programs-surveys/susb/datasets/2022/msa_3digitnaics_2022.txt</t>
        </is>
      </c>
    </row>
    <row r="338">
      <c r="A338" t="n">
        <v>337</v>
      </c>
      <c r="B338" t="inlineStr">
        <is>
          <t>Evansville, IN Metro Area</t>
        </is>
      </c>
      <c r="C338" t="inlineStr">
        <is>
          <t>21780</t>
        </is>
      </c>
      <c r="D338" s="7" t="n">
        <v>42.9</v>
      </c>
      <c r="E338" t="n">
        <v>42.88829783315037</v>
      </c>
      <c r="F338" s="7" t="n">
        <v>57.1</v>
      </c>
      <c r="G338" s="6" t="n">
        <v>135727</v>
      </c>
      <c r="H338" s="6" t="n">
        <v>58211</v>
      </c>
      <c r="I338" s="6" t="n">
        <v>77516</v>
      </c>
      <c r="J338" t="inlineStr">
        <is>
          <t>https://www2.census.gov/programs-surveys/susb/datasets/2022/msa_3digitnaics_2022.txt</t>
        </is>
      </c>
    </row>
    <row r="339">
      <c r="A339" t="n">
        <v>338</v>
      </c>
      <c r="B339" t="inlineStr">
        <is>
          <t>Gainesville, GA Metro Area</t>
        </is>
      </c>
      <c r="C339" t="inlineStr">
        <is>
          <t>23580</t>
        </is>
      </c>
      <c r="D339" s="7" t="n">
        <v>42.8</v>
      </c>
      <c r="E339" t="n">
        <v>42.79104563503481</v>
      </c>
      <c r="F339" s="7" t="n">
        <v>57.2</v>
      </c>
      <c r="G339" s="6" t="n">
        <v>86885</v>
      </c>
      <c r="H339" s="6" t="n">
        <v>37179</v>
      </c>
      <c r="I339" s="6" t="n">
        <v>49706</v>
      </c>
      <c r="J339" t="inlineStr">
        <is>
          <t>https://www2.census.gov/programs-surveys/susb/datasets/2022/msa_3digitnaics_2022.txt</t>
        </is>
      </c>
    </row>
    <row r="340">
      <c r="A340" t="n">
        <v>339</v>
      </c>
      <c r="B340" t="inlineStr">
        <is>
          <t>Indianapolis-Carmel-Greenwood, IN Metro Area</t>
        </is>
      </c>
      <c r="C340" t="inlineStr">
        <is>
          <t>26900</t>
        </is>
      </c>
      <c r="D340" s="7" t="n">
        <v>42.7</v>
      </c>
      <c r="E340" t="n">
        <v>42.71839050877512</v>
      </c>
      <c r="F340" s="7" t="n">
        <v>57.3</v>
      </c>
      <c r="G340" s="6" t="n">
        <v>951953</v>
      </c>
      <c r="H340" s="6" t="n">
        <v>406659</v>
      </c>
      <c r="I340" s="6" t="n">
        <v>545294</v>
      </c>
      <c r="J340" t="inlineStr">
        <is>
          <t>https://www2.census.gov/programs-surveys/susb/datasets/2022/msa_3digitnaics_2022.txt</t>
        </is>
      </c>
    </row>
    <row r="341">
      <c r="A341" t="n">
        <v>340</v>
      </c>
      <c r="B341" t="inlineStr">
        <is>
          <t>Phoenix-Mesa-Chandler, AZ Metro Area</t>
        </is>
      </c>
      <c r="C341" t="inlineStr">
        <is>
          <t>38060</t>
        </is>
      </c>
      <c r="D341" s="7" t="n">
        <v>42.6</v>
      </c>
      <c r="E341" t="n">
        <v>42.6000255208633</v>
      </c>
      <c r="F341" s="7" t="n">
        <v>57.4</v>
      </c>
      <c r="G341" s="6" t="n">
        <v>1998365</v>
      </c>
      <c r="H341" s="6" t="n">
        <v>851304</v>
      </c>
      <c r="I341" s="6" t="n">
        <v>1147061</v>
      </c>
      <c r="J341" t="inlineStr">
        <is>
          <t>https://www2.census.gov/programs-surveys/susb/datasets/2022/msa_3digitnaics_2022.txt</t>
        </is>
      </c>
    </row>
    <row r="342">
      <c r="A342" t="n">
        <v>341</v>
      </c>
      <c r="B342" t="inlineStr">
        <is>
          <t>Augusta-Richmond County, GA-SC Metro Area</t>
        </is>
      </c>
      <c r="C342" t="inlineStr">
        <is>
          <t>12260</t>
        </is>
      </c>
      <c r="D342" s="7" t="n">
        <v>42.5</v>
      </c>
      <c r="E342" t="n">
        <v>42.54827757493202</v>
      </c>
      <c r="F342" s="7" t="n">
        <v>57.5</v>
      </c>
      <c r="G342" s="6" t="n">
        <v>195277</v>
      </c>
      <c r="H342" s="6" t="n">
        <v>83087</v>
      </c>
      <c r="I342" s="6" t="n">
        <v>112190</v>
      </c>
      <c r="J342" t="inlineStr">
        <is>
          <t>https://www2.census.gov/programs-surveys/susb/datasets/2022/msa_3digitnaics_2022.txt</t>
        </is>
      </c>
    </row>
    <row r="343">
      <c r="A343" t="n">
        <v>342</v>
      </c>
      <c r="B343" t="inlineStr">
        <is>
          <t>Winston-Salem, NC Metro Area</t>
        </is>
      </c>
      <c r="C343" t="inlineStr">
        <is>
          <t>49180</t>
        </is>
      </c>
      <c r="D343" s="7" t="n">
        <v>42.5</v>
      </c>
      <c r="E343" t="n">
        <v>42.49240048540773</v>
      </c>
      <c r="F343" s="7" t="n">
        <v>57.5</v>
      </c>
      <c r="G343" s="6" t="n">
        <v>249687</v>
      </c>
      <c r="H343" s="6" t="n">
        <v>106098</v>
      </c>
      <c r="I343" s="6" t="n">
        <v>143589</v>
      </c>
      <c r="J343" t="inlineStr">
        <is>
          <t>https://www2.census.gov/programs-surveys/susb/datasets/2022/msa_3digitnaics_2022.txt</t>
        </is>
      </c>
    </row>
    <row r="344">
      <c r="A344" t="n">
        <v>343</v>
      </c>
      <c r="B344" t="inlineStr">
        <is>
          <t>Macon-Bibb County, GA Metro Area</t>
        </is>
      </c>
      <c r="C344" t="inlineStr">
        <is>
          <t>31420</t>
        </is>
      </c>
      <c r="D344" s="7" t="n">
        <v>42.4</v>
      </c>
      <c r="E344" t="n">
        <v>42.38818034848212</v>
      </c>
      <c r="F344" s="7" t="n">
        <v>57.6</v>
      </c>
      <c r="G344" s="6" t="n">
        <v>89072</v>
      </c>
      <c r="H344" s="6" t="n">
        <v>37756</v>
      </c>
      <c r="I344" s="6" t="n">
        <v>51316</v>
      </c>
      <c r="J344" t="inlineStr">
        <is>
          <t>https://www2.census.gov/programs-surveys/susb/datasets/2022/msa_3digitnaics_2022.txt</t>
        </is>
      </c>
    </row>
    <row r="345">
      <c r="A345" t="n">
        <v>344</v>
      </c>
      <c r="B345" t="inlineStr">
        <is>
          <t>Dalton, GA Metro Area</t>
        </is>
      </c>
      <c r="C345" t="inlineStr">
        <is>
          <t>19140</t>
        </is>
      </c>
      <c r="D345" s="7" t="n">
        <v>42.4</v>
      </c>
      <c r="E345" t="n">
        <v>42.38716784617439</v>
      </c>
      <c r="F345" s="7" t="n">
        <v>57.6</v>
      </c>
      <c r="G345" s="6" t="n">
        <v>59912</v>
      </c>
      <c r="H345" s="6" t="n">
        <v>25395</v>
      </c>
      <c r="I345" s="6" t="n">
        <v>34517</v>
      </c>
      <c r="J345" t="inlineStr">
        <is>
          <t>https://www2.census.gov/programs-surveys/susb/datasets/2022/msa_3digitnaics_2022.txt</t>
        </is>
      </c>
    </row>
    <row r="346">
      <c r="A346" t="n">
        <v>345</v>
      </c>
      <c r="B346" t="inlineStr">
        <is>
          <t>Kenosha, WI Metro Area</t>
        </is>
      </c>
      <c r="C346" t="inlineStr">
        <is>
          <t>28450</t>
        </is>
      </c>
      <c r="D346" s="7" t="n">
        <v>42.4</v>
      </c>
      <c r="E346" t="n">
        <v>42.37185367142924</v>
      </c>
      <c r="F346" s="7" t="n">
        <v>57.6</v>
      </c>
      <c r="G346" s="6" t="n">
        <v>64321</v>
      </c>
      <c r="H346" s="6" t="n">
        <v>27254</v>
      </c>
      <c r="I346" s="6" t="n">
        <v>37067</v>
      </c>
      <c r="J346" t="inlineStr">
        <is>
          <t>https://www2.census.gov/programs-surveys/susb/datasets/2022/msa_3digitnaics_2022.txt</t>
        </is>
      </c>
    </row>
    <row r="347">
      <c r="A347" t="n">
        <v>346</v>
      </c>
      <c r="B347" t="inlineStr">
        <is>
          <t>Joplin, MO-KS Metro Area</t>
        </is>
      </c>
      <c r="C347" t="inlineStr">
        <is>
          <t>27900</t>
        </is>
      </c>
      <c r="D347" s="7" t="n">
        <v>42.4</v>
      </c>
      <c r="E347" t="n">
        <v>42.36983842010772</v>
      </c>
      <c r="F347" s="7" t="n">
        <v>57.6</v>
      </c>
      <c r="G347" s="6" t="n">
        <v>74638</v>
      </c>
      <c r="H347" s="6" t="n">
        <v>31624</v>
      </c>
      <c r="I347" s="6" t="n">
        <v>43014</v>
      </c>
      <c r="J347" t="inlineStr">
        <is>
          <t>https://www2.census.gov/programs-surveys/susb/datasets/2022/msa_3digitnaics_2022.txt</t>
        </is>
      </c>
    </row>
    <row r="348">
      <c r="A348" t="n">
        <v>347</v>
      </c>
      <c r="B348" t="inlineStr">
        <is>
          <t>Jacksonville, FL Metro Area</t>
        </is>
      </c>
      <c r="C348" t="inlineStr">
        <is>
          <t>27260</t>
        </is>
      </c>
      <c r="D348" s="7" t="n">
        <v>42.4</v>
      </c>
      <c r="E348" t="n">
        <v>42.3658561481761</v>
      </c>
      <c r="F348" s="7" t="n">
        <v>57.6</v>
      </c>
      <c r="G348" s="6" t="n">
        <v>646582</v>
      </c>
      <c r="H348" s="6" t="n">
        <v>273930</v>
      </c>
      <c r="I348" s="6" t="n">
        <v>372652</v>
      </c>
      <c r="J348" t="inlineStr">
        <is>
          <t>https://www2.census.gov/programs-surveys/susb/datasets/2022/msa_3digitnaics_2022.txt</t>
        </is>
      </c>
    </row>
    <row r="349">
      <c r="A349" t="n">
        <v>348</v>
      </c>
      <c r="B349" t="inlineStr">
        <is>
          <t>Dallas-Fort Worth-Arlington, TX Metro Area</t>
        </is>
      </c>
      <c r="C349" t="inlineStr">
        <is>
          <t>19100</t>
        </is>
      </c>
      <c r="D349" s="7" t="n">
        <v>42.1</v>
      </c>
      <c r="E349" t="n">
        <v>42.14912868564504</v>
      </c>
      <c r="F349" s="7" t="n">
        <v>57.9</v>
      </c>
      <c r="G349" s="6" t="n">
        <v>3439459</v>
      </c>
      <c r="H349" s="6" t="n">
        <v>1449702</v>
      </c>
      <c r="I349" s="6" t="n">
        <v>1989757</v>
      </c>
      <c r="J349" t="inlineStr">
        <is>
          <t>https://www2.census.gov/programs-surveys/susb/datasets/2022/msa_3digitnaics_2022.txt</t>
        </is>
      </c>
    </row>
    <row r="350">
      <c r="A350" t="n">
        <v>349</v>
      </c>
      <c r="B350" t="inlineStr">
        <is>
          <t>St. Joseph, MO-KS Metro Area</t>
        </is>
      </c>
      <c r="C350" t="inlineStr">
        <is>
          <t>41140</t>
        </is>
      </c>
      <c r="D350" s="7" t="n">
        <v>42.1</v>
      </c>
      <c r="E350" t="n">
        <v>42.14397659596698</v>
      </c>
      <c r="F350" s="7" t="n">
        <v>57.9</v>
      </c>
      <c r="G350" s="6" t="n">
        <v>47855</v>
      </c>
      <c r="H350" s="6" t="n">
        <v>20168</v>
      </c>
      <c r="I350" s="6" t="n">
        <v>27687</v>
      </c>
      <c r="J350" t="inlineStr">
        <is>
          <t>https://www2.census.gov/programs-surveys/susb/datasets/2022/msa_3digitnaics_2022.txt</t>
        </is>
      </c>
    </row>
    <row r="351">
      <c r="A351" t="n">
        <v>350</v>
      </c>
      <c r="B351" t="inlineStr">
        <is>
          <t>Charlotte-Concord-Gastonia, NC-SC Metro Area</t>
        </is>
      </c>
      <c r="C351" t="inlineStr">
        <is>
          <t>16740</t>
        </is>
      </c>
      <c r="D351" s="7" t="n">
        <v>42.1</v>
      </c>
      <c r="E351" t="n">
        <v>42.12132757562927</v>
      </c>
      <c r="F351" s="7" t="n">
        <v>57.9</v>
      </c>
      <c r="G351" s="6" t="n">
        <v>1178479</v>
      </c>
      <c r="H351" s="6" t="n">
        <v>496391</v>
      </c>
      <c r="I351" s="6" t="n">
        <v>682088</v>
      </c>
      <c r="J351" t="inlineStr">
        <is>
          <t>https://www2.census.gov/programs-surveys/susb/datasets/2022/msa_3digitnaics_2022.txt</t>
        </is>
      </c>
    </row>
    <row r="352">
      <c r="A352" t="n">
        <v>351</v>
      </c>
      <c r="B352" t="inlineStr">
        <is>
          <t>Bowling Green, KY Metro Area</t>
        </is>
      </c>
      <c r="C352" t="inlineStr">
        <is>
          <t>14540</t>
        </is>
      </c>
      <c r="D352" s="7" t="n">
        <v>42</v>
      </c>
      <c r="E352" t="n">
        <v>42.02629256282808</v>
      </c>
      <c r="F352" s="7" t="n">
        <v>58</v>
      </c>
      <c r="G352" s="6" t="n">
        <v>64581</v>
      </c>
      <c r="H352" s="6" t="n">
        <v>27141</v>
      </c>
      <c r="I352" s="6" t="n">
        <v>37440</v>
      </c>
      <c r="J352" t="inlineStr">
        <is>
          <t>https://www2.census.gov/programs-surveys/susb/datasets/2022/msa_3digitnaics_2022.txt</t>
        </is>
      </c>
    </row>
    <row r="353">
      <c r="A353" t="n">
        <v>352</v>
      </c>
      <c r="B353" t="inlineStr">
        <is>
          <t>Salt Lake City-Murray, UT Metro Area</t>
        </is>
      </c>
      <c r="C353" t="inlineStr">
        <is>
          <t>41620</t>
        </is>
      </c>
      <c r="D353" s="7" t="n">
        <v>42</v>
      </c>
      <c r="E353" t="n">
        <v>41.97575209308926</v>
      </c>
      <c r="F353" s="7" t="n">
        <v>58</v>
      </c>
      <c r="G353" s="6" t="n">
        <v>676512</v>
      </c>
      <c r="H353" s="6" t="n">
        <v>283971</v>
      </c>
      <c r="I353" s="6" t="n">
        <v>392541</v>
      </c>
      <c r="J353" t="inlineStr">
        <is>
          <t>https://www2.census.gov/programs-surveys/susb/datasets/2022/msa_3digitnaics_2022.txt</t>
        </is>
      </c>
    </row>
    <row r="354">
      <c r="A354" t="n">
        <v>353</v>
      </c>
      <c r="B354" t="inlineStr">
        <is>
          <t>Memphis, TN-MS-AR Metro Area</t>
        </is>
      </c>
      <c r="C354" t="inlineStr">
        <is>
          <t>32820</t>
        </is>
      </c>
      <c r="D354" s="7" t="n">
        <v>42</v>
      </c>
      <c r="E354" t="n">
        <v>41.95994248641581</v>
      </c>
      <c r="F354" s="7" t="n">
        <v>58</v>
      </c>
      <c r="G354" s="6" t="n">
        <v>544567</v>
      </c>
      <c r="H354" s="6" t="n">
        <v>228500</v>
      </c>
      <c r="I354" s="6" t="n">
        <v>316067</v>
      </c>
      <c r="J354" t="inlineStr">
        <is>
          <t>https://www2.census.gov/programs-surveys/susb/datasets/2022/msa_3digitnaics_2022.txt</t>
        </is>
      </c>
    </row>
    <row r="355">
      <c r="A355" t="n">
        <v>354</v>
      </c>
      <c r="B355" t="inlineStr">
        <is>
          <t>Florence, SC Metro Area</t>
        </is>
      </c>
      <c r="C355" t="inlineStr">
        <is>
          <t>22500</t>
        </is>
      </c>
      <c r="D355" s="7" t="n">
        <v>41.9</v>
      </c>
      <c r="E355" t="n">
        <v>41.90625417532097</v>
      </c>
      <c r="F355" s="7" t="n">
        <v>58.1</v>
      </c>
      <c r="G355" s="6" t="n">
        <v>82329</v>
      </c>
      <c r="H355" s="6" t="n">
        <v>34501</v>
      </c>
      <c r="I355" s="6" t="n">
        <v>47828</v>
      </c>
      <c r="J355" t="inlineStr">
        <is>
          <t>https://www2.census.gov/programs-surveys/susb/datasets/2022/msa_3digitnaics_2022.txt</t>
        </is>
      </c>
    </row>
    <row r="356">
      <c r="A356" t="n">
        <v>355</v>
      </c>
      <c r="B356" t="inlineStr">
        <is>
          <t>Cincinnati, OH-KY-IN Metro Area</t>
        </is>
      </c>
      <c r="C356" t="inlineStr">
        <is>
          <t>17140</t>
        </is>
      </c>
      <c r="D356" s="7" t="n">
        <v>41.8</v>
      </c>
      <c r="E356" t="n">
        <v>41.79028912956166</v>
      </c>
      <c r="F356" s="7" t="n">
        <v>58.2</v>
      </c>
      <c r="G356" s="6" t="n">
        <v>1003391</v>
      </c>
      <c r="H356" s="6" t="n">
        <v>419320</v>
      </c>
      <c r="I356" s="6" t="n">
        <v>584071</v>
      </c>
      <c r="J356" t="inlineStr">
        <is>
          <t>https://www2.census.gov/programs-surveys/susb/datasets/2022/msa_3digitnaics_2022.txt</t>
        </is>
      </c>
    </row>
    <row r="357">
      <c r="A357" t="n">
        <v>356</v>
      </c>
      <c r="B357" t="inlineStr">
        <is>
          <t>Columbus, GA-AL Metro Area</t>
        </is>
      </c>
      <c r="C357" t="inlineStr">
        <is>
          <t>17980</t>
        </is>
      </c>
      <c r="D357" s="7" t="n">
        <v>41.8</v>
      </c>
      <c r="E357" t="n">
        <v>41.7552649802436</v>
      </c>
      <c r="F357" s="7" t="n">
        <v>58.2</v>
      </c>
      <c r="G357" s="6" t="n">
        <v>98196</v>
      </c>
      <c r="H357" s="6" t="n">
        <v>41002</v>
      </c>
      <c r="I357" s="6" t="n">
        <v>57194</v>
      </c>
      <c r="J357" t="inlineStr">
        <is>
          <t>https://www2.census.gov/programs-surveys/susb/datasets/2022/msa_3digitnaics_2022.txt</t>
        </is>
      </c>
    </row>
    <row r="358">
      <c r="A358" t="n">
        <v>357</v>
      </c>
      <c r="B358" t="inlineStr">
        <is>
          <t>Trenton-Princeton, NJ Metro Area</t>
        </is>
      </c>
      <c r="C358" t="inlineStr">
        <is>
          <t>45940</t>
        </is>
      </c>
      <c r="D358" s="7" t="n">
        <v>41.4</v>
      </c>
      <c r="E358" t="n">
        <v>41.42039014794067</v>
      </c>
      <c r="F358" s="7" t="n">
        <v>58.6</v>
      </c>
      <c r="G358" s="6" t="n">
        <v>200283</v>
      </c>
      <c r="H358" s="6" t="n">
        <v>82958</v>
      </c>
      <c r="I358" s="6" t="n">
        <v>117325</v>
      </c>
      <c r="J358" t="inlineStr">
        <is>
          <t>https://www2.census.gov/programs-surveys/susb/datasets/2022/msa_3digitnaics_2022.txt</t>
        </is>
      </c>
    </row>
    <row r="359">
      <c r="A359" t="n">
        <v>358</v>
      </c>
      <c r="B359" t="inlineStr">
        <is>
          <t>Nashville-Davidson--Murfreesboro--Franklin, TN Metro Area</t>
        </is>
      </c>
      <c r="C359" t="inlineStr">
        <is>
          <t>34980</t>
        </is>
      </c>
      <c r="D359" s="7" t="n">
        <v>41.4</v>
      </c>
      <c r="E359" t="n">
        <v>41.41350680080888</v>
      </c>
      <c r="F359" s="7" t="n">
        <v>58.6</v>
      </c>
      <c r="G359" s="6" t="n">
        <v>953416</v>
      </c>
      <c r="H359" s="6" t="n">
        <v>394843</v>
      </c>
      <c r="I359" s="6" t="n">
        <v>558573</v>
      </c>
      <c r="J359" t="inlineStr">
        <is>
          <t>https://www2.census.gov/programs-surveys/susb/datasets/2022/msa_3digitnaics_2022.txt</t>
        </is>
      </c>
    </row>
    <row r="360">
      <c r="A360" t="n">
        <v>359</v>
      </c>
      <c r="B360" t="inlineStr">
        <is>
          <t>Rocky Mount, NC Metro Area</t>
        </is>
      </c>
      <c r="C360" t="inlineStr">
        <is>
          <t>40580</t>
        </is>
      </c>
      <c r="D360" s="7" t="n">
        <v>41.3</v>
      </c>
      <c r="E360" t="n">
        <v>41.33446983963368</v>
      </c>
      <c r="F360" s="7" t="n">
        <v>58.7</v>
      </c>
      <c r="G360" s="6" t="n">
        <v>50447</v>
      </c>
      <c r="H360" s="6" t="n">
        <v>20852</v>
      </c>
      <c r="I360" s="6" t="n">
        <v>29595</v>
      </c>
      <c r="J360" t="inlineStr">
        <is>
          <t>https://www2.census.gov/programs-surveys/susb/datasets/2022/msa_3digitnaics_2022.txt</t>
        </is>
      </c>
    </row>
    <row r="361">
      <c r="A361" t="n">
        <v>360</v>
      </c>
      <c r="B361" t="inlineStr">
        <is>
          <t>Fayetteville-Springdale-Rogers, AR Metro Area</t>
        </is>
      </c>
      <c r="C361" t="inlineStr">
        <is>
          <t>22220</t>
        </is>
      </c>
      <c r="D361" s="7" t="n">
        <v>41.1</v>
      </c>
      <c r="E361" t="n">
        <v>41.09218953950764</v>
      </c>
      <c r="F361" s="7" t="n">
        <v>58.9</v>
      </c>
      <c r="G361" s="6" t="n">
        <v>230601</v>
      </c>
      <c r="H361" s="6" t="n">
        <v>94759</v>
      </c>
      <c r="I361" s="6" t="n">
        <v>135842</v>
      </c>
      <c r="J361" t="inlineStr">
        <is>
          <t>https://www2.census.gov/programs-surveys/susb/datasets/2022/msa_3digitnaics_2022.txt</t>
        </is>
      </c>
    </row>
    <row r="362">
      <c r="A362" t="n">
        <v>361</v>
      </c>
      <c r="B362" t="inlineStr">
        <is>
          <t>Iowa City, IA Metro Area</t>
        </is>
      </c>
      <c r="C362" t="inlineStr">
        <is>
          <t>26980</t>
        </is>
      </c>
      <c r="D362" s="7" t="n">
        <v>41</v>
      </c>
      <c r="E362" t="n">
        <v>40.97563553723376</v>
      </c>
      <c r="F362" s="7" t="n">
        <v>59</v>
      </c>
      <c r="G362" s="6" t="n">
        <v>75684</v>
      </c>
      <c r="H362" s="6" t="n">
        <v>31012</v>
      </c>
      <c r="I362" s="6" t="n">
        <v>44672</v>
      </c>
      <c r="J362" t="inlineStr">
        <is>
          <t>https://www2.census.gov/programs-surveys/susb/datasets/2022/msa_3digitnaics_2022.txt</t>
        </is>
      </c>
    </row>
    <row r="363">
      <c r="A363" t="n">
        <v>362</v>
      </c>
      <c r="B363" t="inlineStr">
        <is>
          <t>San Antonio-New Braunfels, TX Metro Area</t>
        </is>
      </c>
      <c r="C363" t="inlineStr">
        <is>
          <t>41700</t>
        </is>
      </c>
      <c r="D363" s="7" t="n">
        <v>40.9</v>
      </c>
      <c r="E363" t="n">
        <v>40.92768993729169</v>
      </c>
      <c r="F363" s="7" t="n">
        <v>59.1</v>
      </c>
      <c r="G363" s="6" t="n">
        <v>946286</v>
      </c>
      <c r="H363" s="6" t="n">
        <v>387293</v>
      </c>
      <c r="I363" s="6" t="n">
        <v>558993</v>
      </c>
      <c r="J363" t="inlineStr">
        <is>
          <t>https://www2.census.gov/programs-surveys/susb/datasets/2022/msa_3digitnaics_2022.txt</t>
        </is>
      </c>
    </row>
    <row r="364">
      <c r="A364" t="n">
        <v>363</v>
      </c>
      <c r="B364" t="inlineStr">
        <is>
          <t>Des Moines-West Des Moines, IA Metro Area</t>
        </is>
      </c>
      <c r="C364" t="inlineStr">
        <is>
          <t>19780</t>
        </is>
      </c>
      <c r="D364" s="7" t="n">
        <v>40.9</v>
      </c>
      <c r="E364" t="n">
        <v>40.89337676809996</v>
      </c>
      <c r="F364" s="7" t="n">
        <v>59.1</v>
      </c>
      <c r="G364" s="6" t="n">
        <v>350871</v>
      </c>
      <c r="H364" s="6" t="n">
        <v>143483</v>
      </c>
      <c r="I364" s="6" t="n">
        <v>207388</v>
      </c>
      <c r="J364" t="inlineStr">
        <is>
          <t>https://www2.census.gov/programs-surveys/susb/datasets/2022/msa_3digitnaics_2022.txt</t>
        </is>
      </c>
    </row>
    <row r="365">
      <c r="A365" t="n">
        <v>364</v>
      </c>
      <c r="B365" t="inlineStr">
        <is>
          <t>Allentown-Bethlehem-Easton, PA-NJ Metro Area</t>
        </is>
      </c>
      <c r="C365" t="inlineStr">
        <is>
          <t>10900</t>
        </is>
      </c>
      <c r="D365" s="7" t="n">
        <v>40.8</v>
      </c>
      <c r="E365" t="n">
        <v>40.76024587835612</v>
      </c>
      <c r="F365" s="7" t="n">
        <v>59.2</v>
      </c>
      <c r="G365" s="6" t="n">
        <v>352044</v>
      </c>
      <c r="H365" s="6" t="n">
        <v>143494</v>
      </c>
      <c r="I365" s="6" t="n">
        <v>208550</v>
      </c>
      <c r="J365" t="inlineStr">
        <is>
          <t>https://www2.census.gov/programs-surveys/susb/datasets/2022/msa_3digitnaics_2022.txt</t>
        </is>
      </c>
    </row>
    <row r="366">
      <c r="A366" t="n">
        <v>365</v>
      </c>
      <c r="B366" t="inlineStr">
        <is>
          <t>Battle Creek, MI Metro Area</t>
        </is>
      </c>
      <c r="C366" t="inlineStr">
        <is>
          <t>12980</t>
        </is>
      </c>
      <c r="D366" s="7" t="n">
        <v>40.6</v>
      </c>
      <c r="E366" t="n">
        <v>40.55395486761025</v>
      </c>
      <c r="F366" s="7" t="n">
        <v>59.4</v>
      </c>
      <c r="G366" s="6" t="n">
        <v>47549</v>
      </c>
      <c r="H366" s="6" t="n">
        <v>19283</v>
      </c>
      <c r="I366" s="6" t="n">
        <v>28266</v>
      </c>
      <c r="J366" t="inlineStr">
        <is>
          <t>https://www2.census.gov/programs-surveys/susb/datasets/2022/msa_3digitnaics_2022.txt</t>
        </is>
      </c>
    </row>
    <row r="367">
      <c r="A367" t="n">
        <v>366</v>
      </c>
      <c r="B367" t="inlineStr">
        <is>
          <t>Columbus, OH Metro Area</t>
        </is>
      </c>
      <c r="C367" t="inlineStr">
        <is>
          <t>18140</t>
        </is>
      </c>
      <c r="D367" s="7" t="n">
        <v>40.5</v>
      </c>
      <c r="E367" t="n">
        <v>40.50048791251638</v>
      </c>
      <c r="F367" s="7" t="n">
        <v>59.5</v>
      </c>
      <c r="G367" s="6" t="n">
        <v>933569</v>
      </c>
      <c r="H367" s="6" t="n">
        <v>378100</v>
      </c>
      <c r="I367" s="6" t="n">
        <v>555469</v>
      </c>
      <c r="J367" t="inlineStr">
        <is>
          <t>https://www2.census.gov/programs-surveys/susb/datasets/2022/msa_3digitnaics_2022.txt</t>
        </is>
      </c>
    </row>
    <row r="368">
      <c r="A368" t="n">
        <v>367</v>
      </c>
      <c r="B368" t="inlineStr">
        <is>
          <t>Hagerstown-Martinsburg, MD-WV Metro Area</t>
        </is>
      </c>
      <c r="C368" t="inlineStr">
        <is>
          <t>25180</t>
        </is>
      </c>
      <c r="D368" s="7" t="n">
        <v>40.4</v>
      </c>
      <c r="E368" t="n">
        <v>40.43968668407311</v>
      </c>
      <c r="F368" s="7" t="n">
        <v>59.6</v>
      </c>
      <c r="G368" s="6" t="n">
        <v>95750</v>
      </c>
      <c r="H368" s="6" t="n">
        <v>38721</v>
      </c>
      <c r="I368" s="6" t="n">
        <v>57029</v>
      </c>
      <c r="J368" t="inlineStr">
        <is>
          <t>https://www2.census.gov/programs-surveys/susb/datasets/2022/msa_3digitnaics_2022.txt</t>
        </is>
      </c>
    </row>
    <row r="369">
      <c r="A369" t="n">
        <v>368</v>
      </c>
      <c r="B369" t="inlineStr">
        <is>
          <t>Morristown, TN Metro Area</t>
        </is>
      </c>
      <c r="C369" t="inlineStr">
        <is>
          <t>34100</t>
        </is>
      </c>
      <c r="D369" s="7" t="n">
        <v>40.2</v>
      </c>
      <c r="E369" t="n">
        <v>40.21832034970329</v>
      </c>
      <c r="F369" s="7" t="n">
        <v>59.8</v>
      </c>
      <c r="G369" s="6" t="n">
        <v>40949</v>
      </c>
      <c r="H369" s="6" t="n">
        <v>16469</v>
      </c>
      <c r="I369" s="6" t="n">
        <v>24480</v>
      </c>
      <c r="J369" t="inlineStr">
        <is>
          <t>https://www2.census.gov/programs-surveys/susb/datasets/2022/msa_3digitnaics_2022.txt</t>
        </is>
      </c>
    </row>
    <row r="370">
      <c r="A370" t="n">
        <v>369</v>
      </c>
      <c r="B370" t="inlineStr">
        <is>
          <t>Midland, MI Metro Area</t>
        </is>
      </c>
      <c r="C370" t="inlineStr">
        <is>
          <t>33220</t>
        </is>
      </c>
      <c r="D370" s="7" t="n">
        <v>40.1</v>
      </c>
      <c r="E370" t="n">
        <v>40.14571322031954</v>
      </c>
      <c r="F370" s="7" t="n">
        <v>59.9</v>
      </c>
      <c r="G370" s="6" t="n">
        <v>34863</v>
      </c>
      <c r="H370" s="6" t="n">
        <v>13996</v>
      </c>
      <c r="I370" s="6" t="n">
        <v>20867</v>
      </c>
      <c r="J370" t="inlineStr">
        <is>
          <t>https://www2.census.gov/programs-surveys/susb/datasets/2022/msa_3digitnaics_2022.txt</t>
        </is>
      </c>
    </row>
    <row r="371">
      <c r="A371" t="n">
        <v>370</v>
      </c>
      <c r="B371" t="inlineStr">
        <is>
          <t>Lakeland-Winter Haven, FL Metro Area</t>
        </is>
      </c>
      <c r="C371" t="inlineStr">
        <is>
          <t>29460</t>
        </is>
      </c>
      <c r="D371" s="7" t="n">
        <v>40</v>
      </c>
      <c r="E371" t="n">
        <v>40.04229978177973</v>
      </c>
      <c r="F371" s="7" t="n">
        <v>60</v>
      </c>
      <c r="G371" s="6" t="n">
        <v>223169</v>
      </c>
      <c r="H371" s="6" t="n">
        <v>89362</v>
      </c>
      <c r="I371" s="6" t="n">
        <v>133807</v>
      </c>
      <c r="J371" t="inlineStr">
        <is>
          <t>https://www2.census.gov/programs-surveys/susb/datasets/2022/msa_3digitnaics_2022.txt</t>
        </is>
      </c>
    </row>
    <row r="372">
      <c r="A372" t="n">
        <v>371</v>
      </c>
      <c r="B372" t="inlineStr">
        <is>
          <t>Oshkosh-Neenah, WI Metro Area</t>
        </is>
      </c>
      <c r="C372" t="inlineStr">
        <is>
          <t>36780</t>
        </is>
      </c>
      <c r="D372" s="7" t="n">
        <v>39.9</v>
      </c>
      <c r="E372" t="n">
        <v>39.87887930078307</v>
      </c>
      <c r="F372" s="7" t="n">
        <v>60.1</v>
      </c>
      <c r="G372" s="6" t="n">
        <v>90158</v>
      </c>
      <c r="H372" s="6" t="n">
        <v>35954</v>
      </c>
      <c r="I372" s="6" t="n">
        <v>54204</v>
      </c>
      <c r="J372" t="inlineStr">
        <is>
          <t>https://www2.census.gov/programs-surveys/susb/datasets/2022/msa_3digitnaics_2022.txt</t>
        </is>
      </c>
    </row>
    <row r="373">
      <c r="A373" t="n">
        <v>372</v>
      </c>
      <c r="B373" t="inlineStr">
        <is>
          <t>Louisville/Jefferson County, KY-IN Metro Area</t>
        </is>
      </c>
      <c r="C373" t="inlineStr">
        <is>
          <t>31140</t>
        </is>
      </c>
      <c r="D373" s="7" t="n">
        <v>39.8</v>
      </c>
      <c r="E373" t="n">
        <v>39.83863266086366</v>
      </c>
      <c r="F373" s="7" t="n">
        <v>60.2</v>
      </c>
      <c r="G373" s="6" t="n">
        <v>630363</v>
      </c>
      <c r="H373" s="6" t="n">
        <v>251128</v>
      </c>
      <c r="I373" s="6" t="n">
        <v>379235</v>
      </c>
      <c r="J373" t="inlineStr">
        <is>
          <t>https://www2.census.gov/programs-surveys/susb/datasets/2022/msa_3digitnaics_2022.txt</t>
        </is>
      </c>
    </row>
    <row r="374">
      <c r="A374" t="n">
        <v>373</v>
      </c>
      <c r="B374" t="inlineStr">
        <is>
          <t>Decatur, IL Metro Area</t>
        </is>
      </c>
      <c r="C374" t="inlineStr">
        <is>
          <t>19500</t>
        </is>
      </c>
      <c r="D374" s="7" t="n">
        <v>39.2</v>
      </c>
      <c r="E374" t="n">
        <v>39.19345251703169</v>
      </c>
      <c r="F374" s="7" t="n">
        <v>60.8</v>
      </c>
      <c r="G374" s="6" t="n">
        <v>43742</v>
      </c>
      <c r="H374" s="6" t="n">
        <v>17144</v>
      </c>
      <c r="I374" s="6" t="n">
        <v>26598</v>
      </c>
      <c r="J374" t="inlineStr">
        <is>
          <t>https://www2.census.gov/programs-surveys/susb/datasets/2022/msa_3digitnaics_2022.txt</t>
        </is>
      </c>
    </row>
    <row r="375">
      <c r="A375" t="n">
        <v>374</v>
      </c>
      <c r="B375" t="inlineStr">
        <is>
          <t>Rome, GA Metro Area</t>
        </is>
      </c>
      <c r="C375" t="inlineStr">
        <is>
          <t>40660</t>
        </is>
      </c>
      <c r="D375" s="7" t="n">
        <v>39.1</v>
      </c>
      <c r="E375" t="n">
        <v>39.11461646101005</v>
      </c>
      <c r="F375" s="7" t="n">
        <v>60.9</v>
      </c>
      <c r="G375" s="6" t="n">
        <v>39305</v>
      </c>
      <c r="H375" s="6" t="n">
        <v>15374</v>
      </c>
      <c r="I375" s="6" t="n">
        <v>23931</v>
      </c>
      <c r="J375" t="inlineStr">
        <is>
          <t>https://www2.census.gov/programs-surveys/susb/datasets/2022/msa_3digitnaics_2022.txt</t>
        </is>
      </c>
    </row>
    <row r="376">
      <c r="A376" t="n">
        <v>375</v>
      </c>
      <c r="B376" t="inlineStr">
        <is>
          <t>Kokomo, IN Metro Area</t>
        </is>
      </c>
      <c r="C376" t="inlineStr">
        <is>
          <t>29020</t>
        </is>
      </c>
      <c r="D376" s="7" t="n">
        <v>38.7</v>
      </c>
      <c r="E376" t="n">
        <v>38.72389088829841</v>
      </c>
      <c r="F376" s="7" t="n">
        <v>61.3</v>
      </c>
      <c r="G376" s="6" t="n">
        <v>29731</v>
      </c>
      <c r="H376" s="6" t="n">
        <v>11513</v>
      </c>
      <c r="I376" s="6" t="n">
        <v>18218</v>
      </c>
      <c r="J376" t="inlineStr">
        <is>
          <t>https://www2.census.gov/programs-surveys/susb/datasets/2022/msa_3digitnaics_2022.txt</t>
        </is>
      </c>
    </row>
    <row r="377">
      <c r="A377" t="n">
        <v>376</v>
      </c>
      <c r="B377" t="inlineStr">
        <is>
          <t>Orlando-Kissimmee-Sanford, FL Metro Area</t>
        </is>
      </c>
      <c r="C377" t="inlineStr">
        <is>
          <t>36740</t>
        </is>
      </c>
      <c r="D377" s="7" t="n">
        <v>38.6</v>
      </c>
      <c r="E377" t="n">
        <v>38.61879226474042</v>
      </c>
      <c r="F377" s="7" t="n">
        <v>61.4</v>
      </c>
      <c r="G377" s="6" t="n">
        <v>1192927</v>
      </c>
      <c r="H377" s="6" t="n">
        <v>460694</v>
      </c>
      <c r="I377" s="6" t="n">
        <v>732233</v>
      </c>
      <c r="J377" t="inlineStr">
        <is>
          <t>https://www2.census.gov/programs-surveys/susb/datasets/2022/msa_3digitnaics_2022.txt</t>
        </is>
      </c>
    </row>
    <row r="378">
      <c r="A378" t="n">
        <v>377</v>
      </c>
      <c r="B378" t="inlineStr">
        <is>
          <t>Harrisburg-Carlisle, PA Metro Area</t>
        </is>
      </c>
      <c r="C378" t="inlineStr">
        <is>
          <t>25420</t>
        </is>
      </c>
      <c r="D378" s="7" t="n">
        <v>38.6</v>
      </c>
      <c r="E378" t="n">
        <v>38.59443460904872</v>
      </c>
      <c r="F378" s="7" t="n">
        <v>61.4</v>
      </c>
      <c r="G378" s="6" t="n">
        <v>292594</v>
      </c>
      <c r="H378" s="6" t="n">
        <v>112925</v>
      </c>
      <c r="I378" s="6" t="n">
        <v>179669</v>
      </c>
      <c r="J378" t="inlineStr">
        <is>
          <t>https://www2.census.gov/programs-surveys/susb/datasets/2022/msa_3digitnaics_2022.txt</t>
        </is>
      </c>
    </row>
    <row r="379">
      <c r="A379" t="n">
        <v>378</v>
      </c>
      <c r="B379" t="inlineStr">
        <is>
          <t>Elkhart-Goshen, IN Metro Area</t>
        </is>
      </c>
      <c r="C379" t="inlineStr">
        <is>
          <t>21140</t>
        </is>
      </c>
      <c r="D379" s="7" t="n">
        <v>38.4</v>
      </c>
      <c r="E379" t="n">
        <v>38.39481812540527</v>
      </c>
      <c r="F379" s="7" t="n">
        <v>61.6</v>
      </c>
      <c r="G379" s="6" t="n">
        <v>143423</v>
      </c>
      <c r="H379" s="6" t="n">
        <v>55067</v>
      </c>
      <c r="I379" s="6" t="n">
        <v>88356</v>
      </c>
      <c r="J379" t="inlineStr">
        <is>
          <t>https://www2.census.gov/programs-surveys/susb/datasets/2022/msa_3digitnaics_2022.txt</t>
        </is>
      </c>
    </row>
    <row r="380">
      <c r="A380" t="n">
        <v>379</v>
      </c>
      <c r="B380" t="inlineStr">
        <is>
          <t>Morgantown, WV Metro Area</t>
        </is>
      </c>
      <c r="C380" t="inlineStr">
        <is>
          <t>34060</t>
        </is>
      </c>
      <c r="D380" s="7" t="n">
        <v>38.1</v>
      </c>
      <c r="E380" t="n">
        <v>38.06903991370011</v>
      </c>
      <c r="F380" s="7" t="n">
        <v>61.9</v>
      </c>
      <c r="G380" s="6" t="n">
        <v>55620</v>
      </c>
      <c r="H380" s="6" t="n">
        <v>21174</v>
      </c>
      <c r="I380" s="6" t="n">
        <v>34446</v>
      </c>
      <c r="J380" t="inlineStr">
        <is>
          <t>https://www2.census.gov/programs-surveys/susb/datasets/2022/msa_3digitnaics_2022.txt</t>
        </is>
      </c>
    </row>
    <row r="381">
      <c r="A381" t="n">
        <v>380</v>
      </c>
      <c r="B381" t="inlineStr">
        <is>
          <t>Hinesville, GA Metro Area</t>
        </is>
      </c>
      <c r="C381" t="inlineStr">
        <is>
          <t>25980</t>
        </is>
      </c>
      <c r="D381" s="7" t="n">
        <v>37.6</v>
      </c>
      <c r="E381" t="n">
        <v>37.623695725345</v>
      </c>
      <c r="F381" s="7" t="n">
        <v>62.4</v>
      </c>
      <c r="G381" s="6" t="n">
        <v>14855</v>
      </c>
      <c r="H381" s="6" t="n">
        <v>5589</v>
      </c>
      <c r="I381" s="6" t="n">
        <v>9266</v>
      </c>
      <c r="J381" t="inlineStr">
        <is>
          <t>https://www2.census.gov/programs-surveys/susb/datasets/2022/msa_3digitnaics_2022.txt</t>
        </is>
      </c>
    </row>
    <row r="382">
      <c r="A382" t="n">
        <v>381</v>
      </c>
      <c r="B382" t="inlineStr">
        <is>
          <t>Spartanburg, SC Metro Area</t>
        </is>
      </c>
      <c r="C382" t="inlineStr">
        <is>
          <t>43900</t>
        </is>
      </c>
      <c r="D382" s="7" t="n">
        <v>37.6</v>
      </c>
      <c r="E382" t="n">
        <v>37.58816207993362</v>
      </c>
      <c r="F382" s="7" t="n">
        <v>62.4</v>
      </c>
      <c r="G382" s="6" t="n">
        <v>151851</v>
      </c>
      <c r="H382" s="6" t="n">
        <v>57078</v>
      </c>
      <c r="I382" s="6" t="n">
        <v>94773</v>
      </c>
      <c r="J382" t="inlineStr">
        <is>
          <t>https://www2.census.gov/programs-surveys/susb/datasets/2022/msa_3digitnaics_2022.txt</t>
        </is>
      </c>
    </row>
    <row r="383">
      <c r="A383" t="n">
        <v>382</v>
      </c>
      <c r="B383" t="inlineStr">
        <is>
          <t>Ithaca, NY Metro Area</t>
        </is>
      </c>
      <c r="C383" t="inlineStr">
        <is>
          <t>27060</t>
        </is>
      </c>
      <c r="D383" s="7" t="n">
        <v>37.6</v>
      </c>
      <c r="E383" t="n">
        <v>37.56497151648717</v>
      </c>
      <c r="F383" s="7" t="n">
        <v>62.4</v>
      </c>
      <c r="G383" s="6" t="n">
        <v>48098</v>
      </c>
      <c r="H383" s="6" t="n">
        <v>18068</v>
      </c>
      <c r="I383" s="6" t="n">
        <v>30030</v>
      </c>
      <c r="J383" t="inlineStr">
        <is>
          <t>https://www2.census.gov/programs-surveys/susb/datasets/2022/msa_3digitnaics_2022.txt</t>
        </is>
      </c>
    </row>
    <row r="384">
      <c r="A384" t="n">
        <v>383</v>
      </c>
      <c r="B384" t="inlineStr">
        <is>
          <t>Columbus, IN Metro Area</t>
        </is>
      </c>
      <c r="C384" t="inlineStr">
        <is>
          <t>18020</t>
        </is>
      </c>
      <c r="D384" s="7" t="n">
        <v>37.5</v>
      </c>
      <c r="E384" t="n">
        <v>37.49230904456359</v>
      </c>
      <c r="F384" s="7" t="n">
        <v>62.5</v>
      </c>
      <c r="G384" s="6" t="n">
        <v>45508</v>
      </c>
      <c r="H384" s="6" t="n">
        <v>17062</v>
      </c>
      <c r="I384" s="6" t="n">
        <v>28446</v>
      </c>
      <c r="J384" t="inlineStr">
        <is>
          <t>https://www2.census.gov/programs-surveys/susb/datasets/2022/msa_3digitnaics_2022.txt</t>
        </is>
      </c>
    </row>
    <row r="385">
      <c r="A385" t="n">
        <v>384</v>
      </c>
      <c r="B385" t="inlineStr">
        <is>
          <t>San Jose-Sunnyvale-Santa Clara, CA Metro Area</t>
        </is>
      </c>
      <c r="C385" t="inlineStr">
        <is>
          <t>41940</t>
        </is>
      </c>
      <c r="D385" s="7" t="n">
        <v>37</v>
      </c>
      <c r="E385" t="n">
        <v>36.99317506409547</v>
      </c>
      <c r="F385" s="7" t="n">
        <v>63</v>
      </c>
      <c r="G385" s="6" t="n">
        <v>1147117</v>
      </c>
      <c r="H385" s="6" t="n">
        <v>424355</v>
      </c>
      <c r="I385" s="6" t="n">
        <v>722762</v>
      </c>
      <c r="J385" t="inlineStr">
        <is>
          <t>https://www2.census.gov/programs-surveys/susb/datasets/2022/msa_3digitnaics_2022.txt</t>
        </is>
      </c>
    </row>
    <row r="386">
      <c r="A386" t="n">
        <v>385</v>
      </c>
      <c r="B386" t="inlineStr">
        <is>
          <t>Bloomington, IL Metro Area</t>
        </is>
      </c>
      <c r="C386" t="inlineStr">
        <is>
          <t>14010</t>
        </is>
      </c>
      <c r="D386" s="7" t="n">
        <v>37</v>
      </c>
      <c r="E386" t="n">
        <v>36.98342127112516</v>
      </c>
      <c r="F386" s="7" t="n">
        <v>63</v>
      </c>
      <c r="G386" s="6" t="n">
        <v>74674</v>
      </c>
      <c r="H386" s="6" t="n">
        <v>27617</v>
      </c>
      <c r="I386" s="6" t="n">
        <v>47057</v>
      </c>
      <c r="J386" t="inlineStr">
        <is>
          <t>https://www2.census.gov/programs-surveys/susb/datasets/2022/msa_3digitnaics_2022.txt</t>
        </is>
      </c>
    </row>
    <row r="387">
      <c r="A387" t="n">
        <v>386</v>
      </c>
      <c r="B387" t="inlineStr">
        <is>
          <t>Durham-Chapel Hill, NC Metro Area</t>
        </is>
      </c>
      <c r="C387" t="inlineStr">
        <is>
          <t>20500</t>
        </is>
      </c>
      <c r="D387" s="7" t="n">
        <v>35.9</v>
      </c>
      <c r="E387" t="n">
        <v>35.89144500359453</v>
      </c>
      <c r="F387" s="7" t="n">
        <v>64.09999999999999</v>
      </c>
      <c r="G387" s="6" t="n">
        <v>294892</v>
      </c>
      <c r="H387" s="6" t="n">
        <v>105841</v>
      </c>
      <c r="I387" s="6" t="n">
        <v>189051</v>
      </c>
      <c r="J387" t="inlineStr">
        <is>
          <t>https://www2.census.gov/programs-surveys/susb/datasets/2022/msa_3digitnaics_2022.txt</t>
        </is>
      </c>
    </row>
    <row r="388">
      <c r="A388" t="n">
        <v>387</v>
      </c>
      <c r="B388" t="inlineStr">
        <is>
          <t>Rochester, MN Metro Area</t>
        </is>
      </c>
      <c r="C388" t="inlineStr">
        <is>
          <t>40340</t>
        </is>
      </c>
      <c r="D388" s="7" t="n">
        <v>35.7</v>
      </c>
      <c r="E388" t="n">
        <v>35.67827333277127</v>
      </c>
      <c r="F388" s="7" t="n">
        <v>64.3</v>
      </c>
      <c r="G388" s="6" t="n">
        <v>118610</v>
      </c>
      <c r="H388" s="6" t="n">
        <v>42318</v>
      </c>
      <c r="I388" s="6" t="n">
        <v>76292</v>
      </c>
      <c r="J388" t="inlineStr">
        <is>
          <t>https://www2.census.gov/programs-surveys/susb/datasets/2022/msa_3digitnaics_2022.txt</t>
        </is>
      </c>
    </row>
    <row r="390" ht="48" customHeight="1" s="34">
      <c r="A390" t="inlineStr">
        <is>
          <t>Median note</t>
        </is>
      </c>
      <c r="B390" s="38" t="inlineStr">
        <is>
          <t>Median share &lt;500 across these 387 Metro Areas = 49.8% (full precision 49.779504242752296). Matches canvas Stat 'Metro median &lt;500 share' 49.8%. Filter: geo_type=metro from msa_metro_only_employment_by_firm_size.csv; Micro Areas excluded.</t>
        </is>
      </c>
    </row>
  </sheetData>
  <autoFilter ref="A1:J390"/>
  <mergeCells count="1">
    <mergeCell ref="B390:J39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26"/>
  <sheetViews>
    <sheetView workbookViewId="0">
      <pane ySplit="1" topLeftCell="A2" activePane="bottomLeft" state="frozen"/>
      <selection pane="bottomLeft" activeCell="A1" sqref="A1"/>
    </sheetView>
  </sheetViews>
  <sheetFormatPr baseColWidth="8" defaultRowHeight="14.5"/>
  <cols>
    <col width="14" customWidth="1" style="34" min="1" max="1"/>
    <col width="48" customWidth="1" style="34" min="2" max="2"/>
    <col width="12" customWidth="1" style="34" min="3" max="3"/>
    <col width="14" customWidth="1" style="34" min="4" max="4"/>
    <col width="24" customWidth="1" style="34" min="5" max="5"/>
    <col width="14" customWidth="1" style="34" min="6" max="6"/>
    <col width="16" customWidth="1" style="34" min="7" max="9"/>
    <col width="55" customWidth="1" style="34" min="10" max="10"/>
  </cols>
  <sheetData>
    <row r="1" ht="29" customHeight="1" s="34">
      <c r="A1" s="3" t="inlineStr">
        <is>
          <t>Geography type</t>
        </is>
      </c>
      <c r="B1" s="3" t="inlineStr">
        <is>
          <t>Area name</t>
        </is>
      </c>
      <c r="C1" s="3" t="inlineStr">
        <is>
          <t>CBSA code</t>
        </is>
      </c>
      <c r="D1" s="3" t="inlineStr">
        <is>
          <t>Share &lt;500 (%)</t>
        </is>
      </c>
      <c r="E1" s="3" t="inlineStr">
        <is>
          <t>Share &lt;500 (full precision)</t>
        </is>
      </c>
      <c r="F1" s="3" t="inlineStr">
        <is>
          <t>Share 500+ (%)</t>
        </is>
      </c>
      <c r="G1" s="3" t="inlineStr">
        <is>
          <t>Total employment</t>
        </is>
      </c>
      <c r="H1" s="3" t="inlineStr">
        <is>
          <t>Employment &lt;500</t>
        </is>
      </c>
      <c r="I1" s="3" t="inlineStr">
        <is>
          <t>Employment 500+</t>
        </is>
      </c>
      <c r="J1" s="3" t="inlineStr">
        <is>
          <t>Source URL</t>
        </is>
      </c>
    </row>
    <row r="2">
      <c r="A2" t="inlineStr">
        <is>
          <t>metro</t>
        </is>
      </c>
      <c r="B2" t="inlineStr">
        <is>
          <t>Bozeman, MT Metro Area</t>
        </is>
      </c>
      <c r="C2" t="inlineStr">
        <is>
          <t>14580</t>
        </is>
      </c>
      <c r="D2" s="7" t="n">
        <v>74.59999999999999</v>
      </c>
      <c r="E2" t="n">
        <v>74.58572367369412</v>
      </c>
      <c r="F2" s="7" t="n">
        <v>25.4</v>
      </c>
      <c r="G2" s="6" t="n">
        <v>56303</v>
      </c>
      <c r="H2" s="6" t="n">
        <v>41994</v>
      </c>
      <c r="I2" s="6" t="n">
        <v>14309</v>
      </c>
      <c r="J2" t="inlineStr">
        <is>
          <t>https://www2.census.gov/programs-surveys/susb/datasets/2022/msa_3digitnaics_2022.txt</t>
        </is>
      </c>
    </row>
    <row r="3">
      <c r="A3" t="inlineStr">
        <is>
          <t>metro</t>
        </is>
      </c>
      <c r="B3" t="inlineStr">
        <is>
          <t>Santa Cruz-Watsonville, CA Metro Area</t>
        </is>
      </c>
      <c r="C3" t="inlineStr">
        <is>
          <t>42100</t>
        </is>
      </c>
      <c r="D3" s="7" t="n">
        <v>70.09999999999999</v>
      </c>
      <c r="E3" t="n">
        <v>70.07606594077541</v>
      </c>
      <c r="F3" s="7" t="n">
        <v>29.9</v>
      </c>
      <c r="G3" s="6" t="n">
        <v>78616</v>
      </c>
      <c r="H3" s="6" t="n">
        <v>55091</v>
      </c>
      <c r="I3" s="6" t="n">
        <v>23525</v>
      </c>
      <c r="J3" t="inlineStr">
        <is>
          <t>https://www2.census.gov/programs-surveys/susb/datasets/2022/msa_3digitnaics_2022.txt</t>
        </is>
      </c>
    </row>
    <row r="4">
      <c r="A4" t="inlineStr">
        <is>
          <t>metro</t>
        </is>
      </c>
      <c r="B4" t="inlineStr">
        <is>
          <t>Kingston, NY Metro Area</t>
        </is>
      </c>
      <c r="C4" t="inlineStr">
        <is>
          <t>28740</t>
        </is>
      </c>
      <c r="D4" s="7" t="n">
        <v>69.40000000000001</v>
      </c>
      <c r="E4" t="n">
        <v>69.36069203204528</v>
      </c>
      <c r="F4" s="7" t="n">
        <v>30.6</v>
      </c>
      <c r="G4" s="6" t="n">
        <v>43813</v>
      </c>
      <c r="H4" s="6" t="n">
        <v>30389</v>
      </c>
      <c r="I4" s="6" t="n">
        <v>13424</v>
      </c>
      <c r="J4" t="inlineStr">
        <is>
          <t>https://www2.census.gov/programs-surveys/susb/datasets/2022/msa_3digitnaics_2022.txt</t>
        </is>
      </c>
    </row>
    <row r="5">
      <c r="A5" t="inlineStr">
        <is>
          <t>metro</t>
        </is>
      </c>
      <c r="B5" t="inlineStr">
        <is>
          <t>St. George, UT Metro Area</t>
        </is>
      </c>
      <c r="C5" t="inlineStr">
        <is>
          <t>41100</t>
        </is>
      </c>
      <c r="D5" s="7" t="n">
        <v>69.2</v>
      </c>
      <c r="E5" t="n">
        <v>69.23340892814514</v>
      </c>
      <c r="F5" s="7" t="n">
        <v>30.8</v>
      </c>
      <c r="G5" s="6" t="n">
        <v>67024</v>
      </c>
      <c r="H5" s="6" t="n">
        <v>46403</v>
      </c>
      <c r="I5" s="6" t="n">
        <v>20621</v>
      </c>
      <c r="J5" t="inlineStr">
        <is>
          <t>https://www2.census.gov/programs-surveys/susb/datasets/2022/msa_3digitnaics_2022.txt</t>
        </is>
      </c>
    </row>
    <row r="6">
      <c r="A6" t="inlineStr">
        <is>
          <t>metro</t>
        </is>
      </c>
      <c r="B6" t="inlineStr">
        <is>
          <t>Missoula, MT Metro Area</t>
        </is>
      </c>
      <c r="C6" t="inlineStr">
        <is>
          <t>33540</t>
        </is>
      </c>
      <c r="D6" s="7" t="n">
        <v>68.09999999999999</v>
      </c>
      <c r="E6" t="n">
        <v>68.14495644156773</v>
      </c>
      <c r="F6" s="7" t="n">
        <v>31.9</v>
      </c>
      <c r="G6" s="6" t="n">
        <v>53147</v>
      </c>
      <c r="H6" s="6" t="n">
        <v>36217</v>
      </c>
      <c r="I6" s="6" t="n">
        <v>16930</v>
      </c>
      <c r="J6" t="inlineStr">
        <is>
          <t>https://www2.census.gov/programs-surveys/susb/datasets/2022/msa_3digitnaics_2022.txt</t>
        </is>
      </c>
    </row>
    <row r="7">
      <c r="A7" t="inlineStr">
        <is>
          <t>metro</t>
        </is>
      </c>
      <c r="B7" t="inlineStr">
        <is>
          <t>Bellingham, WA Metro Area</t>
        </is>
      </c>
      <c r="C7" t="inlineStr">
        <is>
          <t>13380</t>
        </is>
      </c>
      <c r="D7" s="7" t="n">
        <v>68</v>
      </c>
      <c r="E7" t="n">
        <v>67.95774199707249</v>
      </c>
      <c r="F7" s="7" t="n">
        <v>32</v>
      </c>
      <c r="G7" s="6" t="n">
        <v>78565</v>
      </c>
      <c r="H7" s="6" t="n">
        <v>53391</v>
      </c>
      <c r="I7" s="6" t="n">
        <v>25174</v>
      </c>
      <c r="J7" t="inlineStr">
        <is>
          <t>https://www2.census.gov/programs-surveys/susb/datasets/2022/msa_3digitnaics_2022.txt</t>
        </is>
      </c>
    </row>
    <row r="8">
      <c r="A8" t="inlineStr">
        <is>
          <t>metro</t>
        </is>
      </c>
      <c r="B8" t="inlineStr">
        <is>
          <t>Fairbanks-College, AK Metro Area</t>
        </is>
      </c>
      <c r="C8" t="inlineStr">
        <is>
          <t>21820</t>
        </is>
      </c>
      <c r="D8" s="7" t="n">
        <v>67.90000000000001</v>
      </c>
      <c r="E8" t="n">
        <v>67.85012142939748</v>
      </c>
      <c r="F8" s="7" t="n">
        <v>32.1</v>
      </c>
      <c r="G8" s="6" t="n">
        <v>25941</v>
      </c>
      <c r="H8" s="6" t="n">
        <v>17601</v>
      </c>
      <c r="I8" s="6" t="n">
        <v>8340</v>
      </c>
      <c r="J8" t="inlineStr">
        <is>
          <t>https://www2.census.gov/programs-surveys/susb/datasets/2022/msa_3digitnaics_2022.txt</t>
        </is>
      </c>
    </row>
    <row r="9">
      <c r="A9" t="inlineStr">
        <is>
          <t>metro</t>
        </is>
      </c>
      <c r="B9" t="inlineStr">
        <is>
          <t>Barnstable Town, MA Metro Area</t>
        </is>
      </c>
      <c r="C9" t="inlineStr">
        <is>
          <t>12700</t>
        </is>
      </c>
      <c r="D9" s="7" t="n">
        <v>67.8</v>
      </c>
      <c r="E9" t="n">
        <v>67.7990380319079</v>
      </c>
      <c r="F9" s="7" t="n">
        <v>32.2</v>
      </c>
      <c r="G9" s="6" t="n">
        <v>76094</v>
      </c>
      <c r="H9" s="6" t="n">
        <v>51591</v>
      </c>
      <c r="I9" s="6" t="n">
        <v>24503</v>
      </c>
      <c r="J9" t="inlineStr">
        <is>
          <t>https://www2.census.gov/programs-surveys/susb/datasets/2022/msa_3digitnaics_2022.txt</t>
        </is>
      </c>
    </row>
    <row r="10">
      <c r="A10" t="inlineStr">
        <is>
          <t>metro</t>
        </is>
      </c>
      <c r="B10" t="inlineStr">
        <is>
          <t>Hilton Head Island-Bluffton-Port Royal, SC Metro Area</t>
        </is>
      </c>
      <c r="C10" t="inlineStr">
        <is>
          <t>25940</t>
        </is>
      </c>
      <c r="D10" s="7" t="n">
        <v>66.7</v>
      </c>
      <c r="E10" t="n">
        <v>66.72026202173589</v>
      </c>
      <c r="F10" s="7" t="n">
        <v>33.3</v>
      </c>
      <c r="G10" s="6" t="n">
        <v>67170</v>
      </c>
      <c r="H10" s="6" t="n">
        <v>44816</v>
      </c>
      <c r="I10" s="6" t="n">
        <v>22354</v>
      </c>
      <c r="J10" t="inlineStr">
        <is>
          <t>https://www2.census.gov/programs-surveys/susb/datasets/2022/msa_3digitnaics_2022.txt</t>
        </is>
      </c>
    </row>
    <row r="11">
      <c r="A11" t="inlineStr">
        <is>
          <t>metro</t>
        </is>
      </c>
      <c r="B11" t="inlineStr">
        <is>
          <t>Bend, OR Metro Area</t>
        </is>
      </c>
      <c r="C11" t="inlineStr">
        <is>
          <t>13460</t>
        </is>
      </c>
      <c r="D11" s="7" t="n">
        <v>66.5</v>
      </c>
      <c r="E11" t="n">
        <v>66.46883933676386</v>
      </c>
      <c r="F11" s="7" t="n">
        <v>33.5</v>
      </c>
      <c r="G11" s="6" t="n">
        <v>87450</v>
      </c>
      <c r="H11" s="6" t="n">
        <v>58127</v>
      </c>
      <c r="I11" s="6" t="n">
        <v>29323</v>
      </c>
      <c r="J11" t="inlineStr">
        <is>
          <t>https://www2.census.gov/programs-surveys/susb/datasets/2022/msa_3digitnaics_2022.txt</t>
        </is>
      </c>
    </row>
    <row r="12">
      <c r="A12" t="inlineStr">
        <is>
          <t>metro</t>
        </is>
      </c>
      <c r="B12" t="inlineStr">
        <is>
          <t>San Luis Obispo-Paso Robles, CA Metro Area</t>
        </is>
      </c>
      <c r="C12" t="inlineStr">
        <is>
          <t>42020</t>
        </is>
      </c>
      <c r="D12" s="7" t="n">
        <v>66.3</v>
      </c>
      <c r="E12" t="n">
        <v>66.27289727142943</v>
      </c>
      <c r="F12" s="7" t="n">
        <v>33.7</v>
      </c>
      <c r="G12" s="6" t="n">
        <v>99466</v>
      </c>
      <c r="H12" s="6" t="n">
        <v>65919</v>
      </c>
      <c r="I12" s="6" t="n">
        <v>33547</v>
      </c>
      <c r="J12" t="inlineStr">
        <is>
          <t>https://www2.census.gov/programs-surveys/susb/datasets/2022/msa_3digitnaics_2022.txt</t>
        </is>
      </c>
    </row>
    <row r="13">
      <c r="A13" t="inlineStr">
        <is>
          <t>metro</t>
        </is>
      </c>
      <c r="B13" t="inlineStr">
        <is>
          <t>Napa, CA Metro Area</t>
        </is>
      </c>
      <c r="C13" t="inlineStr">
        <is>
          <t>34900</t>
        </is>
      </c>
      <c r="D13" s="7" t="n">
        <v>65.90000000000001</v>
      </c>
      <c r="E13" t="n">
        <v>65.91303280072447</v>
      </c>
      <c r="F13" s="7" t="n">
        <v>34.1</v>
      </c>
      <c r="G13" s="6" t="n">
        <v>65151</v>
      </c>
      <c r="H13" s="6" t="n">
        <v>42943</v>
      </c>
      <c r="I13" s="6" t="n">
        <v>22208</v>
      </c>
      <c r="J13" t="inlineStr">
        <is>
          <t>https://www2.census.gov/programs-surveys/susb/datasets/2022/msa_3digitnaics_2022.txt</t>
        </is>
      </c>
    </row>
    <row r="14">
      <c r="A14" t="inlineStr">
        <is>
          <t>metro</t>
        </is>
      </c>
      <c r="B14" t="inlineStr">
        <is>
          <t>Coeur d'Alene, ID Metro Area</t>
        </is>
      </c>
      <c r="C14" t="inlineStr">
        <is>
          <t>17660</t>
        </is>
      </c>
      <c r="D14" s="7" t="n">
        <v>65.09999999999999</v>
      </c>
      <c r="E14" t="n">
        <v>65.12226309059623</v>
      </c>
      <c r="F14" s="7" t="n">
        <v>34.9</v>
      </c>
      <c r="G14" s="6" t="n">
        <v>63347</v>
      </c>
      <c r="H14" s="6" t="n">
        <v>41253</v>
      </c>
      <c r="I14" s="6" t="n">
        <v>22094</v>
      </c>
      <c r="J14" t="inlineStr">
        <is>
          <t>https://www2.census.gov/programs-surveys/susb/datasets/2022/msa_3digitnaics_2022.txt</t>
        </is>
      </c>
    </row>
    <row r="15">
      <c r="A15" t="inlineStr">
        <is>
          <t>metro</t>
        </is>
      </c>
      <c r="B15" t="inlineStr">
        <is>
          <t>Bremerton-Silverdale-Port Orchard, WA Metro Area</t>
        </is>
      </c>
      <c r="C15" t="inlineStr">
        <is>
          <t>14740</t>
        </is>
      </c>
      <c r="D15" s="7" t="n">
        <v>64.8</v>
      </c>
      <c r="E15" t="n">
        <v>64.78656828694442</v>
      </c>
      <c r="F15" s="7" t="n">
        <v>35.2</v>
      </c>
      <c r="G15" s="6" t="n">
        <v>62479</v>
      </c>
      <c r="H15" s="6" t="n">
        <v>40478</v>
      </c>
      <c r="I15" s="6" t="n">
        <v>22001</v>
      </c>
      <c r="J15" t="inlineStr">
        <is>
          <t>https://www2.census.gov/programs-surveys/susb/datasets/2022/msa_3digitnaics_2022.txt</t>
        </is>
      </c>
    </row>
    <row r="16">
      <c r="A16" t="inlineStr">
        <is>
          <t>metro</t>
        </is>
      </c>
      <c r="B16" t="inlineStr">
        <is>
          <t>Grants Pass, OR Metro Area</t>
        </is>
      </c>
      <c r="C16" t="inlineStr">
        <is>
          <t>24420</t>
        </is>
      </c>
      <c r="D16" s="7" t="n">
        <v>64.5</v>
      </c>
      <c r="E16" t="n">
        <v>64.50681837195683</v>
      </c>
      <c r="F16" s="7" t="n">
        <v>35.5</v>
      </c>
      <c r="G16" s="6" t="n">
        <v>23906</v>
      </c>
      <c r="H16" s="6" t="n">
        <v>15421</v>
      </c>
      <c r="I16" s="6" t="n">
        <v>8485</v>
      </c>
      <c r="J16" t="inlineStr">
        <is>
          <t>https://www2.census.gov/programs-surveys/susb/datasets/2022/msa_3digitnaics_2022.txt</t>
        </is>
      </c>
    </row>
    <row r="17">
      <c r="A17" t="inlineStr">
        <is>
          <t>metro</t>
        </is>
      </c>
      <c r="B17" t="inlineStr">
        <is>
          <t>Santa Fe, NM Metro Area</t>
        </is>
      </c>
      <c r="C17" t="inlineStr">
        <is>
          <t>42140</t>
        </is>
      </c>
      <c r="D17" s="7" t="n">
        <v>64.5</v>
      </c>
      <c r="E17" t="n">
        <v>64.46029802862088</v>
      </c>
      <c r="F17" s="7" t="n">
        <v>35.5</v>
      </c>
      <c r="G17" s="6" t="n">
        <v>47378</v>
      </c>
      <c r="H17" s="6" t="n">
        <v>30540</v>
      </c>
      <c r="I17" s="6" t="n">
        <v>16838</v>
      </c>
      <c r="J17" t="inlineStr">
        <is>
          <t>https://www2.census.gov/programs-surveys/susb/datasets/2022/msa_3digitnaics_2022.txt</t>
        </is>
      </c>
    </row>
    <row r="18">
      <c r="A18" t="inlineStr">
        <is>
          <t>metro</t>
        </is>
      </c>
      <c r="B18" t="inlineStr">
        <is>
          <t>Wenatchee-East Wenatchee, WA Metro Area</t>
        </is>
      </c>
      <c r="C18" t="inlineStr">
        <is>
          <t>48300</t>
        </is>
      </c>
      <c r="D18" s="7" t="n">
        <v>64.2</v>
      </c>
      <c r="E18" t="n">
        <v>64.18008145849495</v>
      </c>
      <c r="F18" s="7" t="n">
        <v>35.8</v>
      </c>
      <c r="G18" s="6" t="n">
        <v>41248</v>
      </c>
      <c r="H18" s="6" t="n">
        <v>26473</v>
      </c>
      <c r="I18" s="6" t="n">
        <v>14775</v>
      </c>
      <c r="J18" t="inlineStr">
        <is>
          <t>https://www2.census.gov/programs-surveys/susb/datasets/2022/msa_3digitnaics_2022.txt</t>
        </is>
      </c>
    </row>
    <row r="19">
      <c r="A19" t="inlineStr">
        <is>
          <t>metro</t>
        </is>
      </c>
      <c r="B19" t="inlineStr">
        <is>
          <t>Traverse City, MI Metro Area</t>
        </is>
      </c>
      <c r="C19" t="inlineStr">
        <is>
          <t>45900</t>
        </is>
      </c>
      <c r="D19" s="7" t="n">
        <v>63.8</v>
      </c>
      <c r="E19" t="n">
        <v>63.84313991553166</v>
      </c>
      <c r="F19" s="7" t="n">
        <v>36.2</v>
      </c>
      <c r="G19" s="6" t="n">
        <v>58957</v>
      </c>
      <c r="H19" s="6" t="n">
        <v>37640</v>
      </c>
      <c r="I19" s="6" t="n">
        <v>21317</v>
      </c>
      <c r="J19" t="inlineStr">
        <is>
          <t>https://www2.census.gov/programs-surveys/susb/datasets/2022/msa_3digitnaics_2022.txt</t>
        </is>
      </c>
    </row>
    <row r="20">
      <c r="A20" t="inlineStr">
        <is>
          <t>metro</t>
        </is>
      </c>
      <c r="B20" t="inlineStr">
        <is>
          <t>Naples-Marco Island, FL Metro Area</t>
        </is>
      </c>
      <c r="C20" t="inlineStr">
        <is>
          <t>34940</t>
        </is>
      </c>
      <c r="D20" s="7" t="n">
        <v>63.8</v>
      </c>
      <c r="E20" t="n">
        <v>63.79102524365464</v>
      </c>
      <c r="F20" s="7" t="n">
        <v>36.2</v>
      </c>
      <c r="G20" s="6" t="n">
        <v>145185</v>
      </c>
      <c r="H20" s="6" t="n">
        <v>92615</v>
      </c>
      <c r="I20" s="6" t="n">
        <v>52570</v>
      </c>
      <c r="J20" t="inlineStr">
        <is>
          <t>https://www2.census.gov/programs-surveys/susb/datasets/2022/msa_3digitnaics_2022.txt</t>
        </is>
      </c>
    </row>
    <row r="21">
      <c r="A21" t="inlineStr">
        <is>
          <t>metro</t>
        </is>
      </c>
      <c r="B21" t="inlineStr">
        <is>
          <t>Helena, MT Metro Area</t>
        </is>
      </c>
      <c r="C21" t="inlineStr">
        <is>
          <t>25740</t>
        </is>
      </c>
      <c r="D21" s="7" t="n">
        <v>63.6</v>
      </c>
      <c r="E21" t="n">
        <v>63.63759571728671</v>
      </c>
      <c r="F21" s="7" t="n">
        <v>36.4</v>
      </c>
      <c r="G21" s="6" t="n">
        <v>29514</v>
      </c>
      <c r="H21" s="6" t="n">
        <v>18782</v>
      </c>
      <c r="I21" s="6" t="n">
        <v>10732</v>
      </c>
      <c r="J21" t="inlineStr">
        <is>
          <t>https://www2.census.gov/programs-surveys/susb/datasets/2022/msa_3digitnaics_2022.txt</t>
        </is>
      </c>
    </row>
    <row r="22">
      <c r="A22" t="inlineStr">
        <is>
          <t>metro</t>
        </is>
      </c>
      <c r="B22" t="inlineStr">
        <is>
          <t>Rapid City, SD Metro Area</t>
        </is>
      </c>
      <c r="C22" t="inlineStr">
        <is>
          <t>39660</t>
        </is>
      </c>
      <c r="D22" s="7" t="n">
        <v>63.6</v>
      </c>
      <c r="E22" t="n">
        <v>63.61225102592333</v>
      </c>
      <c r="F22" s="7" t="n">
        <v>36.4</v>
      </c>
      <c r="G22" s="6" t="n">
        <v>59946</v>
      </c>
      <c r="H22" s="6" t="n">
        <v>38133</v>
      </c>
      <c r="I22" s="6" t="n">
        <v>21813</v>
      </c>
      <c r="J22" t="inlineStr">
        <is>
          <t>https://www2.census.gov/programs-surveys/susb/datasets/2022/msa_3digitnaics_2022.txt</t>
        </is>
      </c>
    </row>
    <row r="23">
      <c r="A23" t="inlineStr">
        <is>
          <t>metro</t>
        </is>
      </c>
      <c r="B23" t="inlineStr">
        <is>
          <t>Casper, WY Metro Area</t>
        </is>
      </c>
      <c r="C23" t="inlineStr">
        <is>
          <t>16220</t>
        </is>
      </c>
      <c r="D23" s="7" t="n">
        <v>63.5</v>
      </c>
      <c r="E23" t="n">
        <v>63.45196850393701</v>
      </c>
      <c r="F23" s="7" t="n">
        <v>36.5</v>
      </c>
      <c r="G23" s="6" t="n">
        <v>31750</v>
      </c>
      <c r="H23" s="6" t="n">
        <v>20146</v>
      </c>
      <c r="I23" s="6" t="n">
        <v>11604</v>
      </c>
      <c r="J23" t="inlineStr">
        <is>
          <t>https://www2.census.gov/programs-surveys/susb/datasets/2022/msa_3digitnaics_2022.txt</t>
        </is>
      </c>
    </row>
    <row r="24">
      <c r="A24" t="inlineStr">
        <is>
          <t>metro</t>
        </is>
      </c>
      <c r="B24" t="inlineStr">
        <is>
          <t>Eugene-Springfield, OR Metro Area</t>
        </is>
      </c>
      <c r="C24" t="inlineStr">
        <is>
          <t>21660</t>
        </is>
      </c>
      <c r="D24" s="7" t="n">
        <v>63.4</v>
      </c>
      <c r="E24" t="n">
        <v>63.38946608493675</v>
      </c>
      <c r="F24" s="7" t="n">
        <v>36.6</v>
      </c>
      <c r="G24" s="6" t="n">
        <v>127436</v>
      </c>
      <c r="H24" s="6" t="n">
        <v>80781</v>
      </c>
      <c r="I24" s="6" t="n">
        <v>46655</v>
      </c>
      <c r="J24" t="inlineStr">
        <is>
          <t>https://www2.census.gov/programs-surveys/susb/datasets/2022/msa_3digitnaics_2022.txt</t>
        </is>
      </c>
    </row>
    <row r="25">
      <c r="A25" t="inlineStr">
        <is>
          <t>metro</t>
        </is>
      </c>
      <c r="B25" t="inlineStr">
        <is>
          <t>Santa Rosa-Petaluma, CA Metro Area</t>
        </is>
      </c>
      <c r="C25" t="inlineStr">
        <is>
          <t>42220</t>
        </is>
      </c>
      <c r="D25" s="7" t="n">
        <v>63.1</v>
      </c>
      <c r="E25" t="n">
        <v>63.10048498255765</v>
      </c>
      <c r="F25" s="7" t="n">
        <v>36.9</v>
      </c>
      <c r="G25" s="6" t="n">
        <v>176295</v>
      </c>
      <c r="H25" s="6" t="n">
        <v>111243</v>
      </c>
      <c r="I25" s="6" t="n">
        <v>65052</v>
      </c>
      <c r="J25" t="inlineStr">
        <is>
          <t>https://www2.census.gov/programs-surveys/susb/datasets/2022/msa_3digitnaics_2022.txt</t>
        </is>
      </c>
    </row>
    <row r="26">
      <c r="A26" t="inlineStr">
        <is>
          <t>metro</t>
        </is>
      </c>
      <c r="B26" t="inlineStr">
        <is>
          <t>Lafayette, LA Metro Area</t>
        </is>
      </c>
      <c r="C26" t="inlineStr">
        <is>
          <t>29180</t>
        </is>
      </c>
      <c r="D26" s="7" t="n">
        <v>63.1</v>
      </c>
      <c r="E26" t="n">
        <v>63.05229175269342</v>
      </c>
      <c r="F26" s="7" t="n">
        <v>36.9</v>
      </c>
      <c r="G26" s="6" t="n">
        <v>159834</v>
      </c>
      <c r="H26" s="6" t="n">
        <v>100779</v>
      </c>
      <c r="I26" s="6" t="n">
        <v>59055</v>
      </c>
      <c r="J26" t="inlineStr">
        <is>
          <t>https://www2.census.gov/programs-surveys/susb/datasets/2022/msa_3digitnaics_2022.txt</t>
        </is>
      </c>
    </row>
    <row r="27">
      <c r="A27" t="inlineStr">
        <is>
          <t>metro</t>
        </is>
      </c>
      <c r="B27" t="inlineStr">
        <is>
          <t>Santa Maria-Santa Barbara, CA Metro Area</t>
        </is>
      </c>
      <c r="C27" t="inlineStr">
        <is>
          <t>42200</t>
        </is>
      </c>
      <c r="D27" s="7" t="n">
        <v>62.6</v>
      </c>
      <c r="E27" t="n">
        <v>62.57574693340656</v>
      </c>
      <c r="F27" s="7" t="n">
        <v>37.4</v>
      </c>
      <c r="G27" s="6" t="n">
        <v>156607</v>
      </c>
      <c r="H27" s="6" t="n">
        <v>97998</v>
      </c>
      <c r="I27" s="6" t="n">
        <v>58609</v>
      </c>
      <c r="J27" t="inlineStr">
        <is>
          <t>https://www2.census.gov/programs-surveys/susb/datasets/2022/msa_3digitnaics_2022.txt</t>
        </is>
      </c>
    </row>
    <row r="28">
      <c r="A28" t="inlineStr">
        <is>
          <t>metro</t>
        </is>
      </c>
      <c r="B28" t="inlineStr">
        <is>
          <t>Manhattan, KS Metro Area</t>
        </is>
      </c>
      <c r="C28" t="inlineStr">
        <is>
          <t>31740</t>
        </is>
      </c>
      <c r="D28" s="7" t="n">
        <v>62.4</v>
      </c>
      <c r="E28" t="n">
        <v>62.39302735866445</v>
      </c>
      <c r="F28" s="7" t="n">
        <v>37.6</v>
      </c>
      <c r="G28" s="6" t="n">
        <v>37977</v>
      </c>
      <c r="H28" s="6" t="n">
        <v>23695</v>
      </c>
      <c r="I28" s="6" t="n">
        <v>14282</v>
      </c>
      <c r="J28" t="inlineStr">
        <is>
          <t>https://www2.census.gov/programs-surveys/susb/datasets/2022/msa_3digitnaics_2022.txt</t>
        </is>
      </c>
    </row>
    <row r="29">
      <c r="A29" t="inlineStr">
        <is>
          <t>metro</t>
        </is>
      </c>
      <c r="B29" t="inlineStr">
        <is>
          <t>Lawrence, KS Metro Area</t>
        </is>
      </c>
      <c r="C29" t="inlineStr">
        <is>
          <t>29940</t>
        </is>
      </c>
      <c r="D29" s="7" t="n">
        <v>62</v>
      </c>
      <c r="E29" t="n">
        <v>61.99173908378929</v>
      </c>
      <c r="F29" s="7" t="n">
        <v>38</v>
      </c>
      <c r="G29" s="6" t="n">
        <v>37284</v>
      </c>
      <c r="H29" s="6" t="n">
        <v>23113</v>
      </c>
      <c r="I29" s="6" t="n">
        <v>14171</v>
      </c>
      <c r="J29" t="inlineStr">
        <is>
          <t>https://www2.census.gov/programs-surveys/susb/datasets/2022/msa_3digitnaics_2022.txt</t>
        </is>
      </c>
    </row>
    <row r="30">
      <c r="A30" t="inlineStr">
        <is>
          <t>metro</t>
        </is>
      </c>
      <c r="B30" t="inlineStr">
        <is>
          <t>Lexington Park, MD Metro Area</t>
        </is>
      </c>
      <c r="C30" t="inlineStr">
        <is>
          <t>30500</t>
        </is>
      </c>
      <c r="D30" s="7" t="n">
        <v>61.5</v>
      </c>
      <c r="E30" t="n">
        <v>61.53621495327103</v>
      </c>
      <c r="F30" s="7" t="n">
        <v>38.5</v>
      </c>
      <c r="G30" s="6" t="n">
        <v>51360</v>
      </c>
      <c r="H30" s="6" t="n">
        <v>31605</v>
      </c>
      <c r="I30" s="6" t="n">
        <v>19755</v>
      </c>
      <c r="J30" t="inlineStr">
        <is>
          <t>https://www2.census.gov/programs-surveys/susb/datasets/2022/msa_3digitnaics_2022.txt</t>
        </is>
      </c>
    </row>
    <row r="31">
      <c r="A31" t="inlineStr">
        <is>
          <t>metro</t>
        </is>
      </c>
      <c r="B31" t="inlineStr">
        <is>
          <t>Bay City, MI Metro Area</t>
        </is>
      </c>
      <c r="C31" t="inlineStr">
        <is>
          <t>13020</t>
        </is>
      </c>
      <c r="D31" s="7" t="n">
        <v>61.4</v>
      </c>
      <c r="E31" t="n">
        <v>61.41837960019778</v>
      </c>
      <c r="F31" s="7" t="n">
        <v>38.6</v>
      </c>
      <c r="G31" s="6" t="n">
        <v>28314</v>
      </c>
      <c r="H31" s="6" t="n">
        <v>17390</v>
      </c>
      <c r="I31" s="6" t="n">
        <v>10924</v>
      </c>
      <c r="J31" t="inlineStr">
        <is>
          <t>https://www2.census.gov/programs-surveys/susb/datasets/2022/msa_3digitnaics_2022.txt</t>
        </is>
      </c>
    </row>
    <row r="32">
      <c r="A32" t="inlineStr">
        <is>
          <t>metro</t>
        </is>
      </c>
      <c r="B32" t="inlineStr">
        <is>
          <t>Salem, OR Metro Area</t>
        </is>
      </c>
      <c r="C32" t="inlineStr">
        <is>
          <t>41420</t>
        </is>
      </c>
      <c r="D32" s="7" t="n">
        <v>61.4</v>
      </c>
      <c r="E32" t="n">
        <v>61.399620252207</v>
      </c>
      <c r="F32" s="7" t="n">
        <v>38.6</v>
      </c>
      <c r="G32" s="6" t="n">
        <v>132193</v>
      </c>
      <c r="H32" s="6" t="n">
        <v>81166</v>
      </c>
      <c r="I32" s="6" t="n">
        <v>51027</v>
      </c>
      <c r="J32" t="inlineStr">
        <is>
          <t>https://www2.census.gov/programs-surveys/susb/datasets/2022/msa_3digitnaics_2022.txt</t>
        </is>
      </c>
    </row>
    <row r="33">
      <c r="A33" t="inlineStr">
        <is>
          <t>metro</t>
        </is>
      </c>
      <c r="B33" t="inlineStr">
        <is>
          <t>Daphne-Fairhope-Foley, AL Metro Area</t>
        </is>
      </c>
      <c r="C33" t="inlineStr">
        <is>
          <t>19300</t>
        </is>
      </c>
      <c r="D33" s="7" t="n">
        <v>61.3</v>
      </c>
      <c r="E33" t="n">
        <v>61.30941184981553</v>
      </c>
      <c r="F33" s="7" t="n">
        <v>38.7</v>
      </c>
      <c r="G33" s="6" t="n">
        <v>69115</v>
      </c>
      <c r="H33" s="6" t="n">
        <v>42374</v>
      </c>
      <c r="I33" s="6" t="n">
        <v>26741</v>
      </c>
      <c r="J33" t="inlineStr">
        <is>
          <t>https://www2.census.gov/programs-surveys/susb/datasets/2022/msa_3digitnaics_2022.txt</t>
        </is>
      </c>
    </row>
    <row r="34">
      <c r="A34" t="inlineStr">
        <is>
          <t>metro</t>
        </is>
      </c>
      <c r="B34" t="inlineStr">
        <is>
          <t>Houma-Bayou Cane-Thibodaux, LA Metro Area</t>
        </is>
      </c>
      <c r="C34" t="inlineStr">
        <is>
          <t>26380</t>
        </is>
      </c>
      <c r="D34" s="7" t="n">
        <v>61.3</v>
      </c>
      <c r="E34" t="n">
        <v>61.30727640680219</v>
      </c>
      <c r="F34" s="7" t="n">
        <v>38.7</v>
      </c>
      <c r="G34" s="6" t="n">
        <v>66214</v>
      </c>
      <c r="H34" s="6" t="n">
        <v>40594</v>
      </c>
      <c r="I34" s="6" t="n">
        <v>25620</v>
      </c>
      <c r="J34" t="inlineStr">
        <is>
          <t>https://www2.census.gov/programs-surveys/susb/datasets/2022/msa_3digitnaics_2022.txt</t>
        </is>
      </c>
    </row>
    <row r="35">
      <c r="A35" t="inlineStr">
        <is>
          <t>metro</t>
        </is>
      </c>
      <c r="B35" t="inlineStr">
        <is>
          <t>Redding, CA Metro Area</t>
        </is>
      </c>
      <c r="C35" t="inlineStr">
        <is>
          <t>39820</t>
        </is>
      </c>
      <c r="D35" s="7" t="n">
        <v>61.2</v>
      </c>
      <c r="E35" t="n">
        <v>61.24002019333246</v>
      </c>
      <c r="F35" s="7" t="n">
        <v>38.8</v>
      </c>
      <c r="G35" s="6" t="n">
        <v>53483</v>
      </c>
      <c r="H35" s="6" t="n">
        <v>32753</v>
      </c>
      <c r="I35" s="6" t="n">
        <v>20730</v>
      </c>
      <c r="J35" t="inlineStr">
        <is>
          <t>https://www2.census.gov/programs-surveys/susb/datasets/2022/msa_3digitnaics_2022.txt</t>
        </is>
      </c>
    </row>
    <row r="36">
      <c r="A36" t="inlineStr">
        <is>
          <t>metro</t>
        </is>
      </c>
      <c r="B36" t="inlineStr">
        <is>
          <t>Minot, ND Metro Area</t>
        </is>
      </c>
      <c r="C36" t="inlineStr">
        <is>
          <t>33500</t>
        </is>
      </c>
      <c r="D36" s="7" t="n">
        <v>61.2</v>
      </c>
      <c r="E36" t="n">
        <v>61.23116238866549</v>
      </c>
      <c r="F36" s="7" t="n">
        <v>38.8</v>
      </c>
      <c r="G36" s="6" t="n">
        <v>26609</v>
      </c>
      <c r="H36" s="6" t="n">
        <v>16293</v>
      </c>
      <c r="I36" s="6" t="n">
        <v>10316</v>
      </c>
      <c r="J36" t="inlineStr">
        <is>
          <t>https://www2.census.gov/programs-surveys/susb/datasets/2022/msa_3digitnaics_2022.txt</t>
        </is>
      </c>
    </row>
    <row r="37">
      <c r="A37" t="inlineStr">
        <is>
          <t>metro</t>
        </is>
      </c>
      <c r="B37" t="inlineStr">
        <is>
          <t>Prescott Valley-Prescott, AZ Metro Area</t>
        </is>
      </c>
      <c r="C37" t="inlineStr">
        <is>
          <t>39150</t>
        </is>
      </c>
      <c r="D37" s="7" t="n">
        <v>61.2</v>
      </c>
      <c r="E37" t="n">
        <v>61.18239797859871</v>
      </c>
      <c r="F37" s="7" t="n">
        <v>38.8</v>
      </c>
      <c r="G37" s="6" t="n">
        <v>65697</v>
      </c>
      <c r="H37" s="6" t="n">
        <v>40195</v>
      </c>
      <c r="I37" s="6" t="n">
        <v>25502</v>
      </c>
      <c r="J37" t="inlineStr">
        <is>
          <t>https://www2.census.gov/programs-surveys/susb/datasets/2022/msa_3digitnaics_2022.txt</t>
        </is>
      </c>
    </row>
    <row r="38">
      <c r="A38" t="inlineStr">
        <is>
          <t>metro</t>
        </is>
      </c>
      <c r="B38" t="inlineStr">
        <is>
          <t>Corvallis, OR Metro Area</t>
        </is>
      </c>
      <c r="C38" t="inlineStr">
        <is>
          <t>18700</t>
        </is>
      </c>
      <c r="D38" s="7" t="n">
        <v>60.6</v>
      </c>
      <c r="E38" t="n">
        <v>60.59941248652066</v>
      </c>
      <c r="F38" s="7" t="n">
        <v>39.4</v>
      </c>
      <c r="G38" s="6" t="n">
        <v>26893</v>
      </c>
      <c r="H38" s="6" t="n">
        <v>16297</v>
      </c>
      <c r="I38" s="6" t="n">
        <v>10596</v>
      </c>
      <c r="J38" t="inlineStr">
        <is>
          <t>https://www2.census.gov/programs-surveys/susb/datasets/2022/msa_3digitnaics_2022.txt</t>
        </is>
      </c>
    </row>
    <row r="39">
      <c r="A39" t="inlineStr">
        <is>
          <t>metro</t>
        </is>
      </c>
      <c r="B39" t="inlineStr">
        <is>
          <t>Monroe, LA Metro Area</t>
        </is>
      </c>
      <c r="C39" t="inlineStr">
        <is>
          <t>33740</t>
        </is>
      </c>
      <c r="D39" s="7" t="n">
        <v>59.9</v>
      </c>
      <c r="E39" t="n">
        <v>59.85262460672297</v>
      </c>
      <c r="F39" s="7" t="n">
        <v>40.1</v>
      </c>
      <c r="G39" s="6" t="n">
        <v>72468</v>
      </c>
      <c r="H39" s="6" t="n">
        <v>43374</v>
      </c>
      <c r="I39" s="6" t="n">
        <v>29094</v>
      </c>
      <c r="J39" t="inlineStr">
        <is>
          <t>https://www2.census.gov/programs-surveys/susb/datasets/2022/msa_3digitnaics_2022.txt</t>
        </is>
      </c>
    </row>
    <row r="40">
      <c r="A40" t="inlineStr">
        <is>
          <t>metro</t>
        </is>
      </c>
      <c r="B40" t="inlineStr">
        <is>
          <t>Yakima, WA Metro Area</t>
        </is>
      </c>
      <c r="C40" t="inlineStr">
        <is>
          <t>49420</t>
        </is>
      </c>
      <c r="D40" s="7" t="n">
        <v>59.8</v>
      </c>
      <c r="E40" t="n">
        <v>59.80942563002382</v>
      </c>
      <c r="F40" s="7" t="n">
        <v>40.2</v>
      </c>
      <c r="G40" s="6" t="n">
        <v>71783</v>
      </c>
      <c r="H40" s="6" t="n">
        <v>42933</v>
      </c>
      <c r="I40" s="6" t="n">
        <v>28850</v>
      </c>
      <c r="J40" t="inlineStr">
        <is>
          <t>https://www2.census.gov/programs-surveys/susb/datasets/2022/msa_3digitnaics_2022.txt</t>
        </is>
      </c>
    </row>
    <row r="41">
      <c r="A41" t="inlineStr">
        <is>
          <t>metro</t>
        </is>
      </c>
      <c r="B41" t="inlineStr">
        <is>
          <t>Medford, OR Metro Area</t>
        </is>
      </c>
      <c r="C41" t="inlineStr">
        <is>
          <t>32780</t>
        </is>
      </c>
      <c r="D41" s="7" t="n">
        <v>59.8</v>
      </c>
      <c r="E41" t="n">
        <v>59.79426683359362</v>
      </c>
      <c r="F41" s="7" t="n">
        <v>40.2</v>
      </c>
      <c r="G41" s="6" t="n">
        <v>77479</v>
      </c>
      <c r="H41" s="6" t="n">
        <v>46328</v>
      </c>
      <c r="I41" s="6" t="n">
        <v>31151</v>
      </c>
      <c r="J41" t="inlineStr">
        <is>
          <t>https://www2.census.gov/programs-surveys/susb/datasets/2022/msa_3digitnaics_2022.txt</t>
        </is>
      </c>
    </row>
    <row r="42">
      <c r="A42" t="inlineStr">
        <is>
          <t>metro</t>
        </is>
      </c>
      <c r="B42" t="inlineStr">
        <is>
          <t>Gettysburg, PA Metro Area</t>
        </is>
      </c>
      <c r="C42" t="inlineStr">
        <is>
          <t>23900</t>
        </is>
      </c>
      <c r="D42" s="7" t="n">
        <v>59.8</v>
      </c>
      <c r="E42" t="n">
        <v>59.78146821520316</v>
      </c>
      <c r="F42" s="7" t="n">
        <v>40.2</v>
      </c>
      <c r="G42" s="6" t="n">
        <v>27639</v>
      </c>
      <c r="H42" s="6" t="n">
        <v>16523</v>
      </c>
      <c r="I42" s="6" t="n">
        <v>11116</v>
      </c>
      <c r="J42" t="inlineStr">
        <is>
          <t>https://www2.census.gov/programs-surveys/susb/datasets/2022/msa_3digitnaics_2022.txt</t>
        </is>
      </c>
    </row>
    <row r="43">
      <c r="A43" t="inlineStr">
        <is>
          <t>metro</t>
        </is>
      </c>
      <c r="B43" t="inlineStr">
        <is>
          <t>Chico, CA Metro Area</t>
        </is>
      </c>
      <c r="C43" t="inlineStr">
        <is>
          <t>17020</t>
        </is>
      </c>
      <c r="D43" s="7" t="n">
        <v>59.7</v>
      </c>
      <c r="E43" t="n">
        <v>59.72326401634243</v>
      </c>
      <c r="F43" s="7" t="n">
        <v>40.3</v>
      </c>
      <c r="G43" s="6" t="n">
        <v>62659</v>
      </c>
      <c r="H43" s="6" t="n">
        <v>37422</v>
      </c>
      <c r="I43" s="6" t="n">
        <v>25237</v>
      </c>
      <c r="J43" t="inlineStr">
        <is>
          <t>https://www2.census.gov/programs-surveys/susb/datasets/2022/msa_3digitnaics_2022.txt</t>
        </is>
      </c>
    </row>
    <row r="44">
      <c r="A44" t="inlineStr">
        <is>
          <t>metro</t>
        </is>
      </c>
      <c r="B44" t="inlineStr">
        <is>
          <t>Mount Vernon-Anacortes, WA Metro Area</t>
        </is>
      </c>
      <c r="C44" t="inlineStr">
        <is>
          <t>34580</t>
        </is>
      </c>
      <c r="D44" s="7" t="n">
        <v>59.7</v>
      </c>
      <c r="E44" t="n">
        <v>59.67194961589037</v>
      </c>
      <c r="F44" s="7" t="n">
        <v>40.3</v>
      </c>
      <c r="G44" s="6" t="n">
        <v>43347</v>
      </c>
      <c r="H44" s="6" t="n">
        <v>25866</v>
      </c>
      <c r="I44" s="6" t="n">
        <v>17481</v>
      </c>
      <c r="J44" t="inlineStr">
        <is>
          <t>https://www2.census.gov/programs-surveys/susb/datasets/2022/msa_3digitnaics_2022.txt</t>
        </is>
      </c>
    </row>
    <row r="45">
      <c r="A45" t="inlineStr">
        <is>
          <t>metro</t>
        </is>
      </c>
      <c r="B45" t="inlineStr">
        <is>
          <t>Burlington-South Burlington, VT Metro Area</t>
        </is>
      </c>
      <c r="C45" t="inlineStr">
        <is>
          <t>15540</t>
        </is>
      </c>
      <c r="D45" s="7" t="n">
        <v>59.6</v>
      </c>
      <c r="E45" t="n">
        <v>59.62618670886076</v>
      </c>
      <c r="F45" s="7" t="n">
        <v>40.4</v>
      </c>
      <c r="G45" s="6" t="n">
        <v>101120</v>
      </c>
      <c r="H45" s="6" t="n">
        <v>60294</v>
      </c>
      <c r="I45" s="6" t="n">
        <v>40826</v>
      </c>
      <c r="J45" t="inlineStr">
        <is>
          <t>https://www2.census.gov/programs-surveys/susb/datasets/2022/msa_3digitnaics_2022.txt</t>
        </is>
      </c>
    </row>
    <row r="46">
      <c r="A46" t="inlineStr">
        <is>
          <t>metro</t>
        </is>
      </c>
      <c r="B46" t="inlineStr">
        <is>
          <t>Sebastian-Vero Beach-West Vero Corridor, FL Metro Area</t>
        </is>
      </c>
      <c r="C46" t="inlineStr">
        <is>
          <t>42680</t>
        </is>
      </c>
      <c r="D46" s="7" t="n">
        <v>59.4</v>
      </c>
      <c r="E46" t="n">
        <v>59.37107419888731</v>
      </c>
      <c r="F46" s="7" t="n">
        <v>40.6</v>
      </c>
      <c r="G46" s="6" t="n">
        <v>50149</v>
      </c>
      <c r="H46" s="6" t="n">
        <v>29774</v>
      </c>
      <c r="I46" s="6" t="n">
        <v>20375</v>
      </c>
      <c r="J46" t="inlineStr">
        <is>
          <t>https://www2.census.gov/programs-surveys/susb/datasets/2022/msa_3digitnaics_2022.txt</t>
        </is>
      </c>
    </row>
    <row r="47">
      <c r="A47" t="inlineStr">
        <is>
          <t>metro</t>
        </is>
      </c>
      <c r="B47" t="inlineStr">
        <is>
          <t>Midland, TX Metro Area</t>
        </is>
      </c>
      <c r="C47" t="inlineStr">
        <is>
          <t>33260</t>
        </is>
      </c>
      <c r="D47" s="7" t="n">
        <v>59.1</v>
      </c>
      <c r="E47" t="n">
        <v>59.1225855723029</v>
      </c>
      <c r="F47" s="7" t="n">
        <v>40.9</v>
      </c>
      <c r="G47" s="6" t="n">
        <v>94277</v>
      </c>
      <c r="H47" s="6" t="n">
        <v>55739</v>
      </c>
      <c r="I47" s="6" t="n">
        <v>38538</v>
      </c>
      <c r="J47" t="inlineStr">
        <is>
          <t>https://www2.census.gov/programs-surveys/susb/datasets/2022/msa_3digitnaics_2022.txt</t>
        </is>
      </c>
    </row>
    <row r="48">
      <c r="A48" t="inlineStr">
        <is>
          <t>metro</t>
        </is>
      </c>
      <c r="B48" t="inlineStr">
        <is>
          <t>State College, PA Metro Area</t>
        </is>
      </c>
      <c r="C48" t="inlineStr">
        <is>
          <t>44300</t>
        </is>
      </c>
      <c r="D48" s="7" t="n">
        <v>59</v>
      </c>
      <c r="E48" t="n">
        <v>58.9625723878411</v>
      </c>
      <c r="F48" s="7" t="n">
        <v>41</v>
      </c>
      <c r="G48" s="6" t="n">
        <v>44379</v>
      </c>
      <c r="H48" s="6" t="n">
        <v>26167</v>
      </c>
      <c r="I48" s="6" t="n">
        <v>18212</v>
      </c>
      <c r="J48" t="inlineStr">
        <is>
          <t>https://www2.census.gov/programs-surveys/susb/datasets/2022/msa_3digitnaics_2022.txt</t>
        </is>
      </c>
    </row>
    <row r="49">
      <c r="A49" t="inlineStr">
        <is>
          <t>metro</t>
        </is>
      </c>
      <c r="B49" t="inlineStr">
        <is>
          <t>Watertown-Fort Drum, NY Metro Area</t>
        </is>
      </c>
      <c r="C49" t="inlineStr">
        <is>
          <t>48060</t>
        </is>
      </c>
      <c r="D49" s="7" t="n">
        <v>59</v>
      </c>
      <c r="E49" t="n">
        <v>58.95354082092918</v>
      </c>
      <c r="F49" s="7" t="n">
        <v>41</v>
      </c>
      <c r="G49" s="6" t="n">
        <v>28821</v>
      </c>
      <c r="H49" s="6" t="n">
        <v>16991</v>
      </c>
      <c r="I49" s="6" t="n">
        <v>11830</v>
      </c>
      <c r="J49" t="inlineStr">
        <is>
          <t>https://www2.census.gov/programs-surveys/susb/datasets/2022/msa_3digitnaics_2022.txt</t>
        </is>
      </c>
    </row>
    <row r="50">
      <c r="A50" t="inlineStr">
        <is>
          <t>metro</t>
        </is>
      </c>
      <c r="B50" t="inlineStr">
        <is>
          <t>Myrtle Beach-Conway-North Myrtle Beach, SC Metro Area</t>
        </is>
      </c>
      <c r="C50" t="inlineStr">
        <is>
          <t>34820</t>
        </is>
      </c>
      <c r="D50" s="7" t="n">
        <v>58.9</v>
      </c>
      <c r="E50" t="n">
        <v>58.86871449433175</v>
      </c>
      <c r="F50" s="7" t="n">
        <v>41.1</v>
      </c>
      <c r="G50" s="6" t="n">
        <v>118467</v>
      </c>
      <c r="H50" s="6" t="n">
        <v>69740</v>
      </c>
      <c r="I50" s="6" t="n">
        <v>48727</v>
      </c>
      <c r="J50" t="inlineStr">
        <is>
          <t>https://www2.census.gov/programs-surveys/susb/datasets/2022/msa_3digitnaics_2022.txt</t>
        </is>
      </c>
    </row>
    <row r="51">
      <c r="A51" t="inlineStr">
        <is>
          <t>metro</t>
        </is>
      </c>
      <c r="B51" t="inlineStr">
        <is>
          <t>Farmington, NM Metro Area</t>
        </is>
      </c>
      <c r="C51" t="inlineStr">
        <is>
          <t>22140</t>
        </is>
      </c>
      <c r="D51" s="7" t="n">
        <v>58.8</v>
      </c>
      <c r="E51" t="n">
        <v>58.83618809433798</v>
      </c>
      <c r="F51" s="7" t="n">
        <v>41.2</v>
      </c>
      <c r="G51" s="6" t="n">
        <v>34387</v>
      </c>
      <c r="H51" s="6" t="n">
        <v>20232</v>
      </c>
      <c r="I51" s="6" t="n">
        <v>14155</v>
      </c>
      <c r="J51" t="inlineStr">
        <is>
          <t>https://www2.census.gov/programs-surveys/susb/datasets/2022/msa_3digitnaics_2022.txt</t>
        </is>
      </c>
    </row>
    <row r="52">
      <c r="A52" t="inlineStr">
        <is>
          <t>metro</t>
        </is>
      </c>
      <c r="B52" t="inlineStr">
        <is>
          <t>Youngstown-Warren, OH Metro Area</t>
        </is>
      </c>
      <c r="C52" t="inlineStr">
        <is>
          <t>49660</t>
        </is>
      </c>
      <c r="D52" s="7" t="n">
        <v>58.6</v>
      </c>
      <c r="E52" t="n">
        <v>58.61037234042553</v>
      </c>
      <c r="F52" s="7" t="n">
        <v>41.4</v>
      </c>
      <c r="G52" s="6" t="n">
        <v>138368</v>
      </c>
      <c r="H52" s="6" t="n">
        <v>81098</v>
      </c>
      <c r="I52" s="6" t="n">
        <v>57270</v>
      </c>
      <c r="J52" t="inlineStr">
        <is>
          <t>https://www2.census.gov/programs-surveys/susb/datasets/2022/msa_3digitnaics_2022.txt</t>
        </is>
      </c>
    </row>
    <row r="53">
      <c r="A53" t="inlineStr">
        <is>
          <t>metro</t>
        </is>
      </c>
      <c r="B53" t="inlineStr">
        <is>
          <t>Billings, MT Metro Area</t>
        </is>
      </c>
      <c r="C53" t="inlineStr">
        <is>
          <t>13740</t>
        </is>
      </c>
      <c r="D53" s="7" t="n">
        <v>58.6</v>
      </c>
      <c r="E53" t="n">
        <v>58.57836577065729</v>
      </c>
      <c r="F53" s="7" t="n">
        <v>41.4</v>
      </c>
      <c r="G53" s="6" t="n">
        <v>78459</v>
      </c>
      <c r="H53" s="6" t="n">
        <v>45960</v>
      </c>
      <c r="I53" s="6" t="n">
        <v>32499</v>
      </c>
      <c r="J53" t="inlineStr">
        <is>
          <t>https://www2.census.gov/programs-surveys/susb/datasets/2022/msa_3digitnaics_2022.txt</t>
        </is>
      </c>
    </row>
    <row r="54">
      <c r="A54" t="inlineStr">
        <is>
          <t>metro</t>
        </is>
      </c>
      <c r="B54" t="inlineStr">
        <is>
          <t>Laredo, TX Metro Area</t>
        </is>
      </c>
      <c r="C54" t="inlineStr">
        <is>
          <t>29700</t>
        </is>
      </c>
      <c r="D54" s="7" t="n">
        <v>58.5</v>
      </c>
      <c r="E54" t="n">
        <v>58.49966106801235</v>
      </c>
      <c r="F54" s="7" t="n">
        <v>41.5</v>
      </c>
      <c r="G54" s="6" t="n">
        <v>79662</v>
      </c>
      <c r="H54" s="6" t="n">
        <v>46602</v>
      </c>
      <c r="I54" s="6" t="n">
        <v>33060</v>
      </c>
      <c r="J54" t="inlineStr">
        <is>
          <t>https://www2.census.gov/programs-surveys/susb/datasets/2022/msa_3digitnaics_2022.txt</t>
        </is>
      </c>
    </row>
    <row r="55">
      <c r="A55" t="inlineStr">
        <is>
          <t>metro</t>
        </is>
      </c>
      <c r="B55" t="inlineStr">
        <is>
          <t>Fort Collins-Loveland, CO Metro Area</t>
        </is>
      </c>
      <c r="C55" t="inlineStr">
        <is>
          <t>22660</t>
        </is>
      </c>
      <c r="D55" s="7" t="n">
        <v>58.2</v>
      </c>
      <c r="E55" t="n">
        <v>58.23076241919773</v>
      </c>
      <c r="F55" s="7" t="n">
        <v>41.8</v>
      </c>
      <c r="G55" s="6" t="n">
        <v>135516</v>
      </c>
      <c r="H55" s="6" t="n">
        <v>78912</v>
      </c>
      <c r="I55" s="6" t="n">
        <v>56604</v>
      </c>
      <c r="J55" t="inlineStr">
        <is>
          <t>https://www2.census.gov/programs-surveys/susb/datasets/2022/msa_3digitnaics_2022.txt</t>
        </is>
      </c>
    </row>
    <row r="56">
      <c r="A56" t="inlineStr">
        <is>
          <t>metro</t>
        </is>
      </c>
      <c r="B56" t="inlineStr">
        <is>
          <t>Carson City, NV Metro Area</t>
        </is>
      </c>
      <c r="C56" t="inlineStr">
        <is>
          <t>16180</t>
        </is>
      </c>
      <c r="D56" s="7" t="n">
        <v>58.2</v>
      </c>
      <c r="E56" t="n">
        <v>58.16845675522895</v>
      </c>
      <c r="F56" s="7" t="n">
        <v>41.8</v>
      </c>
      <c r="G56" s="6" t="n">
        <v>22997</v>
      </c>
      <c r="H56" s="6" t="n">
        <v>13377</v>
      </c>
      <c r="I56" s="6" t="n">
        <v>9620</v>
      </c>
      <c r="J56" t="inlineStr">
        <is>
          <t>https://www2.census.gov/programs-surveys/susb/datasets/2022/msa_3digitnaics_2022.txt</t>
        </is>
      </c>
    </row>
    <row r="57">
      <c r="A57" t="inlineStr">
        <is>
          <t>metro</t>
        </is>
      </c>
      <c r="B57" t="inlineStr">
        <is>
          <t>Yuba City, CA Metro Area</t>
        </is>
      </c>
      <c r="C57" t="inlineStr">
        <is>
          <t>49700</t>
        </is>
      </c>
      <c r="D57" s="7" t="n">
        <v>58.2</v>
      </c>
      <c r="E57" t="n">
        <v>58.15401272161321</v>
      </c>
      <c r="F57" s="7" t="n">
        <v>41.8</v>
      </c>
      <c r="G57" s="6" t="n">
        <v>36945</v>
      </c>
      <c r="H57" s="6" t="n">
        <v>21485</v>
      </c>
      <c r="I57" s="6" t="n">
        <v>15460</v>
      </c>
      <c r="J57" t="inlineStr">
        <is>
          <t>https://www2.census.gov/programs-surveys/susb/datasets/2022/msa_3digitnaics_2022.txt</t>
        </is>
      </c>
    </row>
    <row r="58">
      <c r="A58" t="inlineStr">
        <is>
          <t>metro</t>
        </is>
      </c>
      <c r="B58" t="inlineStr">
        <is>
          <t>Oxnard-Thousand Oaks-Ventura, CA Metro Area</t>
        </is>
      </c>
      <c r="C58" t="inlineStr">
        <is>
          <t>37100</t>
        </is>
      </c>
      <c r="D58" s="7" t="n">
        <v>58.1</v>
      </c>
      <c r="E58" t="n">
        <v>58.07210555658799</v>
      </c>
      <c r="F58" s="7" t="n">
        <v>41.9</v>
      </c>
      <c r="G58" s="6" t="n">
        <v>269050</v>
      </c>
      <c r="H58" s="6" t="n">
        <v>156243</v>
      </c>
      <c r="I58" s="6" t="n">
        <v>112807</v>
      </c>
      <c r="J58" t="inlineStr">
        <is>
          <t>https://www2.census.gov/programs-surveys/susb/datasets/2022/msa_3digitnaics_2022.txt</t>
        </is>
      </c>
    </row>
    <row r="59">
      <c r="A59" t="inlineStr">
        <is>
          <t>metro</t>
        </is>
      </c>
      <c r="B59" t="inlineStr">
        <is>
          <t>North Port-Bradenton-Sarasota, FL Metro Area</t>
        </is>
      </c>
      <c r="C59" t="inlineStr">
        <is>
          <t>35840</t>
        </is>
      </c>
      <c r="D59" s="7" t="n">
        <v>58.1</v>
      </c>
      <c r="E59" t="n">
        <v>58.06045432519346</v>
      </c>
      <c r="F59" s="7" t="n">
        <v>41.9</v>
      </c>
      <c r="G59" s="6" t="n">
        <v>272404</v>
      </c>
      <c r="H59" s="6" t="n">
        <v>158159</v>
      </c>
      <c r="I59" s="6" t="n">
        <v>114245</v>
      </c>
      <c r="J59" t="inlineStr">
        <is>
          <t>https://www2.census.gov/programs-surveys/susb/datasets/2022/msa_3digitnaics_2022.txt</t>
        </is>
      </c>
    </row>
    <row r="60">
      <c r="A60" t="inlineStr">
        <is>
          <t>metro</t>
        </is>
      </c>
      <c r="B60" t="inlineStr">
        <is>
          <t>Longview-Kelso, WA Metro Area</t>
        </is>
      </c>
      <c r="C60" t="inlineStr">
        <is>
          <t>31020</t>
        </is>
      </c>
      <c r="D60" s="7" t="n">
        <v>58.1</v>
      </c>
      <c r="E60" t="n">
        <v>58.05600527672843</v>
      </c>
      <c r="F60" s="7" t="n">
        <v>41.9</v>
      </c>
      <c r="G60" s="6" t="n">
        <v>33354</v>
      </c>
      <c r="H60" s="6" t="n">
        <v>19364</v>
      </c>
      <c r="I60" s="6" t="n">
        <v>13990</v>
      </c>
      <c r="J60" t="inlineStr">
        <is>
          <t>https://www2.census.gov/programs-surveys/susb/datasets/2022/msa_3digitnaics_2022.txt</t>
        </is>
      </c>
    </row>
    <row r="61">
      <c r="A61" t="inlineStr">
        <is>
          <t>metro</t>
        </is>
      </c>
      <c r="B61" t="inlineStr">
        <is>
          <t>Grand Junction, CO Metro Area</t>
        </is>
      </c>
      <c r="C61" t="inlineStr">
        <is>
          <t>24300</t>
        </is>
      </c>
      <c r="D61" s="7" t="n">
        <v>58</v>
      </c>
      <c r="E61" t="n">
        <v>58.02537526804861</v>
      </c>
      <c r="F61" s="7" t="n">
        <v>42</v>
      </c>
      <c r="G61" s="6" t="n">
        <v>55960</v>
      </c>
      <c r="H61" s="6" t="n">
        <v>32471</v>
      </c>
      <c r="I61" s="6" t="n">
        <v>23489</v>
      </c>
      <c r="J61" t="inlineStr">
        <is>
          <t>https://www2.census.gov/programs-surveys/susb/datasets/2022/msa_3digitnaics_2022.txt</t>
        </is>
      </c>
    </row>
    <row r="62">
      <c r="A62" t="inlineStr">
        <is>
          <t>metro</t>
        </is>
      </c>
      <c r="B62" t="inlineStr">
        <is>
          <t>Enid, OK Metro Area</t>
        </is>
      </c>
      <c r="C62" t="inlineStr">
        <is>
          <t>21420</t>
        </is>
      </c>
      <c r="D62" s="7" t="n">
        <v>58</v>
      </c>
      <c r="E62" t="n">
        <v>57.97812331387649</v>
      </c>
      <c r="F62" s="7" t="n">
        <v>42</v>
      </c>
      <c r="G62" s="6" t="n">
        <v>20387</v>
      </c>
      <c r="H62" s="6" t="n">
        <v>11820</v>
      </c>
      <c r="I62" s="6" t="n">
        <v>8567</v>
      </c>
      <c r="J62" t="inlineStr">
        <is>
          <t>https://www2.census.gov/programs-surveys/susb/datasets/2022/msa_3digitnaics_2022.txt</t>
        </is>
      </c>
    </row>
    <row r="63">
      <c r="A63" t="inlineStr">
        <is>
          <t>metro</t>
        </is>
      </c>
      <c r="B63" t="inlineStr">
        <is>
          <t>Sierra Vista-Douglas, AZ Metro Area</t>
        </is>
      </c>
      <c r="C63" t="inlineStr">
        <is>
          <t>43420</t>
        </is>
      </c>
      <c r="D63" s="7" t="n">
        <v>58</v>
      </c>
      <c r="E63" t="n">
        <v>57.96923076923077</v>
      </c>
      <c r="F63" s="7" t="n">
        <v>42</v>
      </c>
      <c r="G63" s="6" t="n">
        <v>26000</v>
      </c>
      <c r="H63" s="6" t="n">
        <v>15072</v>
      </c>
      <c r="I63" s="6" t="n">
        <v>10928</v>
      </c>
      <c r="J63" t="inlineStr">
        <is>
          <t>https://www2.census.gov/programs-surveys/susb/datasets/2022/msa_3digitnaics_2022.txt</t>
        </is>
      </c>
    </row>
    <row r="64">
      <c r="A64" t="inlineStr">
        <is>
          <t>metro</t>
        </is>
      </c>
      <c r="B64" t="inlineStr">
        <is>
          <t>Glens Falls, NY Metro Area</t>
        </is>
      </c>
      <c r="C64" t="inlineStr">
        <is>
          <t>24020</t>
        </is>
      </c>
      <c r="D64" s="7" t="n">
        <v>57.8</v>
      </c>
      <c r="E64" t="n">
        <v>57.7762636586166</v>
      </c>
      <c r="F64" s="7" t="n">
        <v>42.2</v>
      </c>
      <c r="G64" s="6" t="n">
        <v>39627</v>
      </c>
      <c r="H64" s="6" t="n">
        <v>22895</v>
      </c>
      <c r="I64" s="6" t="n">
        <v>16732</v>
      </c>
      <c r="J64" t="inlineStr">
        <is>
          <t>https://www2.census.gov/programs-surveys/susb/datasets/2022/msa_3digitnaics_2022.txt</t>
        </is>
      </c>
    </row>
    <row r="65">
      <c r="A65" t="inlineStr">
        <is>
          <t>metro</t>
        </is>
      </c>
      <c r="B65" t="inlineStr">
        <is>
          <t>Hammond, LA Metro Area</t>
        </is>
      </c>
      <c r="C65" t="inlineStr">
        <is>
          <t>25220</t>
        </is>
      </c>
      <c r="D65" s="7" t="n">
        <v>57.8</v>
      </c>
      <c r="E65" t="n">
        <v>57.75681341719078</v>
      </c>
      <c r="F65" s="7" t="n">
        <v>42.2</v>
      </c>
      <c r="G65" s="6" t="n">
        <v>39114</v>
      </c>
      <c r="H65" s="6" t="n">
        <v>22591</v>
      </c>
      <c r="I65" s="6" t="n">
        <v>16523</v>
      </c>
      <c r="J65" t="inlineStr">
        <is>
          <t>https://www2.census.gov/programs-surveys/susb/datasets/2022/msa_3digitnaics_2022.txt</t>
        </is>
      </c>
    </row>
    <row r="66">
      <c r="A66" t="inlineStr">
        <is>
          <t>metro</t>
        </is>
      </c>
      <c r="B66" t="inlineStr">
        <is>
          <t>Salinas, CA Metro Area</t>
        </is>
      </c>
      <c r="C66" t="inlineStr">
        <is>
          <t>41500</t>
        </is>
      </c>
      <c r="D66" s="7" t="n">
        <v>57.7</v>
      </c>
      <c r="E66" t="n">
        <v>57.71131049390129</v>
      </c>
      <c r="F66" s="7" t="n">
        <v>42.3</v>
      </c>
      <c r="G66" s="6" t="n">
        <v>116582</v>
      </c>
      <c r="H66" s="6" t="n">
        <v>67281</v>
      </c>
      <c r="I66" s="6" t="n">
        <v>49301</v>
      </c>
      <c r="J66" t="inlineStr">
        <is>
          <t>https://www2.census.gov/programs-surveys/susb/datasets/2022/msa_3digitnaics_2022.txt</t>
        </is>
      </c>
    </row>
    <row r="67">
      <c r="A67" t="inlineStr">
        <is>
          <t>metro</t>
        </is>
      </c>
      <c r="B67" t="inlineStr">
        <is>
          <t>Flagstaff, AZ Metro Area</t>
        </is>
      </c>
      <c r="C67" t="inlineStr">
        <is>
          <t>22380</t>
        </is>
      </c>
      <c r="D67" s="7" t="n">
        <v>57.7</v>
      </c>
      <c r="E67" t="n">
        <v>57.66695783371714</v>
      </c>
      <c r="F67" s="7" t="n">
        <v>42.3</v>
      </c>
      <c r="G67" s="6" t="n">
        <v>50372</v>
      </c>
      <c r="H67" s="6" t="n">
        <v>29048</v>
      </c>
      <c r="I67" s="6" t="n">
        <v>21324</v>
      </c>
      <c r="J67" t="inlineStr">
        <is>
          <t>https://www2.census.gov/programs-surveys/susb/datasets/2022/msa_3digitnaics_2022.txt</t>
        </is>
      </c>
    </row>
    <row r="68">
      <c r="A68" t="inlineStr">
        <is>
          <t>metro</t>
        </is>
      </c>
      <c r="B68" t="inlineStr">
        <is>
          <t>Kahului-Wailuku, HI Metro Area</t>
        </is>
      </c>
      <c r="C68" t="inlineStr">
        <is>
          <t>27980</t>
        </is>
      </c>
      <c r="D68" s="7" t="n">
        <v>57.6</v>
      </c>
      <c r="E68" t="n">
        <v>57.64654696363728</v>
      </c>
      <c r="F68" s="7" t="n">
        <v>42.4</v>
      </c>
      <c r="G68" s="6" t="n">
        <v>59759</v>
      </c>
      <c r="H68" s="6" t="n">
        <v>34449</v>
      </c>
      <c r="I68" s="6" t="n">
        <v>25310</v>
      </c>
      <c r="J68" t="inlineStr">
        <is>
          <t>https://www2.census.gov/programs-surveys/susb/datasets/2022/msa_3digitnaics_2022.txt</t>
        </is>
      </c>
    </row>
    <row r="69">
      <c r="A69" t="inlineStr">
        <is>
          <t>metro</t>
        </is>
      </c>
      <c r="B69" t="inlineStr">
        <is>
          <t>Brunswick-St. Simons, GA Metro Area</t>
        </is>
      </c>
      <c r="C69" t="inlineStr">
        <is>
          <t>15260</t>
        </is>
      </c>
      <c r="D69" s="7" t="n">
        <v>57.6</v>
      </c>
      <c r="E69" t="n">
        <v>57.64579414135985</v>
      </c>
      <c r="F69" s="7" t="n">
        <v>42.4</v>
      </c>
      <c r="G69" s="6" t="n">
        <v>33489</v>
      </c>
      <c r="H69" s="6" t="n">
        <v>19305</v>
      </c>
      <c r="I69" s="6" t="n">
        <v>14184</v>
      </c>
      <c r="J69" t="inlineStr">
        <is>
          <t>https://www2.census.gov/programs-surveys/susb/datasets/2022/msa_3digitnaics_2022.txt</t>
        </is>
      </c>
    </row>
    <row r="70">
      <c r="A70" t="inlineStr">
        <is>
          <t>metro</t>
        </is>
      </c>
      <c r="B70" t="inlineStr">
        <is>
          <t>Boulder, CO Metro Area</t>
        </is>
      </c>
      <c r="C70" t="inlineStr">
        <is>
          <t>14500</t>
        </is>
      </c>
      <c r="D70" s="7" t="n">
        <v>57.6</v>
      </c>
      <c r="E70" t="n">
        <v>57.56269068349883</v>
      </c>
      <c r="F70" s="7" t="n">
        <v>42.4</v>
      </c>
      <c r="G70" s="6" t="n">
        <v>157001</v>
      </c>
      <c r="H70" s="6" t="n">
        <v>90374</v>
      </c>
      <c r="I70" s="6" t="n">
        <v>66627</v>
      </c>
      <c r="J70" t="inlineStr">
        <is>
          <t>https://www2.census.gov/programs-surveys/susb/datasets/2022/msa_3digitnaics_2022.txt</t>
        </is>
      </c>
    </row>
    <row r="71">
      <c r="A71" t="inlineStr">
        <is>
          <t>metro</t>
        </is>
      </c>
      <c r="B71" t="inlineStr">
        <is>
          <t>Lake Havasu City-Kingman, AZ Metro Area</t>
        </is>
      </c>
      <c r="C71" t="inlineStr">
        <is>
          <t>29420</t>
        </is>
      </c>
      <c r="D71" s="7" t="n">
        <v>57.5</v>
      </c>
      <c r="E71" t="n">
        <v>57.53485144767552</v>
      </c>
      <c r="F71" s="7" t="n">
        <v>42.5</v>
      </c>
      <c r="G71" s="6" t="n">
        <v>47559</v>
      </c>
      <c r="H71" s="6" t="n">
        <v>27363</v>
      </c>
      <c r="I71" s="6" t="n">
        <v>20196</v>
      </c>
      <c r="J71" t="inlineStr">
        <is>
          <t>https://www2.census.gov/programs-surveys/susb/datasets/2022/msa_3digitnaics_2022.txt</t>
        </is>
      </c>
    </row>
    <row r="72">
      <c r="A72" t="inlineStr">
        <is>
          <t>metro</t>
        </is>
      </c>
      <c r="B72" t="inlineStr">
        <is>
          <t>Athens-Clarke County, GA Metro Area</t>
        </is>
      </c>
      <c r="C72" t="inlineStr">
        <is>
          <t>12020</t>
        </is>
      </c>
      <c r="D72" s="7" t="n">
        <v>57.5</v>
      </c>
      <c r="E72" t="n">
        <v>57.51433337538725</v>
      </c>
      <c r="F72" s="7" t="n">
        <v>42.5</v>
      </c>
      <c r="G72" s="6" t="n">
        <v>71337</v>
      </c>
      <c r="H72" s="6" t="n">
        <v>41029</v>
      </c>
      <c r="I72" s="6" t="n">
        <v>30308</v>
      </c>
      <c r="J72" t="inlineStr">
        <is>
          <t>https://www2.census.gov/programs-surveys/susb/datasets/2022/msa_3digitnaics_2022.txt</t>
        </is>
      </c>
    </row>
    <row r="73">
      <c r="A73" t="inlineStr">
        <is>
          <t>metro</t>
        </is>
      </c>
      <c r="B73" t="inlineStr">
        <is>
          <t>Slidell-Mandeville-Covington, LA Metro Area</t>
        </is>
      </c>
      <c r="C73" t="inlineStr">
        <is>
          <t>43640</t>
        </is>
      </c>
      <c r="D73" s="7" t="n">
        <v>57.4</v>
      </c>
      <c r="E73" t="n">
        <v>57.3810835198575</v>
      </c>
      <c r="F73" s="7" t="n">
        <v>42.6</v>
      </c>
      <c r="G73" s="6" t="n">
        <v>85333</v>
      </c>
      <c r="H73" s="6" t="n">
        <v>48965</v>
      </c>
      <c r="I73" s="6" t="n">
        <v>36368</v>
      </c>
      <c r="J73" t="inlineStr">
        <is>
          <t>https://www2.census.gov/programs-surveys/susb/datasets/2022/msa_3digitnaics_2022.txt</t>
        </is>
      </c>
    </row>
    <row r="74">
      <c r="A74" t="inlineStr">
        <is>
          <t>metro</t>
        </is>
      </c>
      <c r="B74" t="inlineStr">
        <is>
          <t>Olympia-Lacey-Tumwater, WA Metro Area</t>
        </is>
      </c>
      <c r="C74" t="inlineStr">
        <is>
          <t>36500</t>
        </is>
      </c>
      <c r="D74" s="7" t="n">
        <v>57.3</v>
      </c>
      <c r="E74" t="n">
        <v>57.26547282437951</v>
      </c>
      <c r="F74" s="7" t="n">
        <v>42.7</v>
      </c>
      <c r="G74" s="6" t="n">
        <v>79575</v>
      </c>
      <c r="H74" s="6" t="n">
        <v>45569</v>
      </c>
      <c r="I74" s="6" t="n">
        <v>34006</v>
      </c>
      <c r="J74" t="inlineStr">
        <is>
          <t>https://www2.census.gov/programs-surveys/susb/datasets/2022/msa_3digitnaics_2022.txt</t>
        </is>
      </c>
    </row>
    <row r="75">
      <c r="A75" t="inlineStr">
        <is>
          <t>metro</t>
        </is>
      </c>
      <c r="B75" t="inlineStr">
        <is>
          <t>Alexandria, LA Metro Area</t>
        </is>
      </c>
      <c r="C75" t="inlineStr">
        <is>
          <t>10780</t>
        </is>
      </c>
      <c r="D75" s="7" t="n">
        <v>57.2</v>
      </c>
      <c r="E75" t="n">
        <v>57.20319198607751</v>
      </c>
      <c r="F75" s="7" t="n">
        <v>42.8</v>
      </c>
      <c r="G75" s="6" t="n">
        <v>47118</v>
      </c>
      <c r="H75" s="6" t="n">
        <v>26953</v>
      </c>
      <c r="I75" s="6" t="n">
        <v>20165</v>
      </c>
      <c r="J75" t="inlineStr">
        <is>
          <t>https://www2.census.gov/programs-surveys/susb/datasets/2022/msa_3digitnaics_2022.txt</t>
        </is>
      </c>
    </row>
    <row r="76">
      <c r="A76" t="inlineStr">
        <is>
          <t>metro</t>
        </is>
      </c>
      <c r="B76" t="inlineStr">
        <is>
          <t>Las Cruces, NM Metro Area</t>
        </is>
      </c>
      <c r="C76" t="inlineStr">
        <is>
          <t>29740</t>
        </is>
      </c>
      <c r="D76" s="7" t="n">
        <v>57.1</v>
      </c>
      <c r="E76" t="n">
        <v>57.05582084636917</v>
      </c>
      <c r="F76" s="7" t="n">
        <v>42.9</v>
      </c>
      <c r="G76" s="6" t="n">
        <v>54657</v>
      </c>
      <c r="H76" s="6" t="n">
        <v>31185</v>
      </c>
      <c r="I76" s="6" t="n">
        <v>23472</v>
      </c>
      <c r="J76" t="inlineStr">
        <is>
          <t>https://www2.census.gov/programs-surveys/susb/datasets/2022/msa_3digitnaics_2022.txt</t>
        </is>
      </c>
    </row>
    <row r="77">
      <c r="A77" t="inlineStr">
        <is>
          <t>metro</t>
        </is>
      </c>
      <c r="B77" t="inlineStr">
        <is>
          <t>Cheyenne, WY Metro Area</t>
        </is>
      </c>
      <c r="C77" t="inlineStr">
        <is>
          <t>16940</t>
        </is>
      </c>
      <c r="D77" s="7" t="n">
        <v>56.9</v>
      </c>
      <c r="E77" t="n">
        <v>56.94093182712302</v>
      </c>
      <c r="F77" s="7" t="n">
        <v>43.1</v>
      </c>
      <c r="G77" s="6" t="n">
        <v>35586</v>
      </c>
      <c r="H77" s="6" t="n">
        <v>20263</v>
      </c>
      <c r="I77" s="6" t="n">
        <v>15323</v>
      </c>
      <c r="J77" t="inlineStr">
        <is>
          <t>https://www2.census.gov/programs-surveys/susb/datasets/2022/msa_3digitnaics_2022.txt</t>
        </is>
      </c>
    </row>
    <row r="78">
      <c r="A78" t="inlineStr">
        <is>
          <t>metro</t>
        </is>
      </c>
      <c r="B78" t="inlineStr">
        <is>
          <t>Ames, IA Metro Area</t>
        </is>
      </c>
      <c r="C78" t="inlineStr">
        <is>
          <t>11180</t>
        </is>
      </c>
      <c r="D78" s="7" t="n">
        <v>56.8</v>
      </c>
      <c r="E78" t="n">
        <v>56.81423064325128</v>
      </c>
      <c r="F78" s="7" t="n">
        <v>43.2</v>
      </c>
      <c r="G78" s="6" t="n">
        <v>39689</v>
      </c>
      <c r="H78" s="6" t="n">
        <v>22549</v>
      </c>
      <c r="I78" s="6" t="n">
        <v>17140</v>
      </c>
      <c r="J78" t="inlineStr">
        <is>
          <t>https://www2.census.gov/programs-surveys/susb/datasets/2022/msa_3digitnaics_2022.txt</t>
        </is>
      </c>
    </row>
    <row r="79">
      <c r="A79" t="inlineStr">
        <is>
          <t>metro</t>
        </is>
      </c>
      <c r="B79" t="inlineStr">
        <is>
          <t>Pittsfield, MA Metro Area</t>
        </is>
      </c>
      <c r="C79" t="inlineStr">
        <is>
          <t>38340</t>
        </is>
      </c>
      <c r="D79" s="7" t="n">
        <v>56.8</v>
      </c>
      <c r="E79" t="n">
        <v>56.80759444118222</v>
      </c>
      <c r="F79" s="7" t="n">
        <v>43.2</v>
      </c>
      <c r="G79" s="6" t="n">
        <v>51090</v>
      </c>
      <c r="H79" s="6" t="n">
        <v>29023</v>
      </c>
      <c r="I79" s="6" t="n">
        <v>22067</v>
      </c>
      <c r="J79" t="inlineStr">
        <is>
          <t>https://www2.census.gov/programs-surveys/susb/datasets/2022/msa_3digitnaics_2022.txt</t>
        </is>
      </c>
    </row>
    <row r="80">
      <c r="A80" t="inlineStr">
        <is>
          <t>metro</t>
        </is>
      </c>
      <c r="B80" t="inlineStr">
        <is>
          <t>Johnstown, PA Metro Area</t>
        </is>
      </c>
      <c r="C80" t="inlineStr">
        <is>
          <t>27780</t>
        </is>
      </c>
      <c r="D80" s="7" t="n">
        <v>56.7</v>
      </c>
      <c r="E80" t="n">
        <v>56.66734921393306</v>
      </c>
      <c r="F80" s="7" t="n">
        <v>43.3</v>
      </c>
      <c r="G80" s="6" t="n">
        <v>43953</v>
      </c>
      <c r="H80" s="6" t="n">
        <v>24907</v>
      </c>
      <c r="I80" s="6" t="n">
        <v>19046</v>
      </c>
      <c r="J80" t="inlineStr">
        <is>
          <t>https://www2.census.gov/programs-surveys/susb/datasets/2022/msa_3digitnaics_2022.txt</t>
        </is>
      </c>
    </row>
    <row r="81">
      <c r="A81" t="inlineStr">
        <is>
          <t>metro</t>
        </is>
      </c>
      <c r="B81" t="inlineStr">
        <is>
          <t>Salisbury, MD Metro Area</t>
        </is>
      </c>
      <c r="C81" t="inlineStr">
        <is>
          <t>41540</t>
        </is>
      </c>
      <c r="D81" s="7" t="n">
        <v>56.6</v>
      </c>
      <c r="E81" t="n">
        <v>56.64478037359393</v>
      </c>
      <c r="F81" s="7" t="n">
        <v>43.4</v>
      </c>
      <c r="G81" s="6" t="n">
        <v>39294</v>
      </c>
      <c r="H81" s="6" t="n">
        <v>22258</v>
      </c>
      <c r="I81" s="6" t="n">
        <v>17036</v>
      </c>
      <c r="J81" t="inlineStr">
        <is>
          <t>https://www2.census.gov/programs-surveys/susb/datasets/2022/msa_3digitnaics_2022.txt</t>
        </is>
      </c>
    </row>
    <row r="82">
      <c r="A82" t="inlineStr">
        <is>
          <t>metro</t>
        </is>
      </c>
      <c r="B82" t="inlineStr">
        <is>
          <t>Port St. Lucie, FL Metro Area</t>
        </is>
      </c>
      <c r="C82" t="inlineStr">
        <is>
          <t>38940</t>
        </is>
      </c>
      <c r="D82" s="7" t="n">
        <v>56.6</v>
      </c>
      <c r="E82" t="n">
        <v>56.61427611714419</v>
      </c>
      <c r="F82" s="7" t="n">
        <v>43.4</v>
      </c>
      <c r="G82" s="6" t="n">
        <v>135457</v>
      </c>
      <c r="H82" s="6" t="n">
        <v>76688</v>
      </c>
      <c r="I82" s="6" t="n">
        <v>58769</v>
      </c>
      <c r="J82" t="inlineStr">
        <is>
          <t>https://www2.census.gov/programs-surveys/susb/datasets/2022/msa_3digitnaics_2022.txt</t>
        </is>
      </c>
    </row>
    <row r="83">
      <c r="A83" t="inlineStr">
        <is>
          <t>metro</t>
        </is>
      </c>
      <c r="B83" t="inlineStr">
        <is>
          <t>Charlottesville, VA Metro Area</t>
        </is>
      </c>
      <c r="C83" t="inlineStr">
        <is>
          <t>16820</t>
        </is>
      </c>
      <c r="D83" s="7" t="n">
        <v>56.4</v>
      </c>
      <c r="E83" t="n">
        <v>56.3580767608604</v>
      </c>
      <c r="F83" s="7" t="n">
        <v>43.6</v>
      </c>
      <c r="G83" s="6" t="n">
        <v>85356</v>
      </c>
      <c r="H83" s="6" t="n">
        <v>48105</v>
      </c>
      <c r="I83" s="6" t="n">
        <v>37251</v>
      </c>
      <c r="J83" t="inlineStr">
        <is>
          <t>https://www2.census.gov/programs-surveys/susb/datasets/2022/msa_3digitnaics_2022.txt</t>
        </is>
      </c>
    </row>
    <row r="84">
      <c r="A84" t="inlineStr">
        <is>
          <t>metro</t>
        </is>
      </c>
      <c r="B84" t="inlineStr">
        <is>
          <t>Hot Springs, AR Metro Area</t>
        </is>
      </c>
      <c r="C84" t="inlineStr">
        <is>
          <t>26300</t>
        </is>
      </c>
      <c r="D84" s="7" t="n">
        <v>56.3</v>
      </c>
      <c r="E84" t="n">
        <v>56.25974320455769</v>
      </c>
      <c r="F84" s="7" t="n">
        <v>43.7</v>
      </c>
      <c r="G84" s="6" t="n">
        <v>35281</v>
      </c>
      <c r="H84" s="6" t="n">
        <v>19849</v>
      </c>
      <c r="I84" s="6" t="n">
        <v>15432</v>
      </c>
      <c r="J84" t="inlineStr">
        <is>
          <t>https://www2.census.gov/programs-surveys/susb/datasets/2022/msa_3digitnaics_2022.txt</t>
        </is>
      </c>
    </row>
    <row r="85">
      <c r="A85" t="inlineStr">
        <is>
          <t>metro</t>
        </is>
      </c>
      <c r="B85" t="inlineStr">
        <is>
          <t>Crestview-Fort Walton Beach-Destin, FL Metro Area</t>
        </is>
      </c>
      <c r="C85" t="inlineStr">
        <is>
          <t>18880</t>
        </is>
      </c>
      <c r="D85" s="7" t="n">
        <v>56.1</v>
      </c>
      <c r="E85" t="n">
        <v>56.14099647620322</v>
      </c>
      <c r="F85" s="7" t="n">
        <v>43.9</v>
      </c>
      <c r="G85" s="6" t="n">
        <v>89676</v>
      </c>
      <c r="H85" s="6" t="n">
        <v>50345</v>
      </c>
      <c r="I85" s="6" t="n">
        <v>39331</v>
      </c>
      <c r="J85" t="inlineStr">
        <is>
          <t>https://www2.census.gov/programs-surveys/susb/datasets/2022/msa_3digitnaics_2022.txt</t>
        </is>
      </c>
    </row>
    <row r="86">
      <c r="A86" t="inlineStr">
        <is>
          <t>metro</t>
        </is>
      </c>
      <c r="B86" t="inlineStr">
        <is>
          <t>Grand Forks, ND-MN Metro Area</t>
        </is>
      </c>
      <c r="C86" t="inlineStr">
        <is>
          <t>24220</t>
        </is>
      </c>
      <c r="D86" s="7" t="n">
        <v>56.1</v>
      </c>
      <c r="E86" t="n">
        <v>56.097621407334</v>
      </c>
      <c r="F86" s="7" t="n">
        <v>43.9</v>
      </c>
      <c r="G86" s="6" t="n">
        <v>40360</v>
      </c>
      <c r="H86" s="6" t="n">
        <v>22641</v>
      </c>
      <c r="I86" s="6" t="n">
        <v>17719</v>
      </c>
      <c r="J86" t="inlineStr">
        <is>
          <t>https://www2.census.gov/programs-surveys/susb/datasets/2022/msa_3digitnaics_2022.txt</t>
        </is>
      </c>
    </row>
    <row r="87">
      <c r="A87" t="inlineStr">
        <is>
          <t>metro</t>
        </is>
      </c>
      <c r="B87" t="inlineStr">
        <is>
          <t>Odessa, TX Metro Area</t>
        </is>
      </c>
      <c r="C87" t="inlineStr">
        <is>
          <t>36220</t>
        </is>
      </c>
      <c r="D87" s="7" t="n">
        <v>56.1</v>
      </c>
      <c r="E87" t="n">
        <v>56.08431967132935</v>
      </c>
      <c r="F87" s="7" t="n">
        <v>43.9</v>
      </c>
      <c r="G87" s="6" t="n">
        <v>61338</v>
      </c>
      <c r="H87" s="6" t="n">
        <v>34401</v>
      </c>
      <c r="I87" s="6" t="n">
        <v>26937</v>
      </c>
      <c r="J87" t="inlineStr">
        <is>
          <t>https://www2.census.gov/programs-surveys/susb/datasets/2022/msa_3digitnaics_2022.txt</t>
        </is>
      </c>
    </row>
    <row r="88">
      <c r="A88" t="inlineStr">
        <is>
          <t>metro</t>
        </is>
      </c>
      <c r="B88" t="inlineStr">
        <is>
          <t>Bangor, ME Metro Area</t>
        </is>
      </c>
      <c r="C88" t="inlineStr">
        <is>
          <t>12620</t>
        </is>
      </c>
      <c r="D88" s="7" t="n">
        <v>56.1</v>
      </c>
      <c r="E88" t="n">
        <v>56.07026323352888</v>
      </c>
      <c r="F88" s="7" t="n">
        <v>43.9</v>
      </c>
      <c r="G88" s="6" t="n">
        <v>59149</v>
      </c>
      <c r="H88" s="6" t="n">
        <v>33165</v>
      </c>
      <c r="I88" s="6" t="n">
        <v>25984</v>
      </c>
      <c r="J88" t="inlineStr">
        <is>
          <t>https://www2.census.gov/programs-surveys/susb/datasets/2022/msa_3digitnaics_2022.txt</t>
        </is>
      </c>
    </row>
    <row r="89">
      <c r="A89" t="inlineStr">
        <is>
          <t>metro</t>
        </is>
      </c>
      <c r="B89" t="inlineStr">
        <is>
          <t>Gadsden, AL Metro Area</t>
        </is>
      </c>
      <c r="C89" t="inlineStr">
        <is>
          <t>23460</t>
        </is>
      </c>
      <c r="D89" s="7" t="n">
        <v>56.1</v>
      </c>
      <c r="E89" t="n">
        <v>56.06269002461271</v>
      </c>
      <c r="F89" s="7" t="n">
        <v>43.9</v>
      </c>
      <c r="G89" s="6" t="n">
        <v>27628</v>
      </c>
      <c r="H89" s="6" t="n">
        <v>15489</v>
      </c>
      <c r="I89" s="6" t="n">
        <v>12139</v>
      </c>
      <c r="J89" t="inlineStr">
        <is>
          <t>https://www2.census.gov/programs-surveys/susb/datasets/2022/msa_3digitnaics_2022.txt</t>
        </is>
      </c>
    </row>
    <row r="90">
      <c r="A90" t="inlineStr">
        <is>
          <t>metro</t>
        </is>
      </c>
      <c r="B90" t="inlineStr">
        <is>
          <t>Great Falls, MT Metro Area</t>
        </is>
      </c>
      <c r="C90" t="inlineStr">
        <is>
          <t>24500</t>
        </is>
      </c>
      <c r="D90" s="7" t="n">
        <v>56</v>
      </c>
      <c r="E90" t="n">
        <v>56.00078505773445</v>
      </c>
      <c r="F90" s="7" t="n">
        <v>44</v>
      </c>
      <c r="G90" s="6" t="n">
        <v>30571</v>
      </c>
      <c r="H90" s="6" t="n">
        <v>17120</v>
      </c>
      <c r="I90" s="6" t="n">
        <v>13451</v>
      </c>
      <c r="J90" t="inlineStr">
        <is>
          <t>https://www2.census.gov/programs-surveys/susb/datasets/2022/msa_3digitnaics_2022.txt</t>
        </is>
      </c>
    </row>
    <row r="91">
      <c r="A91" t="inlineStr">
        <is>
          <t>metro</t>
        </is>
      </c>
      <c r="B91" t="inlineStr">
        <is>
          <t>Twin Falls, ID Metro Area</t>
        </is>
      </c>
      <c r="C91" t="inlineStr">
        <is>
          <t>46300</t>
        </is>
      </c>
      <c r="D91" s="7" t="n">
        <v>56</v>
      </c>
      <c r="E91" t="n">
        <v>55.96632241753524</v>
      </c>
      <c r="F91" s="7" t="n">
        <v>44</v>
      </c>
      <c r="G91" s="6" t="n">
        <v>41927</v>
      </c>
      <c r="H91" s="6" t="n">
        <v>23465</v>
      </c>
      <c r="I91" s="6" t="n">
        <v>18462</v>
      </c>
      <c r="J91" t="inlineStr">
        <is>
          <t>https://www2.census.gov/programs-surveys/susb/datasets/2022/msa_3digitnaics_2022.txt</t>
        </is>
      </c>
    </row>
    <row r="92">
      <c r="A92" t="inlineStr">
        <is>
          <t>metro</t>
        </is>
      </c>
      <c r="B92" t="inlineStr">
        <is>
          <t>Dover, DE Metro Area</t>
        </is>
      </c>
      <c r="C92" t="inlineStr">
        <is>
          <t>20100</t>
        </is>
      </c>
      <c r="D92" s="7" t="n">
        <v>55.9</v>
      </c>
      <c r="E92" t="n">
        <v>55.89564153955906</v>
      </c>
      <c r="F92" s="7" t="n">
        <v>44.1</v>
      </c>
      <c r="G92" s="6" t="n">
        <v>58874</v>
      </c>
      <c r="H92" s="6" t="n">
        <v>32908</v>
      </c>
      <c r="I92" s="6" t="n">
        <v>25966</v>
      </c>
      <c r="J92" t="inlineStr">
        <is>
          <t>https://www2.census.gov/programs-surveys/susb/datasets/2022/msa_3digitnaics_2022.txt</t>
        </is>
      </c>
    </row>
    <row r="93">
      <c r="A93" t="inlineStr">
        <is>
          <t>metro</t>
        </is>
      </c>
      <c r="B93" t="inlineStr">
        <is>
          <t>Cape Coral-Fort Myers, FL Metro Area</t>
        </is>
      </c>
      <c r="C93" t="inlineStr">
        <is>
          <t>15980</t>
        </is>
      </c>
      <c r="D93" s="7" t="n">
        <v>55.8</v>
      </c>
      <c r="E93" t="n">
        <v>55.84613998456543</v>
      </c>
      <c r="F93" s="7" t="n">
        <v>44.2</v>
      </c>
      <c r="G93" s="6" t="n">
        <v>255271</v>
      </c>
      <c r="H93" s="6" t="n">
        <v>142559</v>
      </c>
      <c r="I93" s="6" t="n">
        <v>112712</v>
      </c>
      <c r="J93" t="inlineStr">
        <is>
          <t>https://www2.census.gov/programs-surveys/susb/datasets/2022/msa_3digitnaics_2022.txt</t>
        </is>
      </c>
    </row>
    <row r="94">
      <c r="A94" t="inlineStr">
        <is>
          <t>metro</t>
        </is>
      </c>
      <c r="B94" t="inlineStr">
        <is>
          <t>Wilmington, NC Metro Area</t>
        </is>
      </c>
      <c r="C94" t="inlineStr">
        <is>
          <t>48900</t>
        </is>
      </c>
      <c r="D94" s="7" t="n">
        <v>55.8</v>
      </c>
      <c r="E94" t="n">
        <v>55.79358096476799</v>
      </c>
      <c r="F94" s="7" t="n">
        <v>44.2</v>
      </c>
      <c r="G94" s="6" t="n">
        <v>156846</v>
      </c>
      <c r="H94" s="6" t="n">
        <v>87510</v>
      </c>
      <c r="I94" s="6" t="n">
        <v>69336</v>
      </c>
      <c r="J94" t="inlineStr">
        <is>
          <t>https://www2.census.gov/programs-surveys/susb/datasets/2022/msa_3digitnaics_2022.txt</t>
        </is>
      </c>
    </row>
    <row r="95">
      <c r="A95" t="inlineStr">
        <is>
          <t>metro</t>
        </is>
      </c>
      <c r="B95" t="inlineStr">
        <is>
          <t>Homosassa Springs, FL Metro Area</t>
        </is>
      </c>
      <c r="C95" t="inlineStr">
        <is>
          <t>26140</t>
        </is>
      </c>
      <c r="D95" s="7" t="n">
        <v>55.8</v>
      </c>
      <c r="E95" t="n">
        <v>55.75578785352402</v>
      </c>
      <c r="F95" s="7" t="n">
        <v>44.2</v>
      </c>
      <c r="G95" s="6" t="n">
        <v>31186</v>
      </c>
      <c r="H95" s="6" t="n">
        <v>17388</v>
      </c>
      <c r="I95" s="6" t="n">
        <v>13798</v>
      </c>
      <c r="J95" t="inlineStr">
        <is>
          <t>https://www2.census.gov/programs-surveys/susb/datasets/2022/msa_3digitnaics_2022.txt</t>
        </is>
      </c>
    </row>
    <row r="96">
      <c r="A96" t="inlineStr">
        <is>
          <t>metro</t>
        </is>
      </c>
      <c r="B96" t="inlineStr">
        <is>
          <t>Punta Gorda, FL Metro Area</t>
        </is>
      </c>
      <c r="C96" t="inlineStr">
        <is>
          <t>39460</t>
        </is>
      </c>
      <c r="D96" s="7" t="n">
        <v>55.5</v>
      </c>
      <c r="E96" t="n">
        <v>55.50223240933075</v>
      </c>
      <c r="F96" s="7" t="n">
        <v>44.5</v>
      </c>
      <c r="G96" s="6" t="n">
        <v>41883</v>
      </c>
      <c r="H96" s="6" t="n">
        <v>23246</v>
      </c>
      <c r="I96" s="6" t="n">
        <v>18637</v>
      </c>
      <c r="J96" t="inlineStr">
        <is>
          <t>https://www2.census.gov/programs-surveys/susb/datasets/2022/msa_3digitnaics_2022.txt</t>
        </is>
      </c>
    </row>
    <row r="97">
      <c r="A97" t="inlineStr">
        <is>
          <t>metro</t>
        </is>
      </c>
      <c r="B97" t="inlineStr">
        <is>
          <t>Pocatello, ID Metro Area</t>
        </is>
      </c>
      <c r="C97" t="inlineStr">
        <is>
          <t>38540</t>
        </is>
      </c>
      <c r="D97" s="7" t="n">
        <v>55.2</v>
      </c>
      <c r="E97" t="n">
        <v>55.2426281133696</v>
      </c>
      <c r="F97" s="7" t="n">
        <v>44.8</v>
      </c>
      <c r="G97" s="6" t="n">
        <v>27944</v>
      </c>
      <c r="H97" s="6" t="n">
        <v>15437</v>
      </c>
      <c r="I97" s="6" t="n">
        <v>12507</v>
      </c>
      <c r="J97" t="inlineStr">
        <is>
          <t>https://www2.census.gov/programs-surveys/susb/datasets/2022/msa_3digitnaics_2022.txt</t>
        </is>
      </c>
    </row>
    <row r="98">
      <c r="A98" t="inlineStr">
        <is>
          <t>metro</t>
        </is>
      </c>
      <c r="B98" t="inlineStr">
        <is>
          <t>Sebring, FL Metro Area</t>
        </is>
      </c>
      <c r="C98" t="inlineStr">
        <is>
          <t>42700</t>
        </is>
      </c>
      <c r="D98" s="7" t="n">
        <v>55.1</v>
      </c>
      <c r="E98" t="n">
        <v>55.14209591474245</v>
      </c>
      <c r="F98" s="7" t="n">
        <v>44.9</v>
      </c>
      <c r="G98" s="6" t="n">
        <v>22520</v>
      </c>
      <c r="H98" s="6" t="n">
        <v>12418</v>
      </c>
      <c r="I98" s="6" t="n">
        <v>10102</v>
      </c>
      <c r="J98" t="inlineStr">
        <is>
          <t>https://www2.census.gov/programs-surveys/susb/datasets/2022/msa_3digitnaics_2022.txt</t>
        </is>
      </c>
    </row>
    <row r="99">
      <c r="A99" t="inlineStr">
        <is>
          <t>metro</t>
        </is>
      </c>
      <c r="B99" t="inlineStr">
        <is>
          <t>Niles, MI Metro Area</t>
        </is>
      </c>
      <c r="C99" t="inlineStr">
        <is>
          <t>35660</t>
        </is>
      </c>
      <c r="D99" s="7" t="n">
        <v>55</v>
      </c>
      <c r="E99" t="n">
        <v>54.95656519065191</v>
      </c>
      <c r="F99" s="7" t="n">
        <v>45</v>
      </c>
      <c r="G99" s="6" t="n">
        <v>52032</v>
      </c>
      <c r="H99" s="6" t="n">
        <v>28595</v>
      </c>
      <c r="I99" s="6" t="n">
        <v>23437</v>
      </c>
      <c r="J99" t="inlineStr">
        <is>
          <t>https://www2.census.gov/programs-surveys/susb/datasets/2022/msa_3digitnaics_2022.txt</t>
        </is>
      </c>
    </row>
    <row r="100">
      <c r="A100" t="inlineStr">
        <is>
          <t>metro</t>
        </is>
      </c>
      <c r="B100" t="inlineStr">
        <is>
          <t>Lancaster, PA Metro Area</t>
        </is>
      </c>
      <c r="C100" t="inlineStr">
        <is>
          <t>29540</t>
        </is>
      </c>
      <c r="D100" s="7" t="n">
        <v>54.9</v>
      </c>
      <c r="E100" t="n">
        <v>54.92405703471678</v>
      </c>
      <c r="F100" s="7" t="n">
        <v>45.1</v>
      </c>
      <c r="G100" s="6" t="n">
        <v>245184</v>
      </c>
      <c r="H100" s="6" t="n">
        <v>134665</v>
      </c>
      <c r="I100" s="6" t="n">
        <v>110519</v>
      </c>
      <c r="J100" t="inlineStr">
        <is>
          <t>https://www2.census.gov/programs-surveys/susb/datasets/2022/msa_3digitnaics_2022.txt</t>
        </is>
      </c>
    </row>
    <row r="101">
      <c r="A101" t="inlineStr">
        <is>
          <t>metro</t>
        </is>
      </c>
      <c r="B101" t="inlineStr">
        <is>
          <t>Lubbock, TX Metro Area</t>
        </is>
      </c>
      <c r="C101" t="inlineStr">
        <is>
          <t>31180</t>
        </is>
      </c>
      <c r="D101" s="7" t="n">
        <v>54.7</v>
      </c>
      <c r="E101" t="n">
        <v>54.71266836437272</v>
      </c>
      <c r="F101" s="7" t="n">
        <v>45.3</v>
      </c>
      <c r="G101" s="6" t="n">
        <v>130372</v>
      </c>
      <c r="H101" s="6" t="n">
        <v>71330</v>
      </c>
      <c r="I101" s="6" t="n">
        <v>59042</v>
      </c>
      <c r="J101" t="inlineStr">
        <is>
          <t>https://www2.census.gov/programs-surveys/susb/datasets/2022/msa_3digitnaics_2022.txt</t>
        </is>
      </c>
    </row>
    <row r="102">
      <c r="A102" t="inlineStr">
        <is>
          <t>metro</t>
        </is>
      </c>
      <c r="B102" t="inlineStr">
        <is>
          <t>Waterbury-Shelton, CT Metro Area</t>
        </is>
      </c>
      <c r="C102" t="inlineStr">
        <is>
          <t>47930</t>
        </is>
      </c>
      <c r="D102" s="7" t="n">
        <v>54.7</v>
      </c>
      <c r="E102" t="n">
        <v>54.70119245701608</v>
      </c>
      <c r="F102" s="7" t="n">
        <v>45.3</v>
      </c>
      <c r="G102" s="6" t="n">
        <v>144240</v>
      </c>
      <c r="H102" s="6" t="n">
        <v>78901</v>
      </c>
      <c r="I102" s="6" t="n">
        <v>65339</v>
      </c>
      <c r="J102" t="inlineStr">
        <is>
          <t>https://www2.census.gov/programs-surveys/susb/datasets/2022/msa_3digitnaics_2022.txt</t>
        </is>
      </c>
    </row>
    <row r="103">
      <c r="A103" t="inlineStr">
        <is>
          <t>metro</t>
        </is>
      </c>
      <c r="B103" t="inlineStr">
        <is>
          <t>Jacksonville, NC Metro Area</t>
        </is>
      </c>
      <c r="C103" t="inlineStr">
        <is>
          <t>27340</t>
        </is>
      </c>
      <c r="D103" s="7" t="n">
        <v>54.7</v>
      </c>
      <c r="E103" t="n">
        <v>54.69871253693542</v>
      </c>
      <c r="F103" s="7" t="n">
        <v>45.3</v>
      </c>
      <c r="G103" s="6" t="n">
        <v>37904</v>
      </c>
      <c r="H103" s="6" t="n">
        <v>20733</v>
      </c>
      <c r="I103" s="6" t="n">
        <v>17171</v>
      </c>
      <c r="J103" t="inlineStr">
        <is>
          <t>https://www2.census.gov/programs-surveys/susb/datasets/2022/msa_3digitnaics_2022.txt</t>
        </is>
      </c>
    </row>
    <row r="104">
      <c r="A104" t="inlineStr">
        <is>
          <t>metro</t>
        </is>
      </c>
      <c r="B104" t="inlineStr">
        <is>
          <t>Tallahassee, FL Metro Area</t>
        </is>
      </c>
      <c r="C104" t="inlineStr">
        <is>
          <t>45220</t>
        </is>
      </c>
      <c r="D104" s="7" t="n">
        <v>54.5</v>
      </c>
      <c r="E104" t="n">
        <v>54.51185040226136</v>
      </c>
      <c r="F104" s="7" t="n">
        <v>45.5</v>
      </c>
      <c r="G104" s="6" t="n">
        <v>119574</v>
      </c>
      <c r="H104" s="6" t="n">
        <v>65182</v>
      </c>
      <c r="I104" s="6" t="n">
        <v>54392</v>
      </c>
      <c r="J104" t="inlineStr">
        <is>
          <t>https://www2.census.gov/programs-surveys/susb/datasets/2022/msa_3digitnaics_2022.txt</t>
        </is>
      </c>
    </row>
    <row r="105">
      <c r="A105" t="inlineStr">
        <is>
          <t>metro</t>
        </is>
      </c>
      <c r="B105" t="inlineStr">
        <is>
          <t>El Centro, CA Metro Area</t>
        </is>
      </c>
      <c r="C105" t="inlineStr">
        <is>
          <t>20940</t>
        </is>
      </c>
      <c r="D105" s="7" t="n">
        <v>54.4</v>
      </c>
      <c r="E105" t="n">
        <v>54.37750058837374</v>
      </c>
      <c r="F105" s="7" t="n">
        <v>45.6</v>
      </c>
      <c r="G105" s="6" t="n">
        <v>33992</v>
      </c>
      <c r="H105" s="6" t="n">
        <v>18484</v>
      </c>
      <c r="I105" s="6" t="n">
        <v>15508</v>
      </c>
      <c r="J105" t="inlineStr">
        <is>
          <t>https://www2.census.gov/programs-surveys/susb/datasets/2022/msa_3digitnaics_2022.txt</t>
        </is>
      </c>
    </row>
    <row r="106">
      <c r="A106" t="inlineStr">
        <is>
          <t>metro</t>
        </is>
      </c>
      <c r="B106" t="inlineStr">
        <is>
          <t>Idaho Falls, ID Metro Area</t>
        </is>
      </c>
      <c r="C106" t="inlineStr">
        <is>
          <t>26820</t>
        </is>
      </c>
      <c r="D106" s="7" t="n">
        <v>54.4</v>
      </c>
      <c r="E106" t="n">
        <v>54.37292377362988</v>
      </c>
      <c r="F106" s="7" t="n">
        <v>45.6</v>
      </c>
      <c r="G106" s="6" t="n">
        <v>67129</v>
      </c>
      <c r="H106" s="6" t="n">
        <v>36500</v>
      </c>
      <c r="I106" s="6" t="n">
        <v>30629</v>
      </c>
      <c r="J106" t="inlineStr">
        <is>
          <t>https://www2.census.gov/programs-surveys/susb/datasets/2022/msa_3digitnaics_2022.txt</t>
        </is>
      </c>
    </row>
    <row r="107">
      <c r="A107" t="inlineStr">
        <is>
          <t>metro</t>
        </is>
      </c>
      <c r="B107" t="inlineStr">
        <is>
          <t>Bakersfield-Delano, CA Metro Area</t>
        </is>
      </c>
      <c r="C107" t="inlineStr">
        <is>
          <t>12540</t>
        </is>
      </c>
      <c r="D107" s="7" t="n">
        <v>54.3</v>
      </c>
      <c r="E107" t="n">
        <v>54.34961235813854</v>
      </c>
      <c r="F107" s="7" t="n">
        <v>45.7</v>
      </c>
      <c r="G107" s="6" t="n">
        <v>206892</v>
      </c>
      <c r="H107" s="6" t="n">
        <v>112445</v>
      </c>
      <c r="I107" s="6" t="n">
        <v>94447</v>
      </c>
      <c r="J107" t="inlineStr">
        <is>
          <t>https://www2.census.gov/programs-surveys/susb/datasets/2022/msa_3digitnaics_2022.txt</t>
        </is>
      </c>
    </row>
    <row r="108">
      <c r="A108" t="inlineStr">
        <is>
          <t>metro</t>
        </is>
      </c>
      <c r="B108" t="inlineStr">
        <is>
          <t>Amherst Town-Northampton, MA Metro Area</t>
        </is>
      </c>
      <c r="C108" t="inlineStr">
        <is>
          <t>11200</t>
        </is>
      </c>
      <c r="D108" s="7" t="n">
        <v>54.2</v>
      </c>
      <c r="E108" t="n">
        <v>54.24334316454119</v>
      </c>
      <c r="F108" s="7" t="n">
        <v>45.8</v>
      </c>
      <c r="G108" s="6" t="n">
        <v>48146</v>
      </c>
      <c r="H108" s="6" t="n">
        <v>26116</v>
      </c>
      <c r="I108" s="6" t="n">
        <v>22030</v>
      </c>
      <c r="J108" t="inlineStr">
        <is>
          <t>https://www2.census.gov/programs-surveys/susb/datasets/2022/msa_3digitnaics_2022.txt</t>
        </is>
      </c>
    </row>
    <row r="109">
      <c r="A109" t="inlineStr">
        <is>
          <t>metro</t>
        </is>
      </c>
      <c r="B109" t="inlineStr">
        <is>
          <t>Texarkana, TX-AR Metro Area</t>
        </is>
      </c>
      <c r="C109" t="inlineStr">
        <is>
          <t>45500</t>
        </is>
      </c>
      <c r="D109" s="7" t="n">
        <v>54.2</v>
      </c>
      <c r="E109" t="n">
        <v>54.21567360303305</v>
      </c>
      <c r="F109" s="7" t="n">
        <v>45.8</v>
      </c>
      <c r="G109" s="6" t="n">
        <v>46422</v>
      </c>
      <c r="H109" s="6" t="n">
        <v>25168</v>
      </c>
      <c r="I109" s="6" t="n">
        <v>21254</v>
      </c>
      <c r="J109" t="inlineStr">
        <is>
          <t>https://www2.census.gov/programs-surveys/susb/datasets/2022/msa_3digitnaics_2022.txt</t>
        </is>
      </c>
    </row>
    <row r="110">
      <c r="A110" t="inlineStr">
        <is>
          <t>metro</t>
        </is>
      </c>
      <c r="B110" t="inlineStr">
        <is>
          <t>Lake Charles, LA Metro Area</t>
        </is>
      </c>
      <c r="C110" t="inlineStr">
        <is>
          <t>29340</t>
        </is>
      </c>
      <c r="D110" s="7" t="n">
        <v>54</v>
      </c>
      <c r="E110" t="n">
        <v>54.01184298574549</v>
      </c>
      <c r="F110" s="7" t="n">
        <v>46</v>
      </c>
      <c r="G110" s="6" t="n">
        <v>79203</v>
      </c>
      <c r="H110" s="6" t="n">
        <v>42779</v>
      </c>
      <c r="I110" s="6" t="n">
        <v>36424</v>
      </c>
      <c r="J110" t="inlineStr">
        <is>
          <t>https://www2.census.gov/programs-surveys/susb/datasets/2022/msa_3digitnaics_2022.txt</t>
        </is>
      </c>
    </row>
    <row r="111">
      <c r="A111" t="inlineStr">
        <is>
          <t>metro</t>
        </is>
      </c>
      <c r="B111" t="inlineStr">
        <is>
          <t>Bismarck, ND Metro Area</t>
        </is>
      </c>
      <c r="C111" t="inlineStr">
        <is>
          <t>13900</t>
        </is>
      </c>
      <c r="D111" s="7" t="n">
        <v>53.9</v>
      </c>
      <c r="E111" t="n">
        <v>53.91547651744026</v>
      </c>
      <c r="F111" s="7" t="n">
        <v>46.1</v>
      </c>
      <c r="G111" s="6" t="n">
        <v>58256</v>
      </c>
      <c r="H111" s="6" t="n">
        <v>31409</v>
      </c>
      <c r="I111" s="6" t="n">
        <v>26847</v>
      </c>
      <c r="J111" t="inlineStr">
        <is>
          <t>https://www2.census.gov/programs-surveys/susb/datasets/2022/msa_3digitnaics_2022.txt</t>
        </is>
      </c>
    </row>
    <row r="112">
      <c r="A112" t="inlineStr">
        <is>
          <t>metro</t>
        </is>
      </c>
      <c r="B112" t="inlineStr">
        <is>
          <t>Greeley, CO Metro Area</t>
        </is>
      </c>
      <c r="C112" t="inlineStr">
        <is>
          <t>24540</t>
        </is>
      </c>
      <c r="D112" s="7" t="n">
        <v>53.9</v>
      </c>
      <c r="E112" t="n">
        <v>53.89920477736782</v>
      </c>
      <c r="F112" s="7" t="n">
        <v>46.1</v>
      </c>
      <c r="G112" s="6" t="n">
        <v>99469</v>
      </c>
      <c r="H112" s="6" t="n">
        <v>53613</v>
      </c>
      <c r="I112" s="6" t="n">
        <v>45856</v>
      </c>
      <c r="J112" t="inlineStr">
        <is>
          <t>https://www2.census.gov/programs-surveys/susb/datasets/2022/msa_3digitnaics_2022.txt</t>
        </is>
      </c>
    </row>
    <row r="113">
      <c r="A113" t="inlineStr">
        <is>
          <t>metro</t>
        </is>
      </c>
      <c r="B113" t="inlineStr">
        <is>
          <t>Duluth, MN-WI Metro Area</t>
        </is>
      </c>
      <c r="C113" t="inlineStr">
        <is>
          <t>20260</t>
        </is>
      </c>
      <c r="D113" s="7" t="n">
        <v>53.8</v>
      </c>
      <c r="E113" t="n">
        <v>53.80609967765931</v>
      </c>
      <c r="F113" s="7" t="n">
        <v>46.2</v>
      </c>
      <c r="G113" s="6" t="n">
        <v>104858</v>
      </c>
      <c r="H113" s="6" t="n">
        <v>56420</v>
      </c>
      <c r="I113" s="6" t="n">
        <v>48438</v>
      </c>
      <c r="J113" t="inlineStr">
        <is>
          <t>https://www2.census.gov/programs-surveys/susb/datasets/2022/msa_3digitnaics_2022.txt</t>
        </is>
      </c>
    </row>
    <row r="114">
      <c r="A114" t="inlineStr">
        <is>
          <t>metro</t>
        </is>
      </c>
      <c r="B114" t="inlineStr">
        <is>
          <t>Shreveport-Bossier City, LA Metro Area</t>
        </is>
      </c>
      <c r="C114" t="inlineStr">
        <is>
          <t>43340</t>
        </is>
      </c>
      <c r="D114" s="7" t="n">
        <v>53.7</v>
      </c>
      <c r="E114" t="n">
        <v>53.7325954490595</v>
      </c>
      <c r="F114" s="7" t="n">
        <v>46.3</v>
      </c>
      <c r="G114" s="6" t="n">
        <v>135884</v>
      </c>
      <c r="H114" s="6" t="n">
        <v>73014</v>
      </c>
      <c r="I114" s="6" t="n">
        <v>62870</v>
      </c>
      <c r="J114" t="inlineStr">
        <is>
          <t>https://www2.census.gov/programs-surveys/susb/datasets/2022/msa_3digitnaics_2022.txt</t>
        </is>
      </c>
    </row>
    <row r="115">
      <c r="A115" t="inlineStr">
        <is>
          <t>metro</t>
        </is>
      </c>
      <c r="B115" t="inlineStr">
        <is>
          <t>Kiryas Joel-Poughkeepsie-Newburgh, NY Metro Area</t>
        </is>
      </c>
      <c r="C115" t="inlineStr">
        <is>
          <t>28880</t>
        </is>
      </c>
      <c r="D115" s="7" t="n">
        <v>53.7</v>
      </c>
      <c r="E115" t="n">
        <v>53.72160252963264</v>
      </c>
      <c r="F115" s="7" t="n">
        <v>46.3</v>
      </c>
      <c r="G115" s="6" t="n">
        <v>217581</v>
      </c>
      <c r="H115" s="6" t="n">
        <v>116888</v>
      </c>
      <c r="I115" s="6" t="n">
        <v>100693</v>
      </c>
      <c r="J115" t="inlineStr">
        <is>
          <t>https://www2.census.gov/programs-surveys/susb/datasets/2022/msa_3digitnaics_2022.txt</t>
        </is>
      </c>
    </row>
    <row r="116">
      <c r="A116" t="inlineStr">
        <is>
          <t>metro</t>
        </is>
      </c>
      <c r="B116" t="inlineStr">
        <is>
          <t>Panama City-Panama City Beach, FL Metro Area</t>
        </is>
      </c>
      <c r="C116" t="inlineStr">
        <is>
          <t>37460</t>
        </is>
      </c>
      <c r="D116" s="7" t="n">
        <v>53.7</v>
      </c>
      <c r="E116" t="n">
        <v>53.6786492545503</v>
      </c>
      <c r="F116" s="7" t="n">
        <v>46.3</v>
      </c>
      <c r="G116" s="6" t="n">
        <v>63787</v>
      </c>
      <c r="H116" s="6" t="n">
        <v>34240</v>
      </c>
      <c r="I116" s="6" t="n">
        <v>29547</v>
      </c>
      <c r="J116" t="inlineStr">
        <is>
          <t>https://www2.census.gov/programs-surveys/susb/datasets/2022/msa_3digitnaics_2022.txt</t>
        </is>
      </c>
    </row>
    <row r="117">
      <c r="A117" t="inlineStr">
        <is>
          <t>metro</t>
        </is>
      </c>
      <c r="B117" t="inlineStr">
        <is>
          <t>Albany, OR Metro Area</t>
        </is>
      </c>
      <c r="C117" t="inlineStr">
        <is>
          <t>10540</t>
        </is>
      </c>
      <c r="D117" s="7" t="n">
        <v>53.6</v>
      </c>
      <c r="E117" t="n">
        <v>53.64448806694907</v>
      </c>
      <c r="F117" s="7" t="n">
        <v>46.4</v>
      </c>
      <c r="G117" s="6" t="n">
        <v>38716</v>
      </c>
      <c r="H117" s="6" t="n">
        <v>20769</v>
      </c>
      <c r="I117" s="6" t="n">
        <v>17947</v>
      </c>
      <c r="J117" t="inlineStr">
        <is>
          <t>https://www2.census.gov/programs-surveys/susb/datasets/2022/msa_3digitnaics_2022.txt</t>
        </is>
      </c>
    </row>
    <row r="118">
      <c r="A118" t="inlineStr">
        <is>
          <t>metro</t>
        </is>
      </c>
      <c r="B118" t="inlineStr">
        <is>
          <t>Paducah, KY-IL Metro Area</t>
        </is>
      </c>
      <c r="C118" t="inlineStr">
        <is>
          <t>37140</t>
        </is>
      </c>
      <c r="D118" s="7" t="n">
        <v>53.6</v>
      </c>
      <c r="E118" t="n">
        <v>53.64136035726555</v>
      </c>
      <c r="F118" s="7" t="n">
        <v>46.4</v>
      </c>
      <c r="G118" s="6" t="n">
        <v>40754</v>
      </c>
      <c r="H118" s="6" t="n">
        <v>21861</v>
      </c>
      <c r="I118" s="6" t="n">
        <v>18893</v>
      </c>
      <c r="J118" t="inlineStr">
        <is>
          <t>https://www2.census.gov/programs-surveys/susb/datasets/2022/msa_3digitnaics_2022.txt</t>
        </is>
      </c>
    </row>
    <row r="119">
      <c r="A119" t="inlineStr">
        <is>
          <t>metro</t>
        </is>
      </c>
      <c r="B119" t="inlineStr">
        <is>
          <t>Lewiston-Auburn, ME Metro Area</t>
        </is>
      </c>
      <c r="C119" t="inlineStr">
        <is>
          <t>30340</t>
        </is>
      </c>
      <c r="D119" s="7" t="n">
        <v>53.6</v>
      </c>
      <c r="E119" t="n">
        <v>53.58812719532904</v>
      </c>
      <c r="F119" s="7" t="n">
        <v>46.4</v>
      </c>
      <c r="G119" s="6" t="n">
        <v>42989</v>
      </c>
      <c r="H119" s="6" t="n">
        <v>23037</v>
      </c>
      <c r="I119" s="6" t="n">
        <v>19952</v>
      </c>
      <c r="J119" t="inlineStr">
        <is>
          <t>https://www2.census.gov/programs-surveys/susb/datasets/2022/msa_3digitnaics_2022.txt</t>
        </is>
      </c>
    </row>
    <row r="120">
      <c r="A120" t="inlineStr">
        <is>
          <t>metro</t>
        </is>
      </c>
      <c r="B120" t="inlineStr">
        <is>
          <t>San Angelo, TX Metro Area</t>
        </is>
      </c>
      <c r="C120" t="inlineStr">
        <is>
          <t>41660</t>
        </is>
      </c>
      <c r="D120" s="7" t="n">
        <v>53.6</v>
      </c>
      <c r="E120" t="n">
        <v>53.55937108131571</v>
      </c>
      <c r="F120" s="7" t="n">
        <v>46.4</v>
      </c>
      <c r="G120" s="6" t="n">
        <v>41468</v>
      </c>
      <c r="H120" s="6" t="n">
        <v>22210</v>
      </c>
      <c r="I120" s="6" t="n">
        <v>19258</v>
      </c>
      <c r="J120" t="inlineStr">
        <is>
          <t>https://www2.census.gov/programs-surveys/susb/datasets/2022/msa_3digitnaics_2022.txt</t>
        </is>
      </c>
    </row>
    <row r="121">
      <c r="A121" t="inlineStr">
        <is>
          <t>metro</t>
        </is>
      </c>
      <c r="B121" t="inlineStr">
        <is>
          <t>Miami-Fort Lauderdale-West Palm Beach, FL Metro Area</t>
        </is>
      </c>
      <c r="C121" t="inlineStr">
        <is>
          <t>33100</t>
        </is>
      </c>
      <c r="D121" s="7" t="n">
        <v>53.6</v>
      </c>
      <c r="E121" t="n">
        <v>53.55800573784821</v>
      </c>
      <c r="F121" s="7" t="n">
        <v>46.4</v>
      </c>
      <c r="G121" s="6" t="n">
        <v>2333976</v>
      </c>
      <c r="H121" s="6" t="n">
        <v>1250031</v>
      </c>
      <c r="I121" s="6" t="n">
        <v>1083945</v>
      </c>
      <c r="J121" t="inlineStr">
        <is>
          <t>https://www2.census.gov/programs-surveys/susb/datasets/2022/msa_3digitnaics_2022.txt</t>
        </is>
      </c>
    </row>
    <row r="122">
      <c r="A122" t="inlineStr">
        <is>
          <t>metro</t>
        </is>
      </c>
      <c r="B122" t="inlineStr">
        <is>
          <t>Vineland, NJ Metro Area</t>
        </is>
      </c>
      <c r="C122" t="inlineStr">
        <is>
          <t>47220</t>
        </is>
      </c>
      <c r="D122" s="7" t="n">
        <v>53.5</v>
      </c>
      <c r="E122" t="n">
        <v>53.51258531495892</v>
      </c>
      <c r="F122" s="7" t="n">
        <v>46.5</v>
      </c>
      <c r="G122" s="6" t="n">
        <v>46006</v>
      </c>
      <c r="H122" s="6" t="n">
        <v>24619</v>
      </c>
      <c r="I122" s="6" t="n">
        <v>21387</v>
      </c>
      <c r="J122" t="inlineStr">
        <is>
          <t>https://www2.census.gov/programs-surveys/susb/datasets/2022/msa_3digitnaics_2022.txt</t>
        </is>
      </c>
    </row>
    <row r="123">
      <c r="A123" t="inlineStr">
        <is>
          <t>metro</t>
        </is>
      </c>
      <c r="B123" t="inlineStr">
        <is>
          <t>Victoria, TX Metro Area</t>
        </is>
      </c>
      <c r="C123" t="inlineStr">
        <is>
          <t>47020</t>
        </is>
      </c>
      <c r="D123" s="7" t="n">
        <v>53.5</v>
      </c>
      <c r="E123" t="n">
        <v>53.48909367339974</v>
      </c>
      <c r="F123" s="7" t="n">
        <v>46.5</v>
      </c>
      <c r="G123" s="6" t="n">
        <v>32229</v>
      </c>
      <c r="H123" s="6" t="n">
        <v>17239</v>
      </c>
      <c r="I123" s="6" t="n">
        <v>14990</v>
      </c>
      <c r="J123" t="inlineStr">
        <is>
          <t>https://www2.census.gov/programs-surveys/susb/datasets/2022/msa_3digitnaics_2022.txt</t>
        </is>
      </c>
    </row>
    <row r="124">
      <c r="A124" t="inlineStr">
        <is>
          <t>metro</t>
        </is>
      </c>
      <c r="B124" t="inlineStr">
        <is>
          <t>Cape Girardeau, MO-IL Metro Area</t>
        </is>
      </c>
      <c r="C124" t="inlineStr">
        <is>
          <t>16020</t>
        </is>
      </c>
      <c r="D124" s="7" t="n">
        <v>53.4</v>
      </c>
      <c r="E124" t="n">
        <v>53.44506979396524</v>
      </c>
      <c r="F124" s="7" t="n">
        <v>46.6</v>
      </c>
      <c r="G124" s="6" t="n">
        <v>40333</v>
      </c>
      <c r="H124" s="6" t="n">
        <v>21556</v>
      </c>
      <c r="I124" s="6" t="n">
        <v>18777</v>
      </c>
      <c r="J124" t="inlineStr">
        <is>
          <t>https://www2.census.gov/programs-surveys/susb/datasets/2022/msa_3digitnaics_2022.txt</t>
        </is>
      </c>
    </row>
    <row r="125">
      <c r="A125" t="inlineStr">
        <is>
          <t>metro</t>
        </is>
      </c>
      <c r="B125" t="inlineStr">
        <is>
          <t>Ogden, UT Metro Area</t>
        </is>
      </c>
      <c r="C125" t="inlineStr">
        <is>
          <t>36260</t>
        </is>
      </c>
      <c r="D125" s="7" t="n">
        <v>53.4</v>
      </c>
      <c r="E125" t="n">
        <v>53.40472211685343</v>
      </c>
      <c r="F125" s="7" t="n">
        <v>46.6</v>
      </c>
      <c r="G125" s="6" t="n">
        <v>195082</v>
      </c>
      <c r="H125" s="6" t="n">
        <v>104183</v>
      </c>
      <c r="I125" s="6" t="n">
        <v>90899</v>
      </c>
      <c r="J125" t="inlineStr">
        <is>
          <t>https://www2.census.gov/programs-surveys/susb/datasets/2022/msa_3digitnaics_2022.txt</t>
        </is>
      </c>
    </row>
    <row r="126">
      <c r="A126" t="inlineStr">
        <is>
          <t>metro</t>
        </is>
      </c>
      <c r="B126" t="inlineStr">
        <is>
          <t>Wichita Falls, TX Metro Area</t>
        </is>
      </c>
      <c r="C126" t="inlineStr">
        <is>
          <t>48660</t>
        </is>
      </c>
      <c r="D126" s="7" t="n">
        <v>53.4</v>
      </c>
      <c r="E126" t="n">
        <v>53.36876392936739</v>
      </c>
      <c r="F126" s="7" t="n">
        <v>46.6</v>
      </c>
      <c r="G126" s="6" t="n">
        <v>46664</v>
      </c>
      <c r="H126" s="6" t="n">
        <v>24904</v>
      </c>
      <c r="I126" s="6" t="n">
        <v>21760</v>
      </c>
      <c r="J126" t="inlineStr">
        <is>
          <t>https://www2.census.gov/programs-surveys/susb/datasets/2022/msa_3digitnaics_2022.txt</t>
        </is>
      </c>
    </row>
    <row r="127">
      <c r="A127" t="inlineStr">
        <is>
          <t>metro</t>
        </is>
      </c>
      <c r="B127" t="inlineStr">
        <is>
          <t>Elmira, NY Metro Area</t>
        </is>
      </c>
      <c r="C127" t="inlineStr">
        <is>
          <t>21300</t>
        </is>
      </c>
      <c r="D127" s="7" t="n">
        <v>53.3</v>
      </c>
      <c r="E127" t="n">
        <v>53.32795623509609</v>
      </c>
      <c r="F127" s="7" t="n">
        <v>46.7</v>
      </c>
      <c r="G127" s="6" t="n">
        <v>28516</v>
      </c>
      <c r="H127" s="6" t="n">
        <v>15207</v>
      </c>
      <c r="I127" s="6" t="n">
        <v>13309</v>
      </c>
      <c r="J127" t="inlineStr">
        <is>
          <t>https://www2.census.gov/programs-surveys/susb/datasets/2022/msa_3digitnaics_2022.txt</t>
        </is>
      </c>
    </row>
    <row r="128">
      <c r="A128" t="inlineStr">
        <is>
          <t>metro</t>
        </is>
      </c>
      <c r="B128" t="inlineStr">
        <is>
          <t>Fresno, CA Metro Area</t>
        </is>
      </c>
      <c r="C128" t="inlineStr">
        <is>
          <t>23420</t>
        </is>
      </c>
      <c r="D128" s="7" t="n">
        <v>53.2</v>
      </c>
      <c r="E128" t="n">
        <v>53.22136360275087</v>
      </c>
      <c r="F128" s="7" t="n">
        <v>46.8</v>
      </c>
      <c r="G128" s="6" t="n">
        <v>324552</v>
      </c>
      <c r="H128" s="6" t="n">
        <v>172731</v>
      </c>
      <c r="I128" s="6" t="n">
        <v>151821</v>
      </c>
      <c r="J128" t="inlineStr">
        <is>
          <t>https://www2.census.gov/programs-surveys/susb/datasets/2022/msa_3digitnaics_2022.txt</t>
        </is>
      </c>
    </row>
    <row r="129">
      <c r="A129" t="inlineStr">
        <is>
          <t>metro</t>
        </is>
      </c>
      <c r="B129" t="inlineStr">
        <is>
          <t>College Station-Bryan, TX Metro Area</t>
        </is>
      </c>
      <c r="C129" t="inlineStr">
        <is>
          <t>17780</t>
        </is>
      </c>
      <c r="D129" s="7" t="n">
        <v>53.2</v>
      </c>
      <c r="E129" t="n">
        <v>53.15712718901785</v>
      </c>
      <c r="F129" s="7" t="n">
        <v>46.8</v>
      </c>
      <c r="G129" s="6" t="n">
        <v>82971</v>
      </c>
      <c r="H129" s="6" t="n">
        <v>44105</v>
      </c>
      <c r="I129" s="6" t="n">
        <v>38866</v>
      </c>
      <c r="J129" t="inlineStr">
        <is>
          <t>https://www2.census.gov/programs-surveys/susb/datasets/2022/msa_3digitnaics_2022.txt</t>
        </is>
      </c>
    </row>
    <row r="130">
      <c r="A130" t="inlineStr">
        <is>
          <t>metro</t>
        </is>
      </c>
      <c r="B130" t="inlineStr">
        <is>
          <t>Racine-Mount Pleasant, WI Metro Area</t>
        </is>
      </c>
      <c r="C130" t="inlineStr">
        <is>
          <t>39540</t>
        </is>
      </c>
      <c r="D130" s="7" t="n">
        <v>53.1</v>
      </c>
      <c r="E130" t="n">
        <v>53.11779315238602</v>
      </c>
      <c r="F130" s="7" t="n">
        <v>46.9</v>
      </c>
      <c r="G130" s="6" t="n">
        <v>67644</v>
      </c>
      <c r="H130" s="6" t="n">
        <v>35931</v>
      </c>
      <c r="I130" s="6" t="n">
        <v>31713</v>
      </c>
      <c r="J130" t="inlineStr">
        <is>
          <t>https://www2.census.gov/programs-surveys/susb/datasets/2022/msa_3digitnaics_2022.txt</t>
        </is>
      </c>
    </row>
    <row r="131">
      <c r="A131" t="inlineStr">
        <is>
          <t>metro</t>
        </is>
      </c>
      <c r="B131" t="inlineStr">
        <is>
          <t>Auburn-Opelika, AL Metro Area</t>
        </is>
      </c>
      <c r="C131" t="inlineStr">
        <is>
          <t>12220</t>
        </is>
      </c>
      <c r="D131" s="7" t="n">
        <v>53</v>
      </c>
      <c r="E131" t="n">
        <v>53.03550555230859</v>
      </c>
      <c r="F131" s="7" t="n">
        <v>47</v>
      </c>
      <c r="G131" s="6" t="n">
        <v>54752</v>
      </c>
      <c r="H131" s="6" t="n">
        <v>29038</v>
      </c>
      <c r="I131" s="6" t="n">
        <v>25714</v>
      </c>
      <c r="J131" t="inlineStr">
        <is>
          <t>https://www2.census.gov/programs-surveys/susb/datasets/2022/msa_3digitnaics_2022.txt</t>
        </is>
      </c>
    </row>
    <row r="132">
      <c r="A132" t="inlineStr">
        <is>
          <t>metro</t>
        </is>
      </c>
      <c r="B132" t="inlineStr">
        <is>
          <t>Spokane-Spokane Valley, WA Metro Area</t>
        </is>
      </c>
      <c r="C132" t="inlineStr">
        <is>
          <t>44060</t>
        </is>
      </c>
      <c r="D132" s="7" t="n">
        <v>53</v>
      </c>
      <c r="E132" t="n">
        <v>53.01711367259696</v>
      </c>
      <c r="F132" s="7" t="n">
        <v>47</v>
      </c>
      <c r="G132" s="6" t="n">
        <v>212637</v>
      </c>
      <c r="H132" s="6" t="n">
        <v>112734</v>
      </c>
      <c r="I132" s="6" t="n">
        <v>99903</v>
      </c>
      <c r="J132" t="inlineStr">
        <is>
          <t>https://www2.census.gov/programs-surveys/susb/datasets/2022/msa_3digitnaics_2022.txt</t>
        </is>
      </c>
    </row>
    <row r="133">
      <c r="A133" t="inlineStr">
        <is>
          <t>metro</t>
        </is>
      </c>
      <c r="B133" t="inlineStr">
        <is>
          <t>Lewiston, ID-WA Metro Area</t>
        </is>
      </c>
      <c r="C133" t="inlineStr">
        <is>
          <t>30300</t>
        </is>
      </c>
      <c r="D133" s="7" t="n">
        <v>53</v>
      </c>
      <c r="E133" t="n">
        <v>52.97478844979499</v>
      </c>
      <c r="F133" s="7" t="n">
        <v>47</v>
      </c>
      <c r="G133" s="6" t="n">
        <v>22926</v>
      </c>
      <c r="H133" s="6" t="n">
        <v>12145</v>
      </c>
      <c r="I133" s="6" t="n">
        <v>10781</v>
      </c>
      <c r="J133" t="inlineStr">
        <is>
          <t>https://www2.census.gov/programs-surveys/susb/datasets/2022/msa_3digitnaics_2022.txt</t>
        </is>
      </c>
    </row>
    <row r="134">
      <c r="A134" t="inlineStr">
        <is>
          <t>metro</t>
        </is>
      </c>
      <c r="B134" t="inlineStr">
        <is>
          <t>Charleston-North Charleston, SC Metro Area</t>
        </is>
      </c>
      <c r="C134" t="inlineStr">
        <is>
          <t>16700</t>
        </is>
      </c>
      <c r="D134" s="7" t="n">
        <v>53</v>
      </c>
      <c r="E134" t="n">
        <v>52.96890002766612</v>
      </c>
      <c r="F134" s="7" t="n">
        <v>47</v>
      </c>
      <c r="G134" s="6" t="n">
        <v>307235</v>
      </c>
      <c r="H134" s="6" t="n">
        <v>162739</v>
      </c>
      <c r="I134" s="6" t="n">
        <v>144496</v>
      </c>
      <c r="J134" t="inlineStr">
        <is>
          <t>https://www2.census.gov/programs-surveys/susb/datasets/2022/msa_3digitnaics_2022.txt</t>
        </is>
      </c>
    </row>
    <row r="135">
      <c r="A135" t="inlineStr">
        <is>
          <t>metro</t>
        </is>
      </c>
      <c r="B135" t="inlineStr">
        <is>
          <t>Boise City, ID Metro Area</t>
        </is>
      </c>
      <c r="C135" t="inlineStr">
        <is>
          <t>14260</t>
        </is>
      </c>
      <c r="D135" s="7" t="n">
        <v>52.9</v>
      </c>
      <c r="E135" t="n">
        <v>52.92091024313039</v>
      </c>
      <c r="F135" s="7" t="n">
        <v>47.1</v>
      </c>
      <c r="G135" s="6" t="n">
        <v>310862</v>
      </c>
      <c r="H135" s="6" t="n">
        <v>164511</v>
      </c>
      <c r="I135" s="6" t="n">
        <v>146351</v>
      </c>
      <c r="J135" t="inlineStr">
        <is>
          <t>https://www2.census.gov/programs-surveys/susb/datasets/2022/msa_3digitnaics_2022.txt</t>
        </is>
      </c>
    </row>
    <row r="136">
      <c r="A136" t="inlineStr">
        <is>
          <t>metro</t>
        </is>
      </c>
      <c r="B136" t="inlineStr">
        <is>
          <t>Mansfield, OH Metro Area</t>
        </is>
      </c>
      <c r="C136" t="inlineStr">
        <is>
          <t>31900</t>
        </is>
      </c>
      <c r="D136" s="7" t="n">
        <v>52.9</v>
      </c>
      <c r="E136" t="n">
        <v>52.85206131483993</v>
      </c>
      <c r="F136" s="7" t="n">
        <v>47.1</v>
      </c>
      <c r="G136" s="6" t="n">
        <v>39077</v>
      </c>
      <c r="H136" s="6" t="n">
        <v>20653</v>
      </c>
      <c r="I136" s="6" t="n">
        <v>18424</v>
      </c>
      <c r="J136" t="inlineStr">
        <is>
          <t>https://www2.census.gov/programs-surveys/susb/datasets/2022/msa_3digitnaics_2022.txt</t>
        </is>
      </c>
    </row>
    <row r="137">
      <c r="A137" t="inlineStr">
        <is>
          <t>metro</t>
        </is>
      </c>
      <c r="B137" t="inlineStr">
        <is>
          <t>Deltona-Daytona Beach-Ormond Beach, FL Metro Area</t>
        </is>
      </c>
      <c r="C137" t="inlineStr">
        <is>
          <t>19660</t>
        </is>
      </c>
      <c r="D137" s="7" t="n">
        <v>52.7</v>
      </c>
      <c r="E137" t="n">
        <v>52.72328091540309</v>
      </c>
      <c r="F137" s="7" t="n">
        <v>47.3</v>
      </c>
      <c r="G137" s="6" t="n">
        <v>184924</v>
      </c>
      <c r="H137" s="6" t="n">
        <v>97498</v>
      </c>
      <c r="I137" s="6" t="n">
        <v>87426</v>
      </c>
      <c r="J137" t="inlineStr">
        <is>
          <t>https://www2.census.gov/programs-surveys/susb/datasets/2022/msa_3digitnaics_2022.txt</t>
        </is>
      </c>
    </row>
    <row r="138">
      <c r="A138" t="inlineStr">
        <is>
          <t>metro</t>
        </is>
      </c>
      <c r="B138" t="inlineStr">
        <is>
          <t>Michigan City-La Porte, IN Metro Area</t>
        </is>
      </c>
      <c r="C138" t="inlineStr">
        <is>
          <t>33140</t>
        </is>
      </c>
      <c r="D138" s="7" t="n">
        <v>52.7</v>
      </c>
      <c r="E138" t="n">
        <v>52.66182787735151</v>
      </c>
      <c r="F138" s="7" t="n">
        <v>47.3</v>
      </c>
      <c r="G138" s="6" t="n">
        <v>33755</v>
      </c>
      <c r="H138" s="6" t="n">
        <v>17776</v>
      </c>
      <c r="I138" s="6" t="n">
        <v>15979</v>
      </c>
      <c r="J138" t="inlineStr">
        <is>
          <t>https://www2.census.gov/programs-surveys/susb/datasets/2022/msa_3digitnaics_2022.txt</t>
        </is>
      </c>
    </row>
    <row r="139">
      <c r="A139" t="inlineStr">
        <is>
          <t>metro</t>
        </is>
      </c>
      <c r="B139" t="inlineStr">
        <is>
          <t>Los Angeles-Long Beach-Anaheim, CA Metro Area</t>
        </is>
      </c>
      <c r="C139" t="inlineStr">
        <is>
          <t>31080</t>
        </is>
      </c>
      <c r="D139" s="7" t="n">
        <v>52.6</v>
      </c>
      <c r="E139" t="n">
        <v>52.58457216220127</v>
      </c>
      <c r="F139" s="7" t="n">
        <v>47.4</v>
      </c>
      <c r="G139" s="6" t="n">
        <v>5460130</v>
      </c>
      <c r="H139" s="6" t="n">
        <v>2871186</v>
      </c>
      <c r="I139" s="6" t="n">
        <v>2588944</v>
      </c>
      <c r="J139" t="inlineStr">
        <is>
          <t>https://www2.census.gov/programs-surveys/susb/datasets/2022/msa_3digitnaics_2022.txt</t>
        </is>
      </c>
    </row>
    <row r="140">
      <c r="A140" t="inlineStr">
        <is>
          <t>metro</t>
        </is>
      </c>
      <c r="B140" t="inlineStr">
        <is>
          <t>Eau Claire, WI Metro Area</t>
        </is>
      </c>
      <c r="C140" t="inlineStr">
        <is>
          <t>20740</t>
        </is>
      </c>
      <c r="D140" s="7" t="n">
        <v>52.6</v>
      </c>
      <c r="E140" t="n">
        <v>52.56901530075289</v>
      </c>
      <c r="F140" s="7" t="n">
        <v>47.4</v>
      </c>
      <c r="G140" s="6" t="n">
        <v>74114</v>
      </c>
      <c r="H140" s="6" t="n">
        <v>38961</v>
      </c>
      <c r="I140" s="6" t="n">
        <v>35153</v>
      </c>
      <c r="J140" t="inlineStr">
        <is>
          <t>https://www2.census.gov/programs-surveys/susb/datasets/2022/msa_3digitnaics_2022.txt</t>
        </is>
      </c>
    </row>
    <row r="141">
      <c r="A141" t="inlineStr">
        <is>
          <t>metro</t>
        </is>
      </c>
      <c r="B141" t="inlineStr">
        <is>
          <t>Valdosta, GA Metro Area</t>
        </is>
      </c>
      <c r="C141" t="inlineStr">
        <is>
          <t>46660</t>
        </is>
      </c>
      <c r="D141" s="7" t="n">
        <v>52.6</v>
      </c>
      <c r="E141" t="n">
        <v>52.55278485620677</v>
      </c>
      <c r="F141" s="7" t="n">
        <v>47.4</v>
      </c>
      <c r="G141" s="6" t="n">
        <v>43952</v>
      </c>
      <c r="H141" s="6" t="n">
        <v>23098</v>
      </c>
      <c r="I141" s="6" t="n">
        <v>20854</v>
      </c>
      <c r="J141" t="inlineStr">
        <is>
          <t>https://www2.census.gov/programs-surveys/susb/datasets/2022/msa_3digitnaics_2022.txt</t>
        </is>
      </c>
    </row>
    <row r="142">
      <c r="A142" t="inlineStr">
        <is>
          <t>metro</t>
        </is>
      </c>
      <c r="B142" t="inlineStr">
        <is>
          <t>Lincoln, NE Metro Area</t>
        </is>
      </c>
      <c r="C142" t="inlineStr">
        <is>
          <t>30700</t>
        </is>
      </c>
      <c r="D142" s="7" t="n">
        <v>52.5</v>
      </c>
      <c r="E142" t="n">
        <v>52.50392670157068</v>
      </c>
      <c r="F142" s="7" t="n">
        <v>47.5</v>
      </c>
      <c r="G142" s="6" t="n">
        <v>152800</v>
      </c>
      <c r="H142" s="6" t="n">
        <v>80226</v>
      </c>
      <c r="I142" s="6" t="n">
        <v>72574</v>
      </c>
      <c r="J142" t="inlineStr">
        <is>
          <t>https://www2.census.gov/programs-surveys/susb/datasets/2022/msa_3digitnaics_2022.txt</t>
        </is>
      </c>
    </row>
    <row r="143">
      <c r="A143" t="inlineStr">
        <is>
          <t>metro</t>
        </is>
      </c>
      <c r="B143" t="inlineStr">
        <is>
          <t>Logan, UT-ID Metro Area</t>
        </is>
      </c>
      <c r="C143" t="inlineStr">
        <is>
          <t>30860</t>
        </is>
      </c>
      <c r="D143" s="7" t="n">
        <v>52.5</v>
      </c>
      <c r="E143" t="n">
        <v>52.48966906867935</v>
      </c>
      <c r="F143" s="7" t="n">
        <v>47.5</v>
      </c>
      <c r="G143" s="6" t="n">
        <v>58562</v>
      </c>
      <c r="H143" s="6" t="n">
        <v>30739</v>
      </c>
      <c r="I143" s="6" t="n">
        <v>27823</v>
      </c>
      <c r="J143" t="inlineStr">
        <is>
          <t>https://www2.census.gov/programs-surveys/susb/datasets/2022/msa_3digitnaics_2022.txt</t>
        </is>
      </c>
    </row>
    <row r="144">
      <c r="A144" t="inlineStr">
        <is>
          <t>metro</t>
        </is>
      </c>
      <c r="B144" t="inlineStr">
        <is>
          <t>Fond du Lac, WI Metro Area</t>
        </is>
      </c>
      <c r="C144" t="inlineStr">
        <is>
          <t>22540</t>
        </is>
      </c>
      <c r="D144" s="7" t="n">
        <v>52.5</v>
      </c>
      <c r="E144" t="n">
        <v>52.46135892733811</v>
      </c>
      <c r="F144" s="7" t="n">
        <v>47.5</v>
      </c>
      <c r="G144" s="6" t="n">
        <v>41989</v>
      </c>
      <c r="H144" s="6" t="n">
        <v>22028</v>
      </c>
      <c r="I144" s="6" t="n">
        <v>19961</v>
      </c>
      <c r="J144" t="inlineStr">
        <is>
          <t>https://www2.census.gov/programs-surveys/susb/datasets/2022/msa_3digitnaics_2022.txt</t>
        </is>
      </c>
    </row>
    <row r="145">
      <c r="A145" t="inlineStr">
        <is>
          <t>metro</t>
        </is>
      </c>
      <c r="B145" t="inlineStr">
        <is>
          <t>Portland-South Portland, ME Metro Area</t>
        </is>
      </c>
      <c r="C145" t="inlineStr">
        <is>
          <t>38860</t>
        </is>
      </c>
      <c r="D145" s="7" t="n">
        <v>52.4</v>
      </c>
      <c r="E145" t="n">
        <v>52.43069028594959</v>
      </c>
      <c r="F145" s="7" t="n">
        <v>47.6</v>
      </c>
      <c r="G145" s="6" t="n">
        <v>252562</v>
      </c>
      <c r="H145" s="6" t="n">
        <v>132420</v>
      </c>
      <c r="I145" s="6" t="n">
        <v>120142</v>
      </c>
      <c r="J145" t="inlineStr">
        <is>
          <t>https://www2.census.gov/programs-surveys/susb/datasets/2022/msa_3digitnaics_2022.txt</t>
        </is>
      </c>
    </row>
    <row r="146">
      <c r="A146" t="inlineStr">
        <is>
          <t>metro</t>
        </is>
      </c>
      <c r="B146" t="inlineStr">
        <is>
          <t>Jefferson City, MO Metro Area</t>
        </is>
      </c>
      <c r="C146" t="inlineStr">
        <is>
          <t>27620</t>
        </is>
      </c>
      <c r="D146" s="7" t="n">
        <v>52.4</v>
      </c>
      <c r="E146" t="n">
        <v>52.37705365427652</v>
      </c>
      <c r="F146" s="7" t="n">
        <v>47.6</v>
      </c>
      <c r="G146" s="6" t="n">
        <v>54963</v>
      </c>
      <c r="H146" s="6" t="n">
        <v>28788</v>
      </c>
      <c r="I146" s="6" t="n">
        <v>26175</v>
      </c>
      <c r="J146" t="inlineStr">
        <is>
          <t>https://www2.census.gov/programs-surveys/susb/datasets/2022/msa_3digitnaics_2022.txt</t>
        </is>
      </c>
    </row>
    <row r="147">
      <c r="A147" t="inlineStr">
        <is>
          <t>metro</t>
        </is>
      </c>
      <c r="B147" t="inlineStr">
        <is>
          <t>Flint, MI Metro Area</t>
        </is>
      </c>
      <c r="C147" t="inlineStr">
        <is>
          <t>22420</t>
        </is>
      </c>
      <c r="D147" s="7" t="n">
        <v>52.4</v>
      </c>
      <c r="E147" t="n">
        <v>52.35548701621729</v>
      </c>
      <c r="F147" s="7" t="n">
        <v>47.6</v>
      </c>
      <c r="G147" s="6" t="n">
        <v>120612</v>
      </c>
      <c r="H147" s="6" t="n">
        <v>63147</v>
      </c>
      <c r="I147" s="6" t="n">
        <v>57465</v>
      </c>
      <c r="J147" t="inlineStr">
        <is>
          <t>https://www2.census.gov/programs-surveys/susb/datasets/2022/msa_3digitnaics_2022.txt</t>
        </is>
      </c>
    </row>
    <row r="148">
      <c r="A148" t="inlineStr">
        <is>
          <t>metro</t>
        </is>
      </c>
      <c r="B148" t="inlineStr">
        <is>
          <t>Jackson, MI Metro Area</t>
        </is>
      </c>
      <c r="C148" t="inlineStr">
        <is>
          <t>27100</t>
        </is>
      </c>
      <c r="D148" s="7" t="n">
        <v>52.3</v>
      </c>
      <c r="E148" t="n">
        <v>52.32265105665245</v>
      </c>
      <c r="F148" s="7" t="n">
        <v>47.7</v>
      </c>
      <c r="G148" s="6" t="n">
        <v>50395</v>
      </c>
      <c r="H148" s="6" t="n">
        <v>26368</v>
      </c>
      <c r="I148" s="6" t="n">
        <v>24027</v>
      </c>
      <c r="J148" t="inlineStr">
        <is>
          <t>https://www2.census.gov/programs-surveys/susb/datasets/2022/msa_3digitnaics_2022.txt</t>
        </is>
      </c>
    </row>
    <row r="149">
      <c r="A149" t="inlineStr">
        <is>
          <t>metro</t>
        </is>
      </c>
      <c r="B149" t="inlineStr">
        <is>
          <t>Amarillo, TX Metro Area</t>
        </is>
      </c>
      <c r="C149" t="inlineStr">
        <is>
          <t>11100</t>
        </is>
      </c>
      <c r="D149" s="7" t="n">
        <v>52.3</v>
      </c>
      <c r="E149" t="n">
        <v>52.25597826637878</v>
      </c>
      <c r="F149" s="7" t="n">
        <v>47.7</v>
      </c>
      <c r="G149" s="6" t="n">
        <v>98649</v>
      </c>
      <c r="H149" s="6" t="n">
        <v>51550</v>
      </c>
      <c r="I149" s="6" t="n">
        <v>47099</v>
      </c>
      <c r="J149" t="inlineStr">
        <is>
          <t>https://www2.census.gov/programs-surveys/susb/datasets/2022/msa_3digitnaics_2022.txt</t>
        </is>
      </c>
    </row>
    <row r="150">
      <c r="A150" t="inlineStr">
        <is>
          <t>metro</t>
        </is>
      </c>
      <c r="B150" t="inlineStr">
        <is>
          <t>Pueblo, CO Metro Area</t>
        </is>
      </c>
      <c r="C150" t="inlineStr">
        <is>
          <t>39380</t>
        </is>
      </c>
      <c r="D150" s="7" t="n">
        <v>52.2</v>
      </c>
      <c r="E150" t="n">
        <v>52.18037757996674</v>
      </c>
      <c r="F150" s="7" t="n">
        <v>47.8</v>
      </c>
      <c r="G150" s="6" t="n">
        <v>51115</v>
      </c>
      <c r="H150" s="6" t="n">
        <v>26672</v>
      </c>
      <c r="I150" s="6" t="n">
        <v>24443</v>
      </c>
      <c r="J150" t="inlineStr">
        <is>
          <t>https://www2.census.gov/programs-surveys/susb/datasets/2022/msa_3digitnaics_2022.txt</t>
        </is>
      </c>
    </row>
    <row r="151">
      <c r="A151" t="inlineStr">
        <is>
          <t>metro</t>
        </is>
      </c>
      <c r="B151" t="inlineStr">
        <is>
          <t>Canton-Massillon, OH Metro Area</t>
        </is>
      </c>
      <c r="C151" t="inlineStr">
        <is>
          <t>15940</t>
        </is>
      </c>
      <c r="D151" s="7" t="n">
        <v>52.2</v>
      </c>
      <c r="E151" t="n">
        <v>52.15579697585258</v>
      </c>
      <c r="F151" s="7" t="n">
        <v>47.8</v>
      </c>
      <c r="G151" s="6" t="n">
        <v>144239</v>
      </c>
      <c r="H151" s="6" t="n">
        <v>75229</v>
      </c>
      <c r="I151" s="6" t="n">
        <v>69010</v>
      </c>
      <c r="J151" t="inlineStr">
        <is>
          <t>https://www2.census.gov/programs-surveys/susb/datasets/2022/msa_3digitnaics_2022.txt</t>
        </is>
      </c>
    </row>
    <row r="152">
      <c r="A152" t="inlineStr">
        <is>
          <t>metro</t>
        </is>
      </c>
      <c r="B152" t="inlineStr">
        <is>
          <t>Dothan, AL Metro Area</t>
        </is>
      </c>
      <c r="C152" t="inlineStr">
        <is>
          <t>20020</t>
        </is>
      </c>
      <c r="D152" s="7" t="n">
        <v>52.1</v>
      </c>
      <c r="E152" t="n">
        <v>52.13891229055509</v>
      </c>
      <c r="F152" s="7" t="n">
        <v>47.9</v>
      </c>
      <c r="G152" s="6" t="n">
        <v>53415</v>
      </c>
      <c r="H152" s="6" t="n">
        <v>27850</v>
      </c>
      <c r="I152" s="6" t="n">
        <v>25565</v>
      </c>
      <c r="J152" t="inlineStr">
        <is>
          <t>https://www2.census.gov/programs-surveys/susb/datasets/2022/msa_3digitnaics_2022.txt</t>
        </is>
      </c>
    </row>
    <row r="153">
      <c r="A153" t="inlineStr">
        <is>
          <t>metro</t>
        </is>
      </c>
      <c r="B153" t="inlineStr">
        <is>
          <t>Longview, TX Metro Area</t>
        </is>
      </c>
      <c r="C153" t="inlineStr">
        <is>
          <t>30980</t>
        </is>
      </c>
      <c r="D153" s="7" t="n">
        <v>52.1</v>
      </c>
      <c r="E153" t="n">
        <v>52.07670590106569</v>
      </c>
      <c r="F153" s="7" t="n">
        <v>47.9</v>
      </c>
      <c r="G153" s="6" t="n">
        <v>100592</v>
      </c>
      <c r="H153" s="6" t="n">
        <v>52385</v>
      </c>
      <c r="I153" s="6" t="n">
        <v>48207</v>
      </c>
      <c r="J153" t="inlineStr">
        <is>
          <t>https://www2.census.gov/programs-surveys/susb/datasets/2022/msa_3digitnaics_2022.txt</t>
        </is>
      </c>
    </row>
    <row r="154">
      <c r="A154" t="inlineStr">
        <is>
          <t>metro</t>
        </is>
      </c>
      <c r="B154" t="inlineStr">
        <is>
          <t>Asheville, NC Metro Area</t>
        </is>
      </c>
      <c r="C154" t="inlineStr">
        <is>
          <t>11700</t>
        </is>
      </c>
      <c r="D154" s="7" t="n">
        <v>52.1</v>
      </c>
      <c r="E154" t="n">
        <v>52.07455136697579</v>
      </c>
      <c r="F154" s="7" t="n">
        <v>47.9</v>
      </c>
      <c r="G154" s="6" t="n">
        <v>166060</v>
      </c>
      <c r="H154" s="6" t="n">
        <v>86475</v>
      </c>
      <c r="I154" s="6" t="n">
        <v>79585</v>
      </c>
      <c r="J154" t="inlineStr">
        <is>
          <t>https://www2.census.gov/programs-surveys/susb/datasets/2022/msa_3digitnaics_2022.txt</t>
        </is>
      </c>
    </row>
    <row r="155">
      <c r="A155" t="inlineStr">
        <is>
          <t>metro</t>
        </is>
      </c>
      <c r="B155" t="inlineStr">
        <is>
          <t>Pinehurst-Southern Pines, NC Metro Area</t>
        </is>
      </c>
      <c r="C155" t="inlineStr">
        <is>
          <t>38240</t>
        </is>
      </c>
      <c r="D155" s="7" t="n">
        <v>52</v>
      </c>
      <c r="E155" t="n">
        <v>51.96608433392136</v>
      </c>
      <c r="F155" s="7" t="n">
        <v>48</v>
      </c>
      <c r="G155" s="6" t="n">
        <v>35146</v>
      </c>
      <c r="H155" s="6" t="n">
        <v>18264</v>
      </c>
      <c r="I155" s="6" t="n">
        <v>16882</v>
      </c>
      <c r="J155" t="inlineStr">
        <is>
          <t>https://www2.census.gov/programs-surveys/susb/datasets/2022/msa_3digitnaics_2022.txt</t>
        </is>
      </c>
    </row>
    <row r="156">
      <c r="A156" t="inlineStr">
        <is>
          <t>metro</t>
        </is>
      </c>
      <c r="B156" t="inlineStr">
        <is>
          <t>Visalia, CA Metro Area</t>
        </is>
      </c>
      <c r="C156" t="inlineStr">
        <is>
          <t>47300</t>
        </is>
      </c>
      <c r="D156" s="7" t="n">
        <v>51.9</v>
      </c>
      <c r="E156" t="n">
        <v>51.89864864864865</v>
      </c>
      <c r="F156" s="7" t="n">
        <v>48.1</v>
      </c>
      <c r="G156" s="6" t="n">
        <v>103600</v>
      </c>
      <c r="H156" s="6" t="n">
        <v>53767</v>
      </c>
      <c r="I156" s="6" t="n">
        <v>49833</v>
      </c>
      <c r="J156" t="inlineStr">
        <is>
          <t>https://www2.census.gov/programs-surveys/susb/datasets/2022/msa_3digitnaics_2022.txt</t>
        </is>
      </c>
    </row>
    <row r="157">
      <c r="A157" t="inlineStr">
        <is>
          <t>metro</t>
        </is>
      </c>
      <c r="B157" t="inlineStr">
        <is>
          <t>Modesto, CA Metro Area</t>
        </is>
      </c>
      <c r="C157" t="inlineStr">
        <is>
          <t>33700</t>
        </is>
      </c>
      <c r="D157" s="7" t="n">
        <v>51.9</v>
      </c>
      <c r="E157" t="n">
        <v>51.87221543843437</v>
      </c>
      <c r="F157" s="7" t="n">
        <v>48.1</v>
      </c>
      <c r="G157" s="6" t="n">
        <v>151505</v>
      </c>
      <c r="H157" s="6" t="n">
        <v>78589</v>
      </c>
      <c r="I157" s="6" t="n">
        <v>72916</v>
      </c>
      <c r="J157" t="inlineStr">
        <is>
          <t>https://www2.census.gov/programs-surveys/susb/datasets/2022/msa_3digitnaics_2022.txt</t>
        </is>
      </c>
    </row>
    <row r="158">
      <c r="A158" t="inlineStr">
        <is>
          <t>metro</t>
        </is>
      </c>
      <c r="B158" t="inlineStr">
        <is>
          <t>Providence-Warwick, RI-MA Metro Area</t>
        </is>
      </c>
      <c r="C158" t="inlineStr">
        <is>
          <t>39300</t>
        </is>
      </c>
      <c r="D158" s="7" t="n">
        <v>51.7</v>
      </c>
      <c r="E158" t="n">
        <v>51.67062639061734</v>
      </c>
      <c r="F158" s="7" t="n">
        <v>48.3</v>
      </c>
      <c r="G158" s="6" t="n">
        <v>636408</v>
      </c>
      <c r="H158" s="6" t="n">
        <v>328836</v>
      </c>
      <c r="I158" s="6" t="n">
        <v>307572</v>
      </c>
      <c r="J158" t="inlineStr">
        <is>
          <t>https://www2.census.gov/programs-surveys/susb/datasets/2022/msa_3digitnaics_2022.txt</t>
        </is>
      </c>
    </row>
    <row r="159">
      <c r="A159" t="inlineStr">
        <is>
          <t>metro</t>
        </is>
      </c>
      <c r="B159" t="inlineStr">
        <is>
          <t>Monroe, MI Metro Area</t>
        </is>
      </c>
      <c r="C159" t="inlineStr">
        <is>
          <t>33780</t>
        </is>
      </c>
      <c r="D159" s="7" t="n">
        <v>51.7</v>
      </c>
      <c r="E159" t="n">
        <v>51.66716896353325</v>
      </c>
      <c r="F159" s="7" t="n">
        <v>48.3</v>
      </c>
      <c r="G159" s="6" t="n">
        <v>36499</v>
      </c>
      <c r="H159" s="6" t="n">
        <v>18858</v>
      </c>
      <c r="I159" s="6" t="n">
        <v>17641</v>
      </c>
      <c r="J159" t="inlineStr">
        <is>
          <t>https://www2.census.gov/programs-surveys/susb/datasets/2022/msa_3digitnaics_2022.txt</t>
        </is>
      </c>
    </row>
    <row r="160">
      <c r="A160" t="inlineStr">
        <is>
          <t>metro</t>
        </is>
      </c>
      <c r="B160" t="inlineStr">
        <is>
          <t>Ocala, FL Metro Area</t>
        </is>
      </c>
      <c r="C160" t="inlineStr">
        <is>
          <t>36100</t>
        </is>
      </c>
      <c r="D160" s="7" t="n">
        <v>51.6</v>
      </c>
      <c r="E160" t="n">
        <v>51.57701911662369</v>
      </c>
      <c r="F160" s="7" t="n">
        <v>48.4</v>
      </c>
      <c r="G160" s="6" t="n">
        <v>97716</v>
      </c>
      <c r="H160" s="6" t="n">
        <v>50399</v>
      </c>
      <c r="I160" s="6" t="n">
        <v>47317</v>
      </c>
      <c r="J160" t="inlineStr">
        <is>
          <t>https://www2.census.gov/programs-surveys/susb/datasets/2022/msa_3digitnaics_2022.txt</t>
        </is>
      </c>
    </row>
    <row r="161">
      <c r="A161" t="inlineStr">
        <is>
          <t>metro</t>
        </is>
      </c>
      <c r="B161" t="inlineStr">
        <is>
          <t>Mankato, MN Metro Area</t>
        </is>
      </c>
      <c r="C161" t="inlineStr">
        <is>
          <t>31860</t>
        </is>
      </c>
      <c r="D161" s="7" t="n">
        <v>51.6</v>
      </c>
      <c r="E161" t="n">
        <v>51.57304301030757</v>
      </c>
      <c r="F161" s="7" t="n">
        <v>48.4</v>
      </c>
      <c r="G161" s="6" t="n">
        <v>48314</v>
      </c>
      <c r="H161" s="6" t="n">
        <v>24917</v>
      </c>
      <c r="I161" s="6" t="n">
        <v>23397</v>
      </c>
      <c r="J161" t="inlineStr">
        <is>
          <t>https://www2.census.gov/programs-surveys/susb/datasets/2022/msa_3digitnaics_2022.txt</t>
        </is>
      </c>
    </row>
    <row r="162">
      <c r="A162" t="inlineStr">
        <is>
          <t>metro</t>
        </is>
      </c>
      <c r="B162" t="inlineStr">
        <is>
          <t>Oklahoma City, OK Metro Area</t>
        </is>
      </c>
      <c r="C162" t="inlineStr">
        <is>
          <t>36420</t>
        </is>
      </c>
      <c r="D162" s="7" t="n">
        <v>51.5</v>
      </c>
      <c r="E162" t="n">
        <v>51.51475264336606</v>
      </c>
      <c r="F162" s="7" t="n">
        <v>48.5</v>
      </c>
      <c r="G162" s="6" t="n">
        <v>531803</v>
      </c>
      <c r="H162" s="6" t="n">
        <v>273957</v>
      </c>
      <c r="I162" s="6" t="n">
        <v>257846</v>
      </c>
      <c r="J162" t="inlineStr">
        <is>
          <t>https://www2.census.gov/programs-surveys/susb/datasets/2022/msa_3digitnaics_2022.txt</t>
        </is>
      </c>
    </row>
    <row r="163">
      <c r="A163" t="inlineStr">
        <is>
          <t>metro</t>
        </is>
      </c>
      <c r="B163" t="inlineStr">
        <is>
          <t>New Orleans-Metairie, LA Metro Area</t>
        </is>
      </c>
      <c r="C163" t="inlineStr">
        <is>
          <t>35380</t>
        </is>
      </c>
      <c r="D163" s="7" t="n">
        <v>51.5</v>
      </c>
      <c r="E163" t="n">
        <v>51.48968181965865</v>
      </c>
      <c r="F163" s="7" t="n">
        <v>48.5</v>
      </c>
      <c r="G163" s="6" t="n">
        <v>400119</v>
      </c>
      <c r="H163" s="6" t="n">
        <v>206020</v>
      </c>
      <c r="I163" s="6" t="n">
        <v>194099</v>
      </c>
      <c r="J163" t="inlineStr">
        <is>
          <t>https://www2.census.gov/programs-surveys/susb/datasets/2022/msa_3digitnaics_2022.txt</t>
        </is>
      </c>
    </row>
    <row r="164">
      <c r="A164" t="inlineStr">
        <is>
          <t>metro</t>
        </is>
      </c>
      <c r="B164" t="inlineStr">
        <is>
          <t>Bridgeport-Stamford-Danbury, CT Metro Area</t>
        </is>
      </c>
      <c r="C164" t="inlineStr">
        <is>
          <t>14860</t>
        </is>
      </c>
      <c r="D164" s="7" t="n">
        <v>51.4</v>
      </c>
      <c r="E164" t="n">
        <v>51.37906709945299</v>
      </c>
      <c r="F164" s="7" t="n">
        <v>48.6</v>
      </c>
      <c r="G164" s="6" t="n">
        <v>398349</v>
      </c>
      <c r="H164" s="6" t="n">
        <v>204668</v>
      </c>
      <c r="I164" s="6" t="n">
        <v>193681</v>
      </c>
      <c r="J164" t="inlineStr">
        <is>
          <t>https://www2.census.gov/programs-surveys/susb/datasets/2022/msa_3digitnaics_2022.txt</t>
        </is>
      </c>
    </row>
    <row r="165">
      <c r="A165" t="inlineStr">
        <is>
          <t>metro</t>
        </is>
      </c>
      <c r="B165" t="inlineStr">
        <is>
          <t>Lebanon, PA Metro Area</t>
        </is>
      </c>
      <c r="C165" t="inlineStr">
        <is>
          <t>30140</t>
        </is>
      </c>
      <c r="D165" s="7" t="n">
        <v>51.3</v>
      </c>
      <c r="E165" t="n">
        <v>51.27262968849988</v>
      </c>
      <c r="F165" s="7" t="n">
        <v>48.7</v>
      </c>
      <c r="G165" s="6" t="n">
        <v>48443</v>
      </c>
      <c r="H165" s="6" t="n">
        <v>24838</v>
      </c>
      <c r="I165" s="6" t="n">
        <v>23605</v>
      </c>
      <c r="J165" t="inlineStr">
        <is>
          <t>https://www2.census.gov/programs-surveys/susb/datasets/2022/msa_3digitnaics_2022.txt</t>
        </is>
      </c>
    </row>
    <row r="166">
      <c r="A166" t="inlineStr">
        <is>
          <t>metro</t>
        </is>
      </c>
      <c r="B166" t="inlineStr">
        <is>
          <t>Urban Honolulu, HI Metro Area</t>
        </is>
      </c>
      <c r="C166" t="inlineStr">
        <is>
          <t>46520</t>
        </is>
      </c>
      <c r="D166" s="7" t="n">
        <v>51.3</v>
      </c>
      <c r="E166" t="n">
        <v>51.26030332005955</v>
      </c>
      <c r="F166" s="7" t="n">
        <v>48.7</v>
      </c>
      <c r="G166" s="6" t="n">
        <v>330476</v>
      </c>
      <c r="H166" s="6" t="n">
        <v>169403</v>
      </c>
      <c r="I166" s="6" t="n">
        <v>161073</v>
      </c>
      <c r="J166" t="inlineStr">
        <is>
          <t>https://www2.census.gov/programs-surveys/susb/datasets/2022/msa_3digitnaics_2022.txt</t>
        </is>
      </c>
    </row>
    <row r="167">
      <c r="A167" t="inlineStr">
        <is>
          <t>metro</t>
        </is>
      </c>
      <c r="B167" t="inlineStr">
        <is>
          <t>Muskegon-Norton Shores, MI Metro Area</t>
        </is>
      </c>
      <c r="C167" t="inlineStr">
        <is>
          <t>34740</t>
        </is>
      </c>
      <c r="D167" s="7" t="n">
        <v>51.2</v>
      </c>
      <c r="E167" t="n">
        <v>51.24306515441274</v>
      </c>
      <c r="F167" s="7" t="n">
        <v>48.8</v>
      </c>
      <c r="G167" s="6" t="n">
        <v>52813</v>
      </c>
      <c r="H167" s="6" t="n">
        <v>27063</v>
      </c>
      <c r="I167" s="6" t="n">
        <v>25750</v>
      </c>
      <c r="J167" t="inlineStr">
        <is>
          <t>https://www2.census.gov/programs-surveys/susb/datasets/2022/msa_3digitnaics_2022.txt</t>
        </is>
      </c>
    </row>
    <row r="168">
      <c r="A168" t="inlineStr">
        <is>
          <t>metro</t>
        </is>
      </c>
      <c r="B168" t="inlineStr">
        <is>
          <t>Dubuque, IA Metro Area</t>
        </is>
      </c>
      <c r="C168" t="inlineStr">
        <is>
          <t>20220</t>
        </is>
      </c>
      <c r="D168" s="7" t="n">
        <v>51.2</v>
      </c>
      <c r="E168" t="n">
        <v>51.16871688635489</v>
      </c>
      <c r="F168" s="7" t="n">
        <v>48.8</v>
      </c>
      <c r="G168" s="6" t="n">
        <v>54547</v>
      </c>
      <c r="H168" s="6" t="n">
        <v>27911</v>
      </c>
      <c r="I168" s="6" t="n">
        <v>26636</v>
      </c>
      <c r="J168" t="inlineStr">
        <is>
          <t>https://www2.census.gov/programs-surveys/susb/datasets/2022/msa_3digitnaics_2022.txt</t>
        </is>
      </c>
    </row>
    <row r="169">
      <c r="A169" t="inlineStr">
        <is>
          <t>metro</t>
        </is>
      </c>
      <c r="B169" t="inlineStr">
        <is>
          <t>San Diego-Chula Vista-Carlsbad, CA Metro Area</t>
        </is>
      </c>
      <c r="C169" t="inlineStr">
        <is>
          <t>41740</t>
        </is>
      </c>
      <c r="D169" s="7" t="n">
        <v>51.1</v>
      </c>
      <c r="E169" t="n">
        <v>51.07957861572711</v>
      </c>
      <c r="F169" s="7" t="n">
        <v>48.9</v>
      </c>
      <c r="G169" s="6" t="n">
        <v>1338161</v>
      </c>
      <c r="H169" s="6" t="n">
        <v>683527</v>
      </c>
      <c r="I169" s="6" t="n">
        <v>654634</v>
      </c>
      <c r="J169" t="inlineStr">
        <is>
          <t>https://www2.census.gov/programs-surveys/susb/datasets/2022/msa_3digitnaics_2022.txt</t>
        </is>
      </c>
    </row>
    <row r="170">
      <c r="A170" t="inlineStr">
        <is>
          <t>metro</t>
        </is>
      </c>
      <c r="B170" t="inlineStr">
        <is>
          <t>Merced, CA Metro Area</t>
        </is>
      </c>
      <c r="C170" t="inlineStr">
        <is>
          <t>32900</t>
        </is>
      </c>
      <c r="D170" s="7" t="n">
        <v>51</v>
      </c>
      <c r="E170" t="n">
        <v>50.98830590913795</v>
      </c>
      <c r="F170" s="7" t="n">
        <v>49</v>
      </c>
      <c r="G170" s="6" t="n">
        <v>48315</v>
      </c>
      <c r="H170" s="6" t="n">
        <v>24635</v>
      </c>
      <c r="I170" s="6" t="n">
        <v>23680</v>
      </c>
      <c r="J170" t="inlineStr">
        <is>
          <t>https://www2.census.gov/programs-surveys/susb/datasets/2022/msa_3digitnaics_2022.txt</t>
        </is>
      </c>
    </row>
    <row r="171">
      <c r="A171" t="inlineStr">
        <is>
          <t>metro</t>
        </is>
      </c>
      <c r="B171" t="inlineStr">
        <is>
          <t>Beaumont-Port Arthur, TX Metro Area</t>
        </is>
      </c>
      <c r="C171" t="inlineStr">
        <is>
          <t>13140</t>
        </is>
      </c>
      <c r="D171" s="7" t="n">
        <v>51</v>
      </c>
      <c r="E171" t="n">
        <v>50.96273145603317</v>
      </c>
      <c r="F171" s="7" t="n">
        <v>49</v>
      </c>
      <c r="G171" s="6" t="n">
        <v>127346</v>
      </c>
      <c r="H171" s="6" t="n">
        <v>64899</v>
      </c>
      <c r="I171" s="6" t="n">
        <v>62447</v>
      </c>
      <c r="J171" t="inlineStr">
        <is>
          <t>https://www2.census.gov/programs-surveys/susb/datasets/2022/msa_3digitnaics_2022.txt</t>
        </is>
      </c>
    </row>
    <row r="172">
      <c r="A172" t="inlineStr">
        <is>
          <t>metro</t>
        </is>
      </c>
      <c r="B172" t="inlineStr">
        <is>
          <t>Tulsa, OK Metro Area</t>
        </is>
      </c>
      <c r="C172" t="inlineStr">
        <is>
          <t>46140</t>
        </is>
      </c>
      <c r="D172" s="7" t="n">
        <v>50.9</v>
      </c>
      <c r="E172" t="n">
        <v>50.94609570756902</v>
      </c>
      <c r="F172" s="7" t="n">
        <v>49.1</v>
      </c>
      <c r="G172" s="6" t="n">
        <v>390711</v>
      </c>
      <c r="H172" s="6" t="n">
        <v>199052</v>
      </c>
      <c r="I172" s="6" t="n">
        <v>191659</v>
      </c>
      <c r="J172" t="inlineStr">
        <is>
          <t>https://www2.census.gov/programs-surveys/susb/datasets/2022/msa_3digitnaics_2022.txt</t>
        </is>
      </c>
    </row>
    <row r="173">
      <c r="A173" t="inlineStr">
        <is>
          <t>metro</t>
        </is>
      </c>
      <c r="B173" t="inlineStr">
        <is>
          <t>McAllen-Edinburg-Mission, TX Metro Area</t>
        </is>
      </c>
      <c r="C173" t="inlineStr">
        <is>
          <t>32580</t>
        </is>
      </c>
      <c r="D173" s="7" t="n">
        <v>50.9</v>
      </c>
      <c r="E173" t="n">
        <v>50.9047382447265</v>
      </c>
      <c r="F173" s="7" t="n">
        <v>49.1</v>
      </c>
      <c r="G173" s="6" t="n">
        <v>221390</v>
      </c>
      <c r="H173" s="6" t="n">
        <v>112698</v>
      </c>
      <c r="I173" s="6" t="n">
        <v>108692</v>
      </c>
      <c r="J173" t="inlineStr">
        <is>
          <t>https://www2.census.gov/programs-surveys/susb/datasets/2022/msa_3digitnaics_2022.txt</t>
        </is>
      </c>
    </row>
    <row r="174">
      <c r="A174" t="inlineStr">
        <is>
          <t>metro</t>
        </is>
      </c>
      <c r="B174" t="inlineStr">
        <is>
          <t>Anchorage, AK Metro Area</t>
        </is>
      </c>
      <c r="C174" t="inlineStr">
        <is>
          <t>11260</t>
        </is>
      </c>
      <c r="D174" s="7" t="n">
        <v>50.9</v>
      </c>
      <c r="E174" t="n">
        <v>50.85404787637113</v>
      </c>
      <c r="F174" s="7" t="n">
        <v>49.1</v>
      </c>
      <c r="G174" s="6" t="n">
        <v>160998</v>
      </c>
      <c r="H174" s="6" t="n">
        <v>81874</v>
      </c>
      <c r="I174" s="6" t="n">
        <v>79124</v>
      </c>
      <c r="J174" t="inlineStr">
        <is>
          <t>https://www2.census.gov/programs-surveys/susb/datasets/2022/msa_3digitnaics_2022.txt</t>
        </is>
      </c>
    </row>
    <row r="175">
      <c r="A175" t="inlineStr">
        <is>
          <t>metro</t>
        </is>
      </c>
      <c r="B175" t="inlineStr">
        <is>
          <t>Atlantic City-Hammonton, NJ Metro Area</t>
        </is>
      </c>
      <c r="C175" t="inlineStr">
        <is>
          <t>12100</t>
        </is>
      </c>
      <c r="D175" s="7" t="n">
        <v>50.8</v>
      </c>
      <c r="E175" t="n">
        <v>50.83965370803594</v>
      </c>
      <c r="F175" s="7" t="n">
        <v>49.2</v>
      </c>
      <c r="G175" s="6" t="n">
        <v>134222</v>
      </c>
      <c r="H175" s="6" t="n">
        <v>68238</v>
      </c>
      <c r="I175" s="6" t="n">
        <v>65984</v>
      </c>
      <c r="J175" t="inlineStr">
        <is>
          <t>https://www2.census.gov/programs-surveys/susb/datasets/2022/msa_3digitnaics_2022.txt</t>
        </is>
      </c>
    </row>
    <row r="176">
      <c r="A176" t="inlineStr">
        <is>
          <t>metro</t>
        </is>
      </c>
      <c r="B176" t="inlineStr">
        <is>
          <t>Fargo, ND-MN Metro Area</t>
        </is>
      </c>
      <c r="C176" t="inlineStr">
        <is>
          <t>22020</t>
        </is>
      </c>
      <c r="D176" s="7" t="n">
        <v>50.7</v>
      </c>
      <c r="E176" t="n">
        <v>50.66274050419629</v>
      </c>
      <c r="F176" s="7" t="n">
        <v>49.3</v>
      </c>
      <c r="G176" s="6" t="n">
        <v>124634</v>
      </c>
      <c r="H176" s="6" t="n">
        <v>63143</v>
      </c>
      <c r="I176" s="6" t="n">
        <v>61491</v>
      </c>
      <c r="J176" t="inlineStr">
        <is>
          <t>https://www2.census.gov/programs-surveys/susb/datasets/2022/msa_3digitnaics_2022.txt</t>
        </is>
      </c>
    </row>
    <row r="177">
      <c r="A177" t="inlineStr">
        <is>
          <t>metro</t>
        </is>
      </c>
      <c r="B177" t="inlineStr">
        <is>
          <t>Wildwood-The Villages, FL Metro Area</t>
        </is>
      </c>
      <c r="C177" t="inlineStr">
        <is>
          <t>48680</t>
        </is>
      </c>
      <c r="D177" s="7" t="n">
        <v>50.6</v>
      </c>
      <c r="E177" t="n">
        <v>50.58436005447692</v>
      </c>
      <c r="F177" s="7" t="n">
        <v>49.4</v>
      </c>
      <c r="G177" s="6" t="n">
        <v>31573</v>
      </c>
      <c r="H177" s="6" t="n">
        <v>15971</v>
      </c>
      <c r="I177" s="6" t="n">
        <v>15602</v>
      </c>
      <c r="J177" t="inlineStr">
        <is>
          <t>https://www2.census.gov/programs-surveys/susb/datasets/2022/msa_3digitnaics_2022.txt</t>
        </is>
      </c>
    </row>
    <row r="178">
      <c r="A178" t="inlineStr">
        <is>
          <t>metro</t>
        </is>
      </c>
      <c r="B178" t="inlineStr">
        <is>
          <t>Grand Rapids-Wyoming-Kentwood, MI Metro Area</t>
        </is>
      </c>
      <c r="C178" t="inlineStr">
        <is>
          <t>24340</t>
        </is>
      </c>
      <c r="D178" s="7" t="n">
        <v>50.6</v>
      </c>
      <c r="E178" t="n">
        <v>50.55443319562355</v>
      </c>
      <c r="F178" s="7" t="n">
        <v>49.4</v>
      </c>
      <c r="G178" s="6" t="n">
        <v>528648</v>
      </c>
      <c r="H178" s="6" t="n">
        <v>267255</v>
      </c>
      <c r="I178" s="6" t="n">
        <v>261393</v>
      </c>
      <c r="J178" t="inlineStr">
        <is>
          <t>https://www2.census.gov/programs-surveys/susb/datasets/2022/msa_3digitnaics_2022.txt</t>
        </is>
      </c>
    </row>
    <row r="179">
      <c r="A179" t="inlineStr">
        <is>
          <t>metro</t>
        </is>
      </c>
      <c r="B179" t="inlineStr">
        <is>
          <t>Provo-Orem-Lehi, UT Metro Area</t>
        </is>
      </c>
      <c r="C179" t="inlineStr">
        <is>
          <t>39340</t>
        </is>
      </c>
      <c r="D179" s="7" t="n">
        <v>50.5</v>
      </c>
      <c r="E179" t="n">
        <v>50.5024146777122</v>
      </c>
      <c r="F179" s="7" t="n">
        <v>49.5</v>
      </c>
      <c r="G179" s="6" t="n">
        <v>272086</v>
      </c>
      <c r="H179" s="6" t="n">
        <v>137410</v>
      </c>
      <c r="I179" s="6" t="n">
        <v>134676</v>
      </c>
      <c r="J179" t="inlineStr">
        <is>
          <t>https://www2.census.gov/programs-surveys/susb/datasets/2022/msa_3digitnaics_2022.txt</t>
        </is>
      </c>
    </row>
    <row r="180">
      <c r="A180" t="inlineStr">
        <is>
          <t>metro</t>
        </is>
      </c>
      <c r="B180" t="inlineStr">
        <is>
          <t>Williamsport, PA Metro Area</t>
        </is>
      </c>
      <c r="C180" t="inlineStr">
        <is>
          <t>48700</t>
        </is>
      </c>
      <c r="D180" s="7" t="n">
        <v>50.5</v>
      </c>
      <c r="E180" t="n">
        <v>50.45263320191185</v>
      </c>
      <c r="F180" s="7" t="n">
        <v>49.5</v>
      </c>
      <c r="G180" s="6" t="n">
        <v>45401</v>
      </c>
      <c r="H180" s="6" t="n">
        <v>22906</v>
      </c>
      <c r="I180" s="6" t="n">
        <v>22495</v>
      </c>
      <c r="J180" t="inlineStr">
        <is>
          <t>https://www2.census.gov/programs-surveys/susb/datasets/2022/msa_3digitnaics_2022.txt</t>
        </is>
      </c>
    </row>
    <row r="181">
      <c r="A181" t="inlineStr">
        <is>
          <t>metro</t>
        </is>
      </c>
      <c r="B181" t="inlineStr">
        <is>
          <t>Sacramento-Roseville-Folsom, CA Metro Area</t>
        </is>
      </c>
      <c r="C181" t="inlineStr">
        <is>
          <t>40900</t>
        </is>
      </c>
      <c r="D181" s="7" t="n">
        <v>50.4</v>
      </c>
      <c r="E181" t="n">
        <v>50.44625159772521</v>
      </c>
      <c r="F181" s="7" t="n">
        <v>49.6</v>
      </c>
      <c r="G181" s="6" t="n">
        <v>809745</v>
      </c>
      <c r="H181" s="6" t="n">
        <v>408486</v>
      </c>
      <c r="I181" s="6" t="n">
        <v>401259</v>
      </c>
      <c r="J181" t="inlineStr">
        <is>
          <t>https://www2.census.gov/programs-surveys/susb/datasets/2022/msa_3digitnaics_2022.txt</t>
        </is>
      </c>
    </row>
    <row r="182">
      <c r="A182" t="inlineStr">
        <is>
          <t>metro</t>
        </is>
      </c>
      <c r="B182" t="inlineStr">
        <is>
          <t>Goldsboro, NC Metro Area</t>
        </is>
      </c>
      <c r="C182" t="inlineStr">
        <is>
          <t>24140</t>
        </is>
      </c>
      <c r="D182" s="7" t="n">
        <v>50.4</v>
      </c>
      <c r="E182" t="n">
        <v>50.43718361711919</v>
      </c>
      <c r="F182" s="7" t="n">
        <v>49.6</v>
      </c>
      <c r="G182" s="6" t="n">
        <v>32595</v>
      </c>
      <c r="H182" s="6" t="n">
        <v>16440</v>
      </c>
      <c r="I182" s="6" t="n">
        <v>16155</v>
      </c>
      <c r="J182" t="inlineStr">
        <is>
          <t>https://www2.census.gov/programs-surveys/susb/datasets/2022/msa_3digitnaics_2022.txt</t>
        </is>
      </c>
    </row>
    <row r="183">
      <c r="A183" t="inlineStr">
        <is>
          <t>metro</t>
        </is>
      </c>
      <c r="B183" t="inlineStr">
        <is>
          <t>Palm Bay-Melbourne-Titusville, FL Metro Area</t>
        </is>
      </c>
      <c r="C183" t="inlineStr">
        <is>
          <t>37340</t>
        </is>
      </c>
      <c r="D183" s="7" t="n">
        <v>50.3</v>
      </c>
      <c r="E183" t="n">
        <v>50.30403822489046</v>
      </c>
      <c r="F183" s="7" t="n">
        <v>49.7</v>
      </c>
      <c r="G183" s="6" t="n">
        <v>194219</v>
      </c>
      <c r="H183" s="6" t="n">
        <v>97700</v>
      </c>
      <c r="I183" s="6" t="n">
        <v>96519</v>
      </c>
      <c r="J183" t="inlineStr">
        <is>
          <t>https://www2.census.gov/programs-surveys/susb/datasets/2022/msa_3digitnaics_2022.txt</t>
        </is>
      </c>
    </row>
    <row r="184">
      <c r="A184" t="inlineStr">
        <is>
          <t>metro</t>
        </is>
      </c>
      <c r="B184" t="inlineStr">
        <is>
          <t>Reno, NV Metro Area</t>
        </is>
      </c>
      <c r="C184" t="inlineStr">
        <is>
          <t>39900</t>
        </is>
      </c>
      <c r="D184" s="7" t="n">
        <v>50.3</v>
      </c>
      <c r="E184" t="n">
        <v>50.28075438422069</v>
      </c>
      <c r="F184" s="7" t="n">
        <v>49.7</v>
      </c>
      <c r="G184" s="6" t="n">
        <v>231341</v>
      </c>
      <c r="H184" s="6" t="n">
        <v>116320</v>
      </c>
      <c r="I184" s="6" t="n">
        <v>115021</v>
      </c>
      <c r="J184" t="inlineStr">
        <is>
          <t>https://www2.census.gov/programs-surveys/susb/datasets/2022/msa_3digitnaics_2022.txt</t>
        </is>
      </c>
    </row>
    <row r="185">
      <c r="A185" t="inlineStr">
        <is>
          <t>metro</t>
        </is>
      </c>
      <c r="B185" t="inlineStr">
        <is>
          <t>Portland-Vancouver-Hillsboro, OR-WA Metro Area</t>
        </is>
      </c>
      <c r="C185" t="inlineStr">
        <is>
          <t>38900</t>
        </is>
      </c>
      <c r="D185" s="7" t="n">
        <v>50.2</v>
      </c>
      <c r="E185" t="n">
        <v>50.23858151189219</v>
      </c>
      <c r="F185" s="7" t="n">
        <v>49.8</v>
      </c>
      <c r="G185" s="6" t="n">
        <v>1084535</v>
      </c>
      <c r="H185" s="6" t="n">
        <v>544855</v>
      </c>
      <c r="I185" s="6" t="n">
        <v>539680</v>
      </c>
      <c r="J185" t="inlineStr">
        <is>
          <t>https://www2.census.gov/programs-surveys/susb/datasets/2022/msa_3digitnaics_2022.txt</t>
        </is>
      </c>
    </row>
    <row r="186">
      <c r="A186" t="inlineStr">
        <is>
          <t>metro</t>
        </is>
      </c>
      <c r="B186" t="inlineStr">
        <is>
          <t>Manchester-Nashua, NH Metro Area</t>
        </is>
      </c>
      <c r="C186" t="inlineStr">
        <is>
          <t>31700</t>
        </is>
      </c>
      <c r="D186" s="7" t="n">
        <v>50.2</v>
      </c>
      <c r="E186" t="n">
        <v>50.23345711989924</v>
      </c>
      <c r="F186" s="7" t="n">
        <v>49.8</v>
      </c>
      <c r="G186" s="6" t="n">
        <v>184188</v>
      </c>
      <c r="H186" s="6" t="n">
        <v>92524</v>
      </c>
      <c r="I186" s="6" t="n">
        <v>91664</v>
      </c>
      <c r="J186" t="inlineStr">
        <is>
          <t>https://www2.census.gov/programs-surveys/susb/datasets/2022/msa_3digitnaics_2022.txt</t>
        </is>
      </c>
    </row>
    <row r="187">
      <c r="A187" t="inlineStr">
        <is>
          <t>metro</t>
        </is>
      </c>
      <c r="B187" t="inlineStr">
        <is>
          <t>New York-Newark-Jersey City, NY-NJ Metro Area</t>
        </is>
      </c>
      <c r="C187" t="inlineStr">
        <is>
          <t>35620</t>
        </is>
      </c>
      <c r="D187" s="7" t="n">
        <v>50.2</v>
      </c>
      <c r="E187" t="n">
        <v>50.22019555119687</v>
      </c>
      <c r="F187" s="7" t="n">
        <v>49.8</v>
      </c>
      <c r="G187" s="6" t="n">
        <v>8206342</v>
      </c>
      <c r="H187" s="6" t="n">
        <v>4121241</v>
      </c>
      <c r="I187" s="6" t="n">
        <v>4085101</v>
      </c>
      <c r="J187" t="inlineStr">
        <is>
          <t>https://www2.census.gov/programs-surveys/susb/datasets/2022/msa_3digitnaics_2022.txt</t>
        </is>
      </c>
    </row>
    <row r="188">
      <c r="A188" t="inlineStr">
        <is>
          <t>metro</t>
        </is>
      </c>
      <c r="B188" t="inlineStr">
        <is>
          <t>Sandusky, OH Metro Area</t>
        </is>
      </c>
      <c r="C188" t="inlineStr">
        <is>
          <t>41780</t>
        </is>
      </c>
      <c r="D188" s="7" t="n">
        <v>50.1</v>
      </c>
      <c r="E188" t="n">
        <v>50.14623011627078</v>
      </c>
      <c r="F188" s="7" t="n">
        <v>49.9</v>
      </c>
      <c r="G188" s="6" t="n">
        <v>42057</v>
      </c>
      <c r="H188" s="6" t="n">
        <v>21090</v>
      </c>
      <c r="I188" s="6" t="n">
        <v>20967</v>
      </c>
      <c r="J188" t="inlineStr">
        <is>
          <t>https://www2.census.gov/programs-surveys/susb/datasets/2022/msa_3digitnaics_2022.txt</t>
        </is>
      </c>
    </row>
    <row r="189">
      <c r="A189" t="inlineStr">
        <is>
          <t>metro</t>
        </is>
      </c>
      <c r="B189" t="inlineStr">
        <is>
          <t>Yuma, AZ Metro Area</t>
        </is>
      </c>
      <c r="C189" t="inlineStr">
        <is>
          <t>49740</t>
        </is>
      </c>
      <c r="D189" s="7" t="n">
        <v>50</v>
      </c>
      <c r="E189" t="n">
        <v>49.99025872817955</v>
      </c>
      <c r="F189" s="7" t="n">
        <v>50</v>
      </c>
      <c r="G189" s="6" t="n">
        <v>51328</v>
      </c>
      <c r="H189" s="6" t="n">
        <v>25659</v>
      </c>
      <c r="I189" s="6" t="n">
        <v>25669</v>
      </c>
      <c r="J189" t="inlineStr">
        <is>
          <t>https://www2.census.gov/programs-surveys/susb/datasets/2022/msa_3digitnaics_2022.txt</t>
        </is>
      </c>
    </row>
    <row r="190">
      <c r="A190" t="inlineStr">
        <is>
          <t>metro</t>
        </is>
      </c>
      <c r="B190" t="inlineStr">
        <is>
          <t>Wichita, KS Metro Area</t>
        </is>
      </c>
      <c r="C190" t="inlineStr">
        <is>
          <t>48620</t>
        </is>
      </c>
      <c r="D190" s="7" t="n">
        <v>49.9</v>
      </c>
      <c r="E190" t="n">
        <v>49.93976042298159</v>
      </c>
      <c r="F190" s="7" t="n">
        <v>50.1</v>
      </c>
      <c r="G190" s="6" t="n">
        <v>260626</v>
      </c>
      <c r="H190" s="6" t="n">
        <v>130156</v>
      </c>
      <c r="I190" s="6" t="n">
        <v>130470</v>
      </c>
      <c r="J190" t="inlineStr">
        <is>
          <t>https://www2.census.gov/programs-surveys/susb/datasets/2022/msa_3digitnaics_2022.txt</t>
        </is>
      </c>
    </row>
    <row r="191">
      <c r="A191" t="inlineStr">
        <is>
          <t>metro</t>
        </is>
      </c>
      <c r="B191" t="inlineStr">
        <is>
          <t>El Paso, TX Metro Area</t>
        </is>
      </c>
      <c r="C191" t="inlineStr">
        <is>
          <t>21340</t>
        </is>
      </c>
      <c r="D191" s="7" t="n">
        <v>49.9</v>
      </c>
      <c r="E191" t="n">
        <v>49.91780976074401</v>
      </c>
      <c r="F191" s="7" t="n">
        <v>50.1</v>
      </c>
      <c r="G191" s="6" t="n">
        <v>248813</v>
      </c>
      <c r="H191" s="6" t="n">
        <v>124202</v>
      </c>
      <c r="I191" s="6" t="n">
        <v>124611</v>
      </c>
      <c r="J191" t="inlineStr">
        <is>
          <t>https://www2.census.gov/programs-surveys/susb/datasets/2022/msa_3digitnaics_2022.txt</t>
        </is>
      </c>
    </row>
    <row r="192">
      <c r="A192" t="inlineStr">
        <is>
          <t>metro</t>
        </is>
      </c>
      <c r="B192" t="inlineStr">
        <is>
          <t>Warner Robins, GA Metro Area</t>
        </is>
      </c>
      <c r="C192" t="inlineStr">
        <is>
          <t>47580</t>
        </is>
      </c>
      <c r="D192" s="7" t="n">
        <v>49.9</v>
      </c>
      <c r="E192" t="n">
        <v>49.90578462161888</v>
      </c>
      <c r="F192" s="7" t="n">
        <v>50.1</v>
      </c>
      <c r="G192" s="6" t="n">
        <v>49355</v>
      </c>
      <c r="H192" s="6" t="n">
        <v>24631</v>
      </c>
      <c r="I192" s="6" t="n">
        <v>24724</v>
      </c>
      <c r="J192" t="inlineStr">
        <is>
          <t>https://www2.census.gov/programs-surveys/susb/datasets/2022/msa_3digitnaics_2022.txt</t>
        </is>
      </c>
    </row>
    <row r="193">
      <c r="A193" t="inlineStr">
        <is>
          <t>metro</t>
        </is>
      </c>
      <c r="B193" t="inlineStr">
        <is>
          <t>Baton Rouge, LA Metro Area</t>
        </is>
      </c>
      <c r="C193" t="inlineStr">
        <is>
          <t>12940</t>
        </is>
      </c>
      <c r="D193" s="7" t="n">
        <v>49.8</v>
      </c>
      <c r="E193" t="n">
        <v>49.81805783350675</v>
      </c>
      <c r="F193" s="7" t="n">
        <v>50.2</v>
      </c>
      <c r="G193" s="6" t="n">
        <v>340218</v>
      </c>
      <c r="H193" s="6" t="n">
        <v>169490</v>
      </c>
      <c r="I193" s="6" t="n">
        <v>170728</v>
      </c>
      <c r="J193" t="inlineStr">
        <is>
          <t>https://www2.census.gov/programs-surveys/susb/datasets/2022/msa_3digitnaics_2022.txt</t>
        </is>
      </c>
    </row>
    <row r="194">
      <c r="A194" t="inlineStr">
        <is>
          <t>metro</t>
        </is>
      </c>
      <c r="B194" t="inlineStr">
        <is>
          <t>Erie, PA Metro Area</t>
        </is>
      </c>
      <c r="C194" t="inlineStr">
        <is>
          <t>21500</t>
        </is>
      </c>
      <c r="D194" s="7" t="n">
        <v>49.8</v>
      </c>
      <c r="E194" t="n">
        <v>49.80102432321502</v>
      </c>
      <c r="F194" s="7" t="n">
        <v>50.2</v>
      </c>
      <c r="G194" s="6" t="n">
        <v>112074</v>
      </c>
      <c r="H194" s="6" t="n">
        <v>55814</v>
      </c>
      <c r="I194" s="6" t="n">
        <v>56260</v>
      </c>
      <c r="J194" t="inlineStr">
        <is>
          <t>https://www2.census.gov/programs-surveys/susb/datasets/2022/msa_3digitnaics_2022.txt</t>
        </is>
      </c>
    </row>
    <row r="195">
      <c r="A195" t="inlineStr">
        <is>
          <t>metro</t>
        </is>
      </c>
      <c r="B195" t="inlineStr">
        <is>
          <t>Abilene, TX Metro Area</t>
        </is>
      </c>
      <c r="C195" t="inlineStr">
        <is>
          <t>10180</t>
        </is>
      </c>
      <c r="D195" s="7" t="n">
        <v>49.8</v>
      </c>
      <c r="E195" t="n">
        <v>49.7795042427523</v>
      </c>
      <c r="F195" s="7" t="n">
        <v>50.2</v>
      </c>
      <c r="G195" s="6" t="n">
        <v>62813</v>
      </c>
      <c r="H195" s="6" t="n">
        <v>31268</v>
      </c>
      <c r="I195" s="6" t="n">
        <v>31545</v>
      </c>
      <c r="J195" t="inlineStr">
        <is>
          <t>https://www2.census.gov/programs-surveys/susb/datasets/2022/msa_3digitnaics_2022.txt</t>
        </is>
      </c>
    </row>
    <row r="196">
      <c r="A196" t="inlineStr">
        <is>
          <t>metro</t>
        </is>
      </c>
      <c r="B196" t="inlineStr">
        <is>
          <t>Buffalo-Cheektowaga, NY Metro Area</t>
        </is>
      </c>
      <c r="C196" t="inlineStr">
        <is>
          <t>15380</t>
        </is>
      </c>
      <c r="D196" s="7" t="n">
        <v>49.7</v>
      </c>
      <c r="E196" t="n">
        <v>49.74710214631661</v>
      </c>
      <c r="F196" s="7" t="n">
        <v>50.3</v>
      </c>
      <c r="G196" s="6" t="n">
        <v>475093</v>
      </c>
      <c r="H196" s="6" t="n">
        <v>236345</v>
      </c>
      <c r="I196" s="6" t="n">
        <v>238748</v>
      </c>
      <c r="J196" t="inlineStr">
        <is>
          <t>https://www2.census.gov/programs-surveys/susb/datasets/2022/msa_3digitnaics_2022.txt</t>
        </is>
      </c>
    </row>
    <row r="197">
      <c r="A197" t="inlineStr">
        <is>
          <t>metro</t>
        </is>
      </c>
      <c r="B197" t="inlineStr">
        <is>
          <t>Lawton, OK Metro Area</t>
        </is>
      </c>
      <c r="C197" t="inlineStr">
        <is>
          <t>30020</t>
        </is>
      </c>
      <c r="D197" s="7" t="n">
        <v>49.7</v>
      </c>
      <c r="E197" t="n">
        <v>49.71465744108342</v>
      </c>
      <c r="F197" s="7" t="n">
        <v>50.3</v>
      </c>
      <c r="G197" s="6" t="n">
        <v>33819</v>
      </c>
      <c r="H197" s="6" t="n">
        <v>16813</v>
      </c>
      <c r="I197" s="6" t="n">
        <v>17006</v>
      </c>
      <c r="J197" t="inlineStr">
        <is>
          <t>https://www2.census.gov/programs-surveys/susb/datasets/2022/msa_3digitnaics_2022.txt</t>
        </is>
      </c>
    </row>
    <row r="198">
      <c r="A198" t="inlineStr">
        <is>
          <t>metro</t>
        </is>
      </c>
      <c r="B198" t="inlineStr">
        <is>
          <t>Appleton, WI Metro Area</t>
        </is>
      </c>
      <c r="C198" t="inlineStr">
        <is>
          <t>11540</t>
        </is>
      </c>
      <c r="D198" s="7" t="n">
        <v>49.6</v>
      </c>
      <c r="E198" t="n">
        <v>49.61017824173324</v>
      </c>
      <c r="F198" s="7" t="n">
        <v>50.4</v>
      </c>
      <c r="G198" s="6" t="n">
        <v>114283</v>
      </c>
      <c r="H198" s="6" t="n">
        <v>56696</v>
      </c>
      <c r="I198" s="6" t="n">
        <v>57587</v>
      </c>
      <c r="J198" t="inlineStr">
        <is>
          <t>https://www2.census.gov/programs-surveys/susb/datasets/2022/msa_3digitnaics_2022.txt</t>
        </is>
      </c>
    </row>
    <row r="199">
      <c r="A199" t="inlineStr">
        <is>
          <t>metro</t>
        </is>
      </c>
      <c r="B199" t="inlineStr">
        <is>
          <t>Albany, GA Metro Area</t>
        </is>
      </c>
      <c r="C199" t="inlineStr">
        <is>
          <t>10500</t>
        </is>
      </c>
      <c r="D199" s="7" t="n">
        <v>49.6</v>
      </c>
      <c r="E199" t="n">
        <v>49.60830173255523</v>
      </c>
      <c r="F199" s="7" t="n">
        <v>50.4</v>
      </c>
      <c r="G199" s="6" t="n">
        <v>44039</v>
      </c>
      <c r="H199" s="6" t="n">
        <v>21847</v>
      </c>
      <c r="I199" s="6" t="n">
        <v>22192</v>
      </c>
      <c r="J199" t="inlineStr">
        <is>
          <t>https://www2.census.gov/programs-surveys/susb/datasets/2022/msa_3digitnaics_2022.txt</t>
        </is>
      </c>
    </row>
    <row r="200">
      <c r="A200" t="inlineStr">
        <is>
          <t>metro</t>
        </is>
      </c>
      <c r="B200" t="inlineStr">
        <is>
          <t>Gainesville, FL Metro Area</t>
        </is>
      </c>
      <c r="C200" t="inlineStr">
        <is>
          <t>23540</t>
        </is>
      </c>
      <c r="D200" s="7" t="n">
        <v>49.6</v>
      </c>
      <c r="E200" t="n">
        <v>49.56445177122946</v>
      </c>
      <c r="F200" s="7" t="n">
        <v>50.4</v>
      </c>
      <c r="G200" s="6" t="n">
        <v>106762</v>
      </c>
      <c r="H200" s="6" t="n">
        <v>52916</v>
      </c>
      <c r="I200" s="6" t="n">
        <v>53846</v>
      </c>
      <c r="J200" t="inlineStr">
        <is>
          <t>https://www2.census.gov/programs-surveys/susb/datasets/2022/msa_3digitnaics_2022.txt</t>
        </is>
      </c>
    </row>
    <row r="201">
      <c r="A201" t="inlineStr">
        <is>
          <t>metro</t>
        </is>
      </c>
      <c r="B201" t="inlineStr">
        <is>
          <t>Springfield, MA Metro Area</t>
        </is>
      </c>
      <c r="C201" t="inlineStr">
        <is>
          <t>44140</t>
        </is>
      </c>
      <c r="D201" s="7" t="n">
        <v>49.6</v>
      </c>
      <c r="E201" t="n">
        <v>49.55380483863301</v>
      </c>
      <c r="F201" s="7" t="n">
        <v>50.4</v>
      </c>
      <c r="G201" s="6" t="n">
        <v>168312</v>
      </c>
      <c r="H201" s="6" t="n">
        <v>83405</v>
      </c>
      <c r="I201" s="6" t="n">
        <v>84907</v>
      </c>
      <c r="J201" t="inlineStr">
        <is>
          <t>https://www2.census.gov/programs-surveys/susb/datasets/2022/msa_3digitnaics_2022.txt</t>
        </is>
      </c>
    </row>
    <row r="202">
      <c r="A202" t="inlineStr">
        <is>
          <t>metro</t>
        </is>
      </c>
      <c r="B202" t="inlineStr">
        <is>
          <t>Beckley, WV Metro Area</t>
        </is>
      </c>
      <c r="C202" t="inlineStr">
        <is>
          <t>13220</t>
        </is>
      </c>
      <c r="D202" s="7" t="n">
        <v>49.4</v>
      </c>
      <c r="E202" t="n">
        <v>49.37806372549019</v>
      </c>
      <c r="F202" s="7" t="n">
        <v>50.6</v>
      </c>
      <c r="G202" s="6" t="n">
        <v>32640</v>
      </c>
      <c r="H202" s="6" t="n">
        <v>16117</v>
      </c>
      <c r="I202" s="6" t="n">
        <v>16523</v>
      </c>
      <c r="J202" t="inlineStr">
        <is>
          <t>https://www2.census.gov/programs-surveys/susb/datasets/2022/msa_3digitnaics_2022.txt</t>
        </is>
      </c>
    </row>
    <row r="203">
      <c r="A203" t="inlineStr">
        <is>
          <t>metro</t>
        </is>
      </c>
      <c r="B203" t="inlineStr">
        <is>
          <t>Huntington-Ashland, WV-KY-OH Metro Area</t>
        </is>
      </c>
      <c r="C203" t="inlineStr">
        <is>
          <t>26580</t>
        </is>
      </c>
      <c r="D203" s="7" t="n">
        <v>49.4</v>
      </c>
      <c r="E203" t="n">
        <v>49.37103868971536</v>
      </c>
      <c r="F203" s="7" t="n">
        <v>50.6</v>
      </c>
      <c r="G203" s="6" t="n">
        <v>113441</v>
      </c>
      <c r="H203" s="6" t="n">
        <v>56007</v>
      </c>
      <c r="I203" s="6" t="n">
        <v>57434</v>
      </c>
      <c r="J203" t="inlineStr">
        <is>
          <t>https://www2.census.gov/programs-surveys/susb/datasets/2022/msa_3digitnaics_2022.txt</t>
        </is>
      </c>
    </row>
    <row r="204">
      <c r="A204" t="inlineStr">
        <is>
          <t>metro</t>
        </is>
      </c>
      <c r="B204" t="inlineStr">
        <is>
          <t>Montgomery, AL Metro Area</t>
        </is>
      </c>
      <c r="C204" t="inlineStr">
        <is>
          <t>33860</t>
        </is>
      </c>
      <c r="D204" s="7" t="n">
        <v>49.3</v>
      </c>
      <c r="E204" t="n">
        <v>49.31504763065114</v>
      </c>
      <c r="F204" s="7" t="n">
        <v>50.7</v>
      </c>
      <c r="G204" s="6" t="n">
        <v>131323</v>
      </c>
      <c r="H204" s="6" t="n">
        <v>64762</v>
      </c>
      <c r="I204" s="6" t="n">
        <v>66561</v>
      </c>
      <c r="J204" t="inlineStr">
        <is>
          <t>https://www2.census.gov/programs-surveys/susb/datasets/2022/msa_3digitnaics_2022.txt</t>
        </is>
      </c>
    </row>
    <row r="205">
      <c r="A205" t="inlineStr">
        <is>
          <t>metro</t>
        </is>
      </c>
      <c r="B205" t="inlineStr">
        <is>
          <t>Tyler, TX Metro Area</t>
        </is>
      </c>
      <c r="C205" t="inlineStr">
        <is>
          <t>46340</t>
        </is>
      </c>
      <c r="D205" s="7" t="n">
        <v>49.2</v>
      </c>
      <c r="E205" t="n">
        <v>49.194049937298</v>
      </c>
      <c r="F205" s="7" t="n">
        <v>50.8</v>
      </c>
      <c r="G205" s="6" t="n">
        <v>98083</v>
      </c>
      <c r="H205" s="6" t="n">
        <v>48251</v>
      </c>
      <c r="I205" s="6" t="n">
        <v>49832</v>
      </c>
      <c r="J205" t="inlineStr">
        <is>
          <t>https://www2.census.gov/programs-surveys/susb/datasets/2022/msa_3digitnaics_2022.txt</t>
        </is>
      </c>
    </row>
    <row r="206">
      <c r="A206" t="inlineStr">
        <is>
          <t>metro</t>
        </is>
      </c>
      <c r="B206" t="inlineStr">
        <is>
          <t>Brownsville-Harlingen, TX Metro Area</t>
        </is>
      </c>
      <c r="C206" t="inlineStr">
        <is>
          <t>15180</t>
        </is>
      </c>
      <c r="D206" s="7" t="n">
        <v>49.2</v>
      </c>
      <c r="E206" t="n">
        <v>49.1881291672114</v>
      </c>
      <c r="F206" s="7" t="n">
        <v>50.8</v>
      </c>
      <c r="G206" s="6" t="n">
        <v>114735</v>
      </c>
      <c r="H206" s="6" t="n">
        <v>56436</v>
      </c>
      <c r="I206" s="6" t="n">
        <v>58299</v>
      </c>
      <c r="J206" t="inlineStr">
        <is>
          <t>https://www2.census.gov/programs-surveys/susb/datasets/2022/msa_3digitnaics_2022.txt</t>
        </is>
      </c>
    </row>
    <row r="207">
      <c r="A207" t="inlineStr">
        <is>
          <t>metro</t>
        </is>
      </c>
      <c r="B207" t="inlineStr">
        <is>
          <t>Washington-Arlington-Alexandria, DC-VA-MD-WV Metro Area</t>
        </is>
      </c>
      <c r="C207" t="inlineStr">
        <is>
          <t>47900</t>
        </is>
      </c>
      <c r="D207" s="7" t="n">
        <v>49.1</v>
      </c>
      <c r="E207" t="n">
        <v>49.1439150209684</v>
      </c>
      <c r="F207" s="7" t="n">
        <v>50.9</v>
      </c>
      <c r="G207" s="6" t="n">
        <v>2775367</v>
      </c>
      <c r="H207" s="6" t="n">
        <v>1363924</v>
      </c>
      <c r="I207" s="6" t="n">
        <v>1411443</v>
      </c>
      <c r="J207" t="inlineStr">
        <is>
          <t>https://www2.census.gov/programs-surveys/susb/datasets/2022/msa_3digitnaics_2022.txt</t>
        </is>
      </c>
    </row>
    <row r="208">
      <c r="A208" t="inlineStr">
        <is>
          <t>metro</t>
        </is>
      </c>
      <c r="B208" t="inlineStr">
        <is>
          <t>Colorado Springs, CO Metro Area</t>
        </is>
      </c>
      <c r="C208" t="inlineStr">
        <is>
          <t>17820</t>
        </is>
      </c>
      <c r="D208" s="7" t="n">
        <v>49.1</v>
      </c>
      <c r="E208" t="n">
        <v>49.10494950849829</v>
      </c>
      <c r="F208" s="7" t="n">
        <v>50.9</v>
      </c>
      <c r="G208" s="6" t="n">
        <v>260935</v>
      </c>
      <c r="H208" s="6" t="n">
        <v>128132</v>
      </c>
      <c r="I208" s="6" t="n">
        <v>132803</v>
      </c>
      <c r="J208" t="inlineStr">
        <is>
          <t>https://www2.census.gov/programs-surveys/susb/datasets/2022/msa_3digitnaics_2022.txt</t>
        </is>
      </c>
    </row>
    <row r="209">
      <c r="A209" t="inlineStr">
        <is>
          <t>metro</t>
        </is>
      </c>
      <c r="B209" t="inlineStr">
        <is>
          <t>St. Cloud, MN Metro Area</t>
        </is>
      </c>
      <c r="C209" t="inlineStr">
        <is>
          <t>41060</t>
        </is>
      </c>
      <c r="D209" s="7" t="n">
        <v>49.1</v>
      </c>
      <c r="E209" t="n">
        <v>49.09555723044957</v>
      </c>
      <c r="F209" s="7" t="n">
        <v>50.9</v>
      </c>
      <c r="G209" s="6" t="n">
        <v>98182</v>
      </c>
      <c r="H209" s="6" t="n">
        <v>48203</v>
      </c>
      <c r="I209" s="6" t="n">
        <v>49979</v>
      </c>
      <c r="J209" t="inlineStr">
        <is>
          <t>https://www2.census.gov/programs-surveys/susb/datasets/2022/msa_3digitnaics_2022.txt</t>
        </is>
      </c>
    </row>
    <row r="210">
      <c r="A210" t="inlineStr">
        <is>
          <t>metro</t>
        </is>
      </c>
      <c r="B210" t="inlineStr">
        <is>
          <t>Sherman-Denison, TX Metro Area</t>
        </is>
      </c>
      <c r="C210" t="inlineStr">
        <is>
          <t>43300</t>
        </is>
      </c>
      <c r="D210" s="7" t="n">
        <v>48.9</v>
      </c>
      <c r="E210" t="n">
        <v>48.92795570988029</v>
      </c>
      <c r="F210" s="7" t="n">
        <v>51.1</v>
      </c>
      <c r="G210" s="6" t="n">
        <v>41183</v>
      </c>
      <c r="H210" s="6" t="n">
        <v>20150</v>
      </c>
      <c r="I210" s="6" t="n">
        <v>21033</v>
      </c>
      <c r="J210" t="inlineStr">
        <is>
          <t>https://www2.census.gov/programs-surveys/susb/datasets/2022/msa_3digitnaics_2022.txt</t>
        </is>
      </c>
    </row>
    <row r="211">
      <c r="A211" t="inlineStr">
        <is>
          <t>metro</t>
        </is>
      </c>
      <c r="B211" t="inlineStr">
        <is>
          <t>Albuquerque, NM Metro Area</t>
        </is>
      </c>
      <c r="C211" t="inlineStr">
        <is>
          <t>10740</t>
        </is>
      </c>
      <c r="D211" s="7" t="n">
        <v>48.9</v>
      </c>
      <c r="E211" t="n">
        <v>48.91897503779694</v>
      </c>
      <c r="F211" s="7" t="n">
        <v>51.1</v>
      </c>
      <c r="G211" s="6" t="n">
        <v>308226</v>
      </c>
      <c r="H211" s="6" t="n">
        <v>150781</v>
      </c>
      <c r="I211" s="6" t="n">
        <v>157445</v>
      </c>
      <c r="J211" t="inlineStr">
        <is>
          <t>https://www2.census.gov/programs-surveys/susb/datasets/2022/msa_3digitnaics_2022.txt</t>
        </is>
      </c>
    </row>
    <row r="212">
      <c r="A212" t="inlineStr">
        <is>
          <t>metro</t>
        </is>
      </c>
      <c r="B212" t="inlineStr">
        <is>
          <t>Walla Walla, WA Metro Area</t>
        </is>
      </c>
      <c r="C212" t="inlineStr">
        <is>
          <t>47460</t>
        </is>
      </c>
      <c r="D212" s="7" t="n">
        <v>48.9</v>
      </c>
      <c r="E212" t="n">
        <v>48.8962678888785</v>
      </c>
      <c r="F212" s="7" t="n">
        <v>51.1</v>
      </c>
      <c r="G212" s="6" t="n">
        <v>21382</v>
      </c>
      <c r="H212" s="6" t="n">
        <v>10455</v>
      </c>
      <c r="I212" s="6" t="n">
        <v>10927</v>
      </c>
      <c r="J212" t="inlineStr">
        <is>
          <t>https://www2.census.gov/programs-surveys/susb/datasets/2022/msa_3digitnaics_2022.txt</t>
        </is>
      </c>
    </row>
    <row r="213">
      <c r="A213" t="inlineStr">
        <is>
          <t>metro</t>
        </is>
      </c>
      <c r="B213" t="inlineStr">
        <is>
          <t>Topeka, KS Metro Area</t>
        </is>
      </c>
      <c r="C213" t="inlineStr">
        <is>
          <t>45820</t>
        </is>
      </c>
      <c r="D213" s="7" t="n">
        <v>48.8</v>
      </c>
      <c r="E213" t="n">
        <v>48.80602672225908</v>
      </c>
      <c r="F213" s="7" t="n">
        <v>51.2</v>
      </c>
      <c r="G213" s="6" t="n">
        <v>84424</v>
      </c>
      <c r="H213" s="6" t="n">
        <v>41204</v>
      </c>
      <c r="I213" s="6" t="n">
        <v>43220</v>
      </c>
      <c r="J213" t="inlineStr">
        <is>
          <t>https://www2.census.gov/programs-surveys/susb/datasets/2022/msa_3digitnaics_2022.txt</t>
        </is>
      </c>
    </row>
    <row r="214">
      <c r="A214" t="inlineStr">
        <is>
          <t>metro</t>
        </is>
      </c>
      <c r="B214" t="inlineStr">
        <is>
          <t>Sioux Falls, SD-MN Metro Area</t>
        </is>
      </c>
      <c r="C214" t="inlineStr">
        <is>
          <t>43620</t>
        </is>
      </c>
      <c r="D214" s="7" t="n">
        <v>48.8</v>
      </c>
      <c r="E214" t="n">
        <v>48.78584345130457</v>
      </c>
      <c r="F214" s="7" t="n">
        <v>51.2</v>
      </c>
      <c r="G214" s="6" t="n">
        <v>154840</v>
      </c>
      <c r="H214" s="6" t="n">
        <v>75540</v>
      </c>
      <c r="I214" s="6" t="n">
        <v>79300</v>
      </c>
      <c r="J214" t="inlineStr">
        <is>
          <t>https://www2.census.gov/programs-surveys/susb/datasets/2022/msa_3digitnaics_2022.txt</t>
        </is>
      </c>
    </row>
    <row r="215">
      <c r="A215" t="inlineStr">
        <is>
          <t>metro</t>
        </is>
      </c>
      <c r="B215" t="inlineStr">
        <is>
          <t>Baltimore-Columbia-Towson, MD Metro Area</t>
        </is>
      </c>
      <c r="C215" t="inlineStr">
        <is>
          <t>12580</t>
        </is>
      </c>
      <c r="D215" s="7" t="n">
        <v>48.7</v>
      </c>
      <c r="E215" t="n">
        <v>48.74970653844957</v>
      </c>
      <c r="F215" s="7" t="n">
        <v>51.3</v>
      </c>
      <c r="G215" s="6" t="n">
        <v>1188401</v>
      </c>
      <c r="H215" s="6" t="n">
        <v>579342</v>
      </c>
      <c r="I215" s="6" t="n">
        <v>609059</v>
      </c>
      <c r="J215" t="inlineStr">
        <is>
          <t>https://www2.census.gov/programs-surveys/susb/datasets/2022/msa_3digitnaics_2022.txt</t>
        </is>
      </c>
    </row>
    <row r="216">
      <c r="A216" t="inlineStr">
        <is>
          <t>metro</t>
        </is>
      </c>
      <c r="B216" t="inlineStr">
        <is>
          <t>Kennewick-Richland, WA Metro Area</t>
        </is>
      </c>
      <c r="C216" t="inlineStr">
        <is>
          <t>28420</t>
        </is>
      </c>
      <c r="D216" s="7" t="n">
        <v>48.6</v>
      </c>
      <c r="E216" t="n">
        <v>48.62182043782682</v>
      </c>
      <c r="F216" s="7" t="n">
        <v>51.4</v>
      </c>
      <c r="G216" s="6" t="n">
        <v>101547</v>
      </c>
      <c r="H216" s="6" t="n">
        <v>49374</v>
      </c>
      <c r="I216" s="6" t="n">
        <v>52173</v>
      </c>
      <c r="J216" t="inlineStr">
        <is>
          <t>https://www2.census.gov/programs-surveys/susb/datasets/2022/msa_3digitnaics_2022.txt</t>
        </is>
      </c>
    </row>
    <row r="217">
      <c r="A217" t="inlineStr">
        <is>
          <t>metro</t>
        </is>
      </c>
      <c r="B217" t="inlineStr">
        <is>
          <t>Altoona, PA Metro Area</t>
        </is>
      </c>
      <c r="C217" t="inlineStr">
        <is>
          <t>11020</t>
        </is>
      </c>
      <c r="D217" s="7" t="n">
        <v>48.6</v>
      </c>
      <c r="E217" t="n">
        <v>48.59916625981147</v>
      </c>
      <c r="F217" s="7" t="n">
        <v>51.4</v>
      </c>
      <c r="G217" s="6" t="n">
        <v>53254</v>
      </c>
      <c r="H217" s="6" t="n">
        <v>25881</v>
      </c>
      <c r="I217" s="6" t="n">
        <v>27373</v>
      </c>
      <c r="J217" t="inlineStr">
        <is>
          <t>https://www2.census.gov/programs-surveys/susb/datasets/2022/msa_3digitnaics_2022.txt</t>
        </is>
      </c>
    </row>
    <row r="218">
      <c r="A218" t="inlineStr">
        <is>
          <t>metro</t>
        </is>
      </c>
      <c r="B218" t="inlineStr">
        <is>
          <t>Jonesboro, AR Metro Area</t>
        </is>
      </c>
      <c r="C218" t="inlineStr">
        <is>
          <t>27860</t>
        </is>
      </c>
      <c r="D218" s="7" t="n">
        <v>48.6</v>
      </c>
      <c r="E218" t="n">
        <v>48.56647951260303</v>
      </c>
      <c r="F218" s="7" t="n">
        <v>51.4</v>
      </c>
      <c r="G218" s="6" t="n">
        <v>50226</v>
      </c>
      <c r="H218" s="6" t="n">
        <v>24393</v>
      </c>
      <c r="I218" s="6" t="n">
        <v>25833</v>
      </c>
      <c r="J218" t="inlineStr">
        <is>
          <t>https://www2.census.gov/programs-surveys/susb/datasets/2022/msa_3digitnaics_2022.txt</t>
        </is>
      </c>
    </row>
    <row r="219">
      <c r="A219" t="inlineStr">
        <is>
          <t>metro</t>
        </is>
      </c>
      <c r="B219" t="inlineStr">
        <is>
          <t>Eagle Pass, TX Metro Area</t>
        </is>
      </c>
      <c r="C219" t="inlineStr">
        <is>
          <t>20580</t>
        </is>
      </c>
      <c r="D219" s="7" t="n">
        <v>48.5</v>
      </c>
      <c r="E219" t="n">
        <v>48.53587115666178</v>
      </c>
      <c r="F219" s="7" t="n">
        <v>51.5</v>
      </c>
      <c r="G219" s="6" t="n">
        <v>12294</v>
      </c>
      <c r="H219" s="6" t="n">
        <v>5967</v>
      </c>
      <c r="I219" s="6" t="n">
        <v>6327</v>
      </c>
      <c r="J219" t="inlineStr">
        <is>
          <t>https://www2.census.gov/programs-surveys/susb/datasets/2022/msa_3digitnaics_2022.txt</t>
        </is>
      </c>
    </row>
    <row r="220">
      <c r="A220" t="inlineStr">
        <is>
          <t>metro</t>
        </is>
      </c>
      <c r="B220" t="inlineStr">
        <is>
          <t>Utica-Rome, NY Metro Area</t>
        </is>
      </c>
      <c r="C220" t="inlineStr">
        <is>
          <t>46540</t>
        </is>
      </c>
      <c r="D220" s="7" t="n">
        <v>48.4</v>
      </c>
      <c r="E220" t="n">
        <v>48.43604404913172</v>
      </c>
      <c r="F220" s="7" t="n">
        <v>51.6</v>
      </c>
      <c r="G220" s="6" t="n">
        <v>94440</v>
      </c>
      <c r="H220" s="6" t="n">
        <v>45743</v>
      </c>
      <c r="I220" s="6" t="n">
        <v>48697</v>
      </c>
      <c r="J220" t="inlineStr">
        <is>
          <t>https://www2.census.gov/programs-surveys/susb/datasets/2022/msa_3digitnaics_2022.txt</t>
        </is>
      </c>
    </row>
    <row r="221">
      <c r="A221" t="inlineStr">
        <is>
          <t>metro</t>
        </is>
      </c>
      <c r="B221" t="inlineStr">
        <is>
          <t>La Crosse-Onalaska, WI-MN Metro Area</t>
        </is>
      </c>
      <c r="C221" t="inlineStr">
        <is>
          <t>29100</t>
        </is>
      </c>
      <c r="D221" s="7" t="n">
        <v>48.4</v>
      </c>
      <c r="E221" t="n">
        <v>48.39664463380319</v>
      </c>
      <c r="F221" s="7" t="n">
        <v>51.6</v>
      </c>
      <c r="G221" s="6" t="n">
        <v>75342</v>
      </c>
      <c r="H221" s="6" t="n">
        <v>36463</v>
      </c>
      <c r="I221" s="6" t="n">
        <v>38879</v>
      </c>
      <c r="J221" t="inlineStr">
        <is>
          <t>https://www2.census.gov/programs-surveys/susb/datasets/2022/msa_3digitnaics_2022.txt</t>
        </is>
      </c>
    </row>
    <row r="222">
      <c r="A222" t="inlineStr">
        <is>
          <t>metro</t>
        </is>
      </c>
      <c r="B222" t="inlineStr">
        <is>
          <t>Lansing-East Lansing, MI Metro Area</t>
        </is>
      </c>
      <c r="C222" t="inlineStr">
        <is>
          <t>29620</t>
        </is>
      </c>
      <c r="D222" s="7" t="n">
        <v>48.3</v>
      </c>
      <c r="E222" t="n">
        <v>48.34581404138713</v>
      </c>
      <c r="F222" s="7" t="n">
        <v>51.7</v>
      </c>
      <c r="G222" s="6" t="n">
        <v>169328</v>
      </c>
      <c r="H222" s="6" t="n">
        <v>81863</v>
      </c>
      <c r="I222" s="6" t="n">
        <v>87465</v>
      </c>
      <c r="J222" t="inlineStr">
        <is>
          <t>https://www2.census.gov/programs-surveys/susb/datasets/2022/msa_3digitnaics_2022.txt</t>
        </is>
      </c>
    </row>
    <row r="223">
      <c r="A223" t="inlineStr">
        <is>
          <t>metro</t>
        </is>
      </c>
      <c r="B223" t="inlineStr">
        <is>
          <t>Florence-Muscle Shoals, AL Metro Area</t>
        </is>
      </c>
      <c r="C223" t="inlineStr">
        <is>
          <t>22520</t>
        </is>
      </c>
      <c r="D223" s="7" t="n">
        <v>48.3</v>
      </c>
      <c r="E223" t="n">
        <v>48.31672226428995</v>
      </c>
      <c r="F223" s="7" t="n">
        <v>51.7</v>
      </c>
      <c r="G223" s="6" t="n">
        <v>48863</v>
      </c>
      <c r="H223" s="6" t="n">
        <v>23609</v>
      </c>
      <c r="I223" s="6" t="n">
        <v>25254</v>
      </c>
      <c r="J223" t="inlineStr">
        <is>
          <t>https://www2.census.gov/programs-surveys/susb/datasets/2022/msa_3digitnaics_2022.txt</t>
        </is>
      </c>
    </row>
    <row r="224">
      <c r="A224" t="inlineStr">
        <is>
          <t>metro</t>
        </is>
      </c>
      <c r="B224" t="inlineStr">
        <is>
          <t>Vallejo, CA Metro Area</t>
        </is>
      </c>
      <c r="C224" t="inlineStr">
        <is>
          <t>46700</t>
        </is>
      </c>
      <c r="D224" s="7" t="n">
        <v>48.3</v>
      </c>
      <c r="E224" t="n">
        <v>48.25540094438176</v>
      </c>
      <c r="F224" s="7" t="n">
        <v>51.7</v>
      </c>
      <c r="G224" s="6" t="n">
        <v>119655</v>
      </c>
      <c r="H224" s="6" t="n">
        <v>57740</v>
      </c>
      <c r="I224" s="6" t="n">
        <v>61915</v>
      </c>
      <c r="J224" t="inlineStr">
        <is>
          <t>https://www2.census.gov/programs-surveys/susb/datasets/2022/msa_3digitnaics_2022.txt</t>
        </is>
      </c>
    </row>
    <row r="225">
      <c r="A225" t="inlineStr">
        <is>
          <t>metro</t>
        </is>
      </c>
      <c r="B225" t="inlineStr">
        <is>
          <t>Bloomington, IN Metro Area</t>
        </is>
      </c>
      <c r="C225" t="inlineStr">
        <is>
          <t>14020</t>
        </is>
      </c>
      <c r="D225" s="7" t="n">
        <v>48.2</v>
      </c>
      <c r="E225" t="n">
        <v>48.18549794123805</v>
      </c>
      <c r="F225" s="7" t="n">
        <v>51.8</v>
      </c>
      <c r="G225" s="6" t="n">
        <v>57316</v>
      </c>
      <c r="H225" s="6" t="n">
        <v>27618</v>
      </c>
      <c r="I225" s="6" t="n">
        <v>29698</v>
      </c>
      <c r="J225" t="inlineStr">
        <is>
          <t>https://www2.census.gov/programs-surveys/susb/datasets/2022/msa_3digitnaics_2022.txt</t>
        </is>
      </c>
    </row>
    <row r="226">
      <c r="A226" t="inlineStr">
        <is>
          <t>metro</t>
        </is>
      </c>
      <c r="B226" t="inlineStr">
        <is>
          <t>Austin-Round Rock-San Marcos, TX Metro Area</t>
        </is>
      </c>
      <c r="C226" t="inlineStr">
        <is>
          <t>12420</t>
        </is>
      </c>
      <c r="D226" s="7" t="n">
        <v>48.1</v>
      </c>
      <c r="E226" t="n">
        <v>48.09645751575632</v>
      </c>
      <c r="F226" s="7" t="n">
        <v>51.9</v>
      </c>
      <c r="G226" s="6" t="n">
        <v>985636</v>
      </c>
      <c r="H226" s="6" t="n">
        <v>474056</v>
      </c>
      <c r="I226" s="6" t="n">
        <v>511580</v>
      </c>
      <c r="J226" t="inlineStr">
        <is>
          <t>https://www2.census.gov/programs-surveys/susb/datasets/2022/msa_3digitnaics_2022.txt</t>
        </is>
      </c>
    </row>
    <row r="227">
      <c r="A227" t="inlineStr">
        <is>
          <t>metro</t>
        </is>
      </c>
      <c r="B227" t="inlineStr">
        <is>
          <t>Decatur, AL Metro Area</t>
        </is>
      </c>
      <c r="C227" t="inlineStr">
        <is>
          <t>19460</t>
        </is>
      </c>
      <c r="D227" s="7" t="n">
        <v>48.1</v>
      </c>
      <c r="E227" t="n">
        <v>48.09179938668513</v>
      </c>
      <c r="F227" s="7" t="n">
        <v>51.9</v>
      </c>
      <c r="G227" s="6" t="n">
        <v>50545</v>
      </c>
      <c r="H227" s="6" t="n">
        <v>24308</v>
      </c>
      <c r="I227" s="6" t="n">
        <v>26237</v>
      </c>
      <c r="J227" t="inlineStr">
        <is>
          <t>https://www2.census.gov/programs-surveys/susb/datasets/2022/msa_3digitnaics_2022.txt</t>
        </is>
      </c>
    </row>
    <row r="228">
      <c r="A228" t="inlineStr">
        <is>
          <t>metro</t>
        </is>
      </c>
      <c r="B228" t="inlineStr">
        <is>
          <t>Champaign-Urbana, IL Metro Area</t>
        </is>
      </c>
      <c r="C228" t="inlineStr">
        <is>
          <t>16580</t>
        </is>
      </c>
      <c r="D228" s="7" t="n">
        <v>48.1</v>
      </c>
      <c r="E228" t="n">
        <v>48.0671269361053</v>
      </c>
      <c r="F228" s="7" t="n">
        <v>51.9</v>
      </c>
      <c r="G228" s="6" t="n">
        <v>77346</v>
      </c>
      <c r="H228" s="6" t="n">
        <v>37178</v>
      </c>
      <c r="I228" s="6" t="n">
        <v>40168</v>
      </c>
      <c r="J228" t="inlineStr">
        <is>
          <t>https://www2.census.gov/programs-surveys/susb/datasets/2022/msa_3digitnaics_2022.txt</t>
        </is>
      </c>
    </row>
    <row r="229">
      <c r="A229" t="inlineStr">
        <is>
          <t>metro</t>
        </is>
      </c>
      <c r="B229" t="inlineStr">
        <is>
          <t>Hattiesburg, MS Metro Area</t>
        </is>
      </c>
      <c r="C229" t="inlineStr">
        <is>
          <t>25620</t>
        </is>
      </c>
      <c r="D229" s="7" t="n">
        <v>48.1</v>
      </c>
      <c r="E229" t="n">
        <v>48.06710836441921</v>
      </c>
      <c r="F229" s="7" t="n">
        <v>51.9</v>
      </c>
      <c r="G229" s="6" t="n">
        <v>53883</v>
      </c>
      <c r="H229" s="6" t="n">
        <v>25900</v>
      </c>
      <c r="I229" s="6" t="n">
        <v>27983</v>
      </c>
      <c r="J229" t="inlineStr">
        <is>
          <t>https://www2.census.gov/programs-surveys/susb/datasets/2022/msa_3digitnaics_2022.txt</t>
        </is>
      </c>
    </row>
    <row r="230">
      <c r="A230" t="inlineStr">
        <is>
          <t>metro</t>
        </is>
      </c>
      <c r="B230" t="inlineStr">
        <is>
          <t>Parkersburg-Vienna, WV Metro Area</t>
        </is>
      </c>
      <c r="C230" t="inlineStr">
        <is>
          <t>37620</t>
        </is>
      </c>
      <c r="D230" s="7" t="n">
        <v>48.1</v>
      </c>
      <c r="E230" t="n">
        <v>48.06293292491907</v>
      </c>
      <c r="F230" s="7" t="n">
        <v>51.9</v>
      </c>
      <c r="G230" s="6" t="n">
        <v>28729</v>
      </c>
      <c r="H230" s="6" t="n">
        <v>13808</v>
      </c>
      <c r="I230" s="6" t="n">
        <v>14921</v>
      </c>
      <c r="J230" t="inlineStr">
        <is>
          <t>https://www2.census.gov/programs-surveys/susb/datasets/2022/msa_3digitnaics_2022.txt</t>
        </is>
      </c>
    </row>
    <row r="231">
      <c r="A231" t="inlineStr">
        <is>
          <t>metro</t>
        </is>
      </c>
      <c r="B231" t="inlineStr">
        <is>
          <t>Fort Wayne, IN Metro Area</t>
        </is>
      </c>
      <c r="C231" t="inlineStr">
        <is>
          <t>23060</t>
        </is>
      </c>
      <c r="D231" s="7" t="n">
        <v>47.8</v>
      </c>
      <c r="E231" t="n">
        <v>47.81995500314211</v>
      </c>
      <c r="F231" s="7" t="n">
        <v>52.2</v>
      </c>
      <c r="G231" s="6" t="n">
        <v>208459</v>
      </c>
      <c r="H231" s="6" t="n">
        <v>99685</v>
      </c>
      <c r="I231" s="6" t="n">
        <v>108774</v>
      </c>
      <c r="J231" t="inlineStr">
        <is>
          <t>https://www2.census.gov/programs-surveys/susb/datasets/2022/msa_3digitnaics_2022.txt</t>
        </is>
      </c>
    </row>
    <row r="232">
      <c r="A232" t="inlineStr">
        <is>
          <t>metro</t>
        </is>
      </c>
      <c r="B232" t="inlineStr">
        <is>
          <t>Milwaukee-Waukesha, WI Metro Area</t>
        </is>
      </c>
      <c r="C232" t="inlineStr">
        <is>
          <t>33340</t>
        </is>
      </c>
      <c r="D232" s="7" t="n">
        <v>47.7</v>
      </c>
      <c r="E232" t="n">
        <v>47.74969565690279</v>
      </c>
      <c r="F232" s="7" t="n">
        <v>52.3</v>
      </c>
      <c r="G232" s="6" t="n">
        <v>763119</v>
      </c>
      <c r="H232" s="6" t="n">
        <v>364387</v>
      </c>
      <c r="I232" s="6" t="n">
        <v>398732</v>
      </c>
      <c r="J232" t="inlineStr">
        <is>
          <t>https://www2.census.gov/programs-surveys/susb/datasets/2022/msa_3digitnaics_2022.txt</t>
        </is>
      </c>
    </row>
    <row r="233">
      <c r="A233" t="inlineStr">
        <is>
          <t>metro</t>
        </is>
      </c>
      <c r="B233" t="inlineStr">
        <is>
          <t>Little Rock-North Little Rock-Conway, AR Metro Area</t>
        </is>
      </c>
      <c r="C233" t="inlineStr">
        <is>
          <t>30780</t>
        </is>
      </c>
      <c r="D233" s="7" t="n">
        <v>47.7</v>
      </c>
      <c r="E233" t="n">
        <v>47.74148553598815</v>
      </c>
      <c r="F233" s="7" t="n">
        <v>52.3</v>
      </c>
      <c r="G233" s="6" t="n">
        <v>302544</v>
      </c>
      <c r="H233" s="6" t="n">
        <v>144439</v>
      </c>
      <c r="I233" s="6" t="n">
        <v>158105</v>
      </c>
      <c r="J233" t="inlineStr">
        <is>
          <t>https://www2.census.gov/programs-surveys/susb/datasets/2022/msa_3digitnaics_2022.txt</t>
        </is>
      </c>
    </row>
    <row r="234">
      <c r="A234" t="inlineStr">
        <is>
          <t>metro</t>
        </is>
      </c>
      <c r="B234" t="inlineStr">
        <is>
          <t>Wheeling, WV-OH Metro Area</t>
        </is>
      </c>
      <c r="C234" t="inlineStr">
        <is>
          <t>48540</t>
        </is>
      </c>
      <c r="D234" s="7" t="n">
        <v>47.7</v>
      </c>
      <c r="E234" t="n">
        <v>47.74085537970371</v>
      </c>
      <c r="F234" s="7" t="n">
        <v>52.3</v>
      </c>
      <c r="G234" s="6" t="n">
        <v>51369</v>
      </c>
      <c r="H234" s="6" t="n">
        <v>24524</v>
      </c>
      <c r="I234" s="6" t="n">
        <v>26845</v>
      </c>
      <c r="J234" t="inlineStr">
        <is>
          <t>https://www2.census.gov/programs-surveys/susb/datasets/2022/msa_3digitnaics_2022.txt</t>
        </is>
      </c>
    </row>
    <row r="235">
      <c r="A235" t="inlineStr">
        <is>
          <t>metro</t>
        </is>
      </c>
      <c r="B235" t="inlineStr">
        <is>
          <t>Green Bay, WI Metro Area</t>
        </is>
      </c>
      <c r="C235" t="inlineStr">
        <is>
          <t>24580</t>
        </is>
      </c>
      <c r="D235" s="7" t="n">
        <v>47.7</v>
      </c>
      <c r="E235" t="n">
        <v>47.71804880570779</v>
      </c>
      <c r="F235" s="7" t="n">
        <v>52.3</v>
      </c>
      <c r="G235" s="6" t="n">
        <v>154736</v>
      </c>
      <c r="H235" s="6" t="n">
        <v>73837</v>
      </c>
      <c r="I235" s="6" t="n">
        <v>80899</v>
      </c>
      <c r="J235" t="inlineStr">
        <is>
          <t>https://www2.census.gov/programs-surveys/susb/datasets/2022/msa_3digitnaics_2022.txt</t>
        </is>
      </c>
    </row>
    <row r="236">
      <c r="A236" t="inlineStr">
        <is>
          <t>metro</t>
        </is>
      </c>
      <c r="B236" t="inlineStr">
        <is>
          <t>Stockton-Lodi, CA Metro Area</t>
        </is>
      </c>
      <c r="C236" t="inlineStr">
        <is>
          <t>44700</t>
        </is>
      </c>
      <c r="D236" s="7" t="n">
        <v>47.7</v>
      </c>
      <c r="E236" t="n">
        <v>47.70332715031281</v>
      </c>
      <c r="F236" s="7" t="n">
        <v>52.3</v>
      </c>
      <c r="G236" s="6" t="n">
        <v>214027</v>
      </c>
      <c r="H236" s="6" t="n">
        <v>102098</v>
      </c>
      <c r="I236" s="6" t="n">
        <v>111929</v>
      </c>
      <c r="J236" t="inlineStr">
        <is>
          <t>https://www2.census.gov/programs-surveys/susb/datasets/2022/msa_3digitnaics_2022.txt</t>
        </is>
      </c>
    </row>
    <row r="237">
      <c r="A237" t="inlineStr">
        <is>
          <t>metro</t>
        </is>
      </c>
      <c r="B237" t="inlineStr">
        <is>
          <t>Akron, OH Metro Area</t>
        </is>
      </c>
      <c r="C237" t="inlineStr">
        <is>
          <t>10420</t>
        </is>
      </c>
      <c r="D237" s="7" t="n">
        <v>47.6</v>
      </c>
      <c r="E237" t="n">
        <v>47.61090772046947</v>
      </c>
      <c r="F237" s="7" t="n">
        <v>52.4</v>
      </c>
      <c r="G237" s="6" t="n">
        <v>297184</v>
      </c>
      <c r="H237" s="6" t="n">
        <v>141492</v>
      </c>
      <c r="I237" s="6" t="n">
        <v>155692</v>
      </c>
      <c r="J237" t="inlineStr">
        <is>
          <t>https://www2.census.gov/programs-surveys/susb/datasets/2022/msa_3digitnaics_2022.txt</t>
        </is>
      </c>
    </row>
    <row r="238">
      <c r="A238" t="inlineStr">
        <is>
          <t>metro</t>
        </is>
      </c>
      <c r="B238" t="inlineStr">
        <is>
          <t>Waterloo-Cedar Falls, IA Metro Area</t>
        </is>
      </c>
      <c r="C238" t="inlineStr">
        <is>
          <t>47940</t>
        </is>
      </c>
      <c r="D238" s="7" t="n">
        <v>47.6</v>
      </c>
      <c r="E238" t="n">
        <v>47.57455885728172</v>
      </c>
      <c r="F238" s="7" t="n">
        <v>52.4</v>
      </c>
      <c r="G238" s="6" t="n">
        <v>74069</v>
      </c>
      <c r="H238" s="6" t="n">
        <v>35238</v>
      </c>
      <c r="I238" s="6" t="n">
        <v>38831</v>
      </c>
      <c r="J238" t="inlineStr">
        <is>
          <t>https://www2.census.gov/programs-surveys/susb/datasets/2022/msa_3digitnaics_2022.txt</t>
        </is>
      </c>
    </row>
    <row r="239">
      <c r="A239" t="inlineStr">
        <is>
          <t>metro</t>
        </is>
      </c>
      <c r="B239" t="inlineStr">
        <is>
          <t>Raleigh-Cary, NC Metro Area</t>
        </is>
      </c>
      <c r="C239" t="inlineStr">
        <is>
          <t>39580</t>
        </is>
      </c>
      <c r="D239" s="7" t="n">
        <v>47.4</v>
      </c>
      <c r="E239" t="n">
        <v>47.43446997235935</v>
      </c>
      <c r="F239" s="7" t="n">
        <v>52.6</v>
      </c>
      <c r="G239" s="6" t="n">
        <v>590073</v>
      </c>
      <c r="H239" s="6" t="n">
        <v>279898</v>
      </c>
      <c r="I239" s="6" t="n">
        <v>310175</v>
      </c>
      <c r="J239" t="inlineStr">
        <is>
          <t>https://www2.census.gov/programs-surveys/susb/datasets/2022/msa_3digitnaics_2022.txt</t>
        </is>
      </c>
    </row>
    <row r="240">
      <c r="A240" t="inlineStr">
        <is>
          <t>metro</t>
        </is>
      </c>
      <c r="B240" t="inlineStr">
        <is>
          <t>Kalamazoo-Portage, MI Metro Area</t>
        </is>
      </c>
      <c r="C240" t="inlineStr">
        <is>
          <t>28020</t>
        </is>
      </c>
      <c r="D240" s="7" t="n">
        <v>47.4</v>
      </c>
      <c r="E240" t="n">
        <v>47.3969278384961</v>
      </c>
      <c r="F240" s="7" t="n">
        <v>52.6</v>
      </c>
      <c r="G240" s="6" t="n">
        <v>113731</v>
      </c>
      <c r="H240" s="6" t="n">
        <v>53905</v>
      </c>
      <c r="I240" s="6" t="n">
        <v>59826</v>
      </c>
      <c r="J240" t="inlineStr">
        <is>
          <t>https://www2.census.gov/programs-surveys/susb/datasets/2022/msa_3digitnaics_2022.txt</t>
        </is>
      </c>
    </row>
    <row r="241">
      <c r="A241" t="inlineStr">
        <is>
          <t>metro</t>
        </is>
      </c>
      <c r="B241" t="inlineStr">
        <is>
          <t>Ann Arbor, MI Metro Area</t>
        </is>
      </c>
      <c r="C241" t="inlineStr">
        <is>
          <t>11460</t>
        </is>
      </c>
      <c r="D241" s="7" t="n">
        <v>47.3</v>
      </c>
      <c r="E241" t="n">
        <v>47.34731240862452</v>
      </c>
      <c r="F241" s="7" t="n">
        <v>52.7</v>
      </c>
      <c r="G241" s="6" t="n">
        <v>151846</v>
      </c>
      <c r="H241" s="6" t="n">
        <v>71895</v>
      </c>
      <c r="I241" s="6" t="n">
        <v>79951</v>
      </c>
      <c r="J241" t="inlineStr">
        <is>
          <t>https://www2.census.gov/programs-surveys/susb/datasets/2022/msa_3digitnaics_2022.txt</t>
        </is>
      </c>
    </row>
    <row r="242">
      <c r="A242" t="inlineStr">
        <is>
          <t>metro</t>
        </is>
      </c>
      <c r="B242" t="inlineStr">
        <is>
          <t>Binghamton, NY Metro Area</t>
        </is>
      </c>
      <c r="C242" t="inlineStr">
        <is>
          <t>13780</t>
        </is>
      </c>
      <c r="D242" s="7" t="n">
        <v>47.3</v>
      </c>
      <c r="E242" t="n">
        <v>47.31333223111066</v>
      </c>
      <c r="F242" s="7" t="n">
        <v>52.7</v>
      </c>
      <c r="G242" s="6" t="n">
        <v>78629</v>
      </c>
      <c r="H242" s="6" t="n">
        <v>37202</v>
      </c>
      <c r="I242" s="6" t="n">
        <v>41427</v>
      </c>
      <c r="J242" t="inlineStr">
        <is>
          <t>https://www2.census.gov/programs-surveys/susb/datasets/2022/msa_3digitnaics_2022.txt</t>
        </is>
      </c>
    </row>
    <row r="243">
      <c r="A243" t="inlineStr">
        <is>
          <t>metro</t>
        </is>
      </c>
      <c r="B243" t="inlineStr">
        <is>
          <t>Springfield, IL Metro Area</t>
        </is>
      </c>
      <c r="C243" t="inlineStr">
        <is>
          <t>44100</t>
        </is>
      </c>
      <c r="D243" s="7" t="n">
        <v>47.3</v>
      </c>
      <c r="E243" t="n">
        <v>47.29672624226304</v>
      </c>
      <c r="F243" s="7" t="n">
        <v>52.7</v>
      </c>
      <c r="G243" s="6" t="n">
        <v>80458</v>
      </c>
      <c r="H243" s="6" t="n">
        <v>38054</v>
      </c>
      <c r="I243" s="6" t="n">
        <v>42404</v>
      </c>
      <c r="J243" t="inlineStr">
        <is>
          <t>https://www2.census.gov/programs-surveys/susb/datasets/2022/msa_3digitnaics_2022.txt</t>
        </is>
      </c>
    </row>
    <row r="244">
      <c r="A244" t="inlineStr">
        <is>
          <t>metro</t>
        </is>
      </c>
      <c r="B244" t="inlineStr">
        <is>
          <t>Fort Smith, AR-OK Metro Area</t>
        </is>
      </c>
      <c r="C244" t="inlineStr">
        <is>
          <t>22900</t>
        </is>
      </c>
      <c r="D244" s="7" t="n">
        <v>47.3</v>
      </c>
      <c r="E244" t="n">
        <v>47.2574622251898</v>
      </c>
      <c r="F244" s="7" t="n">
        <v>52.7</v>
      </c>
      <c r="G244" s="6" t="n">
        <v>80874</v>
      </c>
      <c r="H244" s="6" t="n">
        <v>38219</v>
      </c>
      <c r="I244" s="6" t="n">
        <v>42655</v>
      </c>
      <c r="J244" t="inlineStr">
        <is>
          <t>https://www2.census.gov/programs-surveys/susb/datasets/2022/msa_3digitnaics_2022.txt</t>
        </is>
      </c>
    </row>
    <row r="245">
      <c r="A245" t="inlineStr">
        <is>
          <t>metro</t>
        </is>
      </c>
      <c r="B245" t="inlineStr">
        <is>
          <t>Worcester, MA Metro Area</t>
        </is>
      </c>
      <c r="C245" t="inlineStr">
        <is>
          <t>49340</t>
        </is>
      </c>
      <c r="D245" s="7" t="n">
        <v>47.3</v>
      </c>
      <c r="E245" t="n">
        <v>47.25588939572187</v>
      </c>
      <c r="F245" s="7" t="n">
        <v>52.7</v>
      </c>
      <c r="G245" s="6" t="n">
        <v>311959</v>
      </c>
      <c r="H245" s="6" t="n">
        <v>147419</v>
      </c>
      <c r="I245" s="6" t="n">
        <v>164540</v>
      </c>
      <c r="J245" t="inlineStr">
        <is>
          <t>https://www2.census.gov/programs-surveys/susb/datasets/2022/msa_3digitnaics_2022.txt</t>
        </is>
      </c>
    </row>
    <row r="246">
      <c r="A246" t="inlineStr">
        <is>
          <t>metro</t>
        </is>
      </c>
      <c r="B246" t="inlineStr">
        <is>
          <t>Riverside-San Bernardino-Ontario, CA Metro Area</t>
        </is>
      </c>
      <c r="C246" t="inlineStr">
        <is>
          <t>40140</t>
        </is>
      </c>
      <c r="D246" s="7" t="n">
        <v>47.2</v>
      </c>
      <c r="E246" t="n">
        <v>47.18604569291026</v>
      </c>
      <c r="F246" s="7" t="n">
        <v>52.8</v>
      </c>
      <c r="G246" s="6" t="n">
        <v>1335043</v>
      </c>
      <c r="H246" s="6" t="n">
        <v>629954</v>
      </c>
      <c r="I246" s="6" t="n">
        <v>705089</v>
      </c>
      <c r="J246" t="inlineStr">
        <is>
          <t>https://www2.census.gov/programs-surveys/susb/datasets/2022/msa_3digitnaics_2022.txt</t>
        </is>
      </c>
    </row>
    <row r="247">
      <c r="A247" t="inlineStr">
        <is>
          <t>metro</t>
        </is>
      </c>
      <c r="B247" t="inlineStr">
        <is>
          <t>Detroit-Warren-Dearborn, MI Metro Area</t>
        </is>
      </c>
      <c r="C247" t="inlineStr">
        <is>
          <t>19820</t>
        </is>
      </c>
      <c r="D247" s="7" t="n">
        <v>47.2</v>
      </c>
      <c r="E247" t="n">
        <v>47.16733814944698</v>
      </c>
      <c r="F247" s="7" t="n">
        <v>52.8</v>
      </c>
      <c r="G247" s="6" t="n">
        <v>1781381</v>
      </c>
      <c r="H247" s="6" t="n">
        <v>840230</v>
      </c>
      <c r="I247" s="6" t="n">
        <v>941151</v>
      </c>
      <c r="J247" t="inlineStr">
        <is>
          <t>https://www2.census.gov/programs-surveys/susb/datasets/2022/msa_3digitnaics_2022.txt</t>
        </is>
      </c>
    </row>
    <row r="248">
      <c r="A248" t="inlineStr">
        <is>
          <t>metro</t>
        </is>
      </c>
      <c r="B248" t="inlineStr">
        <is>
          <t>Virginia Beach-Chesapeake-Norfolk, VA-NC Metro Area</t>
        </is>
      </c>
      <c r="C248" t="inlineStr">
        <is>
          <t>47260</t>
        </is>
      </c>
      <c r="D248" s="7" t="n">
        <v>47.1</v>
      </c>
      <c r="E248" t="n">
        <v>47.13155440095581</v>
      </c>
      <c r="F248" s="7" t="n">
        <v>52.9</v>
      </c>
      <c r="G248" s="6" t="n">
        <v>633601</v>
      </c>
      <c r="H248" s="6" t="n">
        <v>298626</v>
      </c>
      <c r="I248" s="6" t="n">
        <v>334975</v>
      </c>
      <c r="J248" t="inlineStr">
        <is>
          <t>https://www2.census.gov/programs-surveys/susb/datasets/2022/msa_3digitnaics_2022.txt</t>
        </is>
      </c>
    </row>
    <row r="249">
      <c r="A249" t="inlineStr">
        <is>
          <t>metro</t>
        </is>
      </c>
      <c r="B249" t="inlineStr">
        <is>
          <t>Sioux City, IA-NE-SD Metro Area</t>
        </is>
      </c>
      <c r="C249" t="inlineStr">
        <is>
          <t>43580</t>
        </is>
      </c>
      <c r="D249" s="7" t="n">
        <v>47.1</v>
      </c>
      <c r="E249" t="n">
        <v>47.0849084036057</v>
      </c>
      <c r="F249" s="7" t="n">
        <v>52.9</v>
      </c>
      <c r="G249" s="6" t="n">
        <v>68780</v>
      </c>
      <c r="H249" s="6" t="n">
        <v>32385</v>
      </c>
      <c r="I249" s="6" t="n">
        <v>36395</v>
      </c>
      <c r="J249" t="inlineStr">
        <is>
          <t>https://www2.census.gov/programs-surveys/susb/datasets/2022/msa_3digitnaics_2022.txt</t>
        </is>
      </c>
    </row>
    <row r="250">
      <c r="A250" t="inlineStr">
        <is>
          <t>metro</t>
        </is>
      </c>
      <c r="B250" t="inlineStr">
        <is>
          <t>Lima, OH Metro Area</t>
        </is>
      </c>
      <c r="C250" t="inlineStr">
        <is>
          <t>30620</t>
        </is>
      </c>
      <c r="D250" s="7" t="n">
        <v>46.9</v>
      </c>
      <c r="E250" t="n">
        <v>46.94492455738777</v>
      </c>
      <c r="F250" s="7" t="n">
        <v>53.1</v>
      </c>
      <c r="G250" s="6" t="n">
        <v>42814</v>
      </c>
      <c r="H250" s="6" t="n">
        <v>20099</v>
      </c>
      <c r="I250" s="6" t="n">
        <v>22715</v>
      </c>
      <c r="J250" t="inlineStr">
        <is>
          <t>https://www2.census.gov/programs-surveys/susb/datasets/2022/msa_3digitnaics_2022.txt</t>
        </is>
      </c>
    </row>
    <row r="251">
      <c r="A251" t="inlineStr">
        <is>
          <t>metro</t>
        </is>
      </c>
      <c r="B251" t="inlineStr">
        <is>
          <t>Staunton-Stuarts Draft, VA Metro Area</t>
        </is>
      </c>
      <c r="C251" t="inlineStr">
        <is>
          <t>44420</t>
        </is>
      </c>
      <c r="D251" s="7" t="n">
        <v>46.9</v>
      </c>
      <c r="E251" t="n">
        <v>46.92132678721111</v>
      </c>
      <c r="F251" s="7" t="n">
        <v>53.1</v>
      </c>
      <c r="G251" s="6" t="n">
        <v>41755</v>
      </c>
      <c r="H251" s="6" t="n">
        <v>19592</v>
      </c>
      <c r="I251" s="6" t="n">
        <v>22163</v>
      </c>
      <c r="J251" t="inlineStr">
        <is>
          <t>https://www2.census.gov/programs-surveys/susb/datasets/2022/msa_3digitnaics_2022.txt</t>
        </is>
      </c>
    </row>
    <row r="252">
      <c r="A252" t="inlineStr">
        <is>
          <t>metro</t>
        </is>
      </c>
      <c r="B252" t="inlineStr">
        <is>
          <t>Burlington, NC Metro Area</t>
        </is>
      </c>
      <c r="C252" t="inlineStr">
        <is>
          <t>15500</t>
        </is>
      </c>
      <c r="D252" s="7" t="n">
        <v>46.9</v>
      </c>
      <c r="E252" t="n">
        <v>46.90678039263084</v>
      </c>
      <c r="F252" s="7" t="n">
        <v>53.1</v>
      </c>
      <c r="G252" s="6" t="n">
        <v>57917</v>
      </c>
      <c r="H252" s="6" t="n">
        <v>27167</v>
      </c>
      <c r="I252" s="6" t="n">
        <v>30750</v>
      </c>
      <c r="J252" t="inlineStr">
        <is>
          <t>https://www2.census.gov/programs-surveys/susb/datasets/2022/msa_3digitnaics_2022.txt</t>
        </is>
      </c>
    </row>
    <row r="253">
      <c r="A253" t="inlineStr">
        <is>
          <t>metro</t>
        </is>
      </c>
      <c r="B253" t="inlineStr">
        <is>
          <t>Terre Haute, IN Metro Area</t>
        </is>
      </c>
      <c r="C253" t="inlineStr">
        <is>
          <t>45460</t>
        </is>
      </c>
      <c r="D253" s="7" t="n">
        <v>46.8</v>
      </c>
      <c r="E253" t="n">
        <v>46.84318087280488</v>
      </c>
      <c r="F253" s="7" t="n">
        <v>53.2</v>
      </c>
      <c r="G253" s="6" t="n">
        <v>55293</v>
      </c>
      <c r="H253" s="6" t="n">
        <v>25901</v>
      </c>
      <c r="I253" s="6" t="n">
        <v>29392</v>
      </c>
      <c r="J253" t="inlineStr">
        <is>
          <t>https://www2.census.gov/programs-surveys/susb/datasets/2022/msa_3digitnaics_2022.txt</t>
        </is>
      </c>
    </row>
    <row r="254">
      <c r="A254" t="inlineStr">
        <is>
          <t>metro</t>
        </is>
      </c>
      <c r="B254" t="inlineStr">
        <is>
          <t>Corpus Christi, TX Metro Area</t>
        </is>
      </c>
      <c r="C254" t="inlineStr">
        <is>
          <t>18580</t>
        </is>
      </c>
      <c r="D254" s="7" t="n">
        <v>46.8</v>
      </c>
      <c r="E254" t="n">
        <v>46.79755845522872</v>
      </c>
      <c r="F254" s="7" t="n">
        <v>53.2</v>
      </c>
      <c r="G254" s="6" t="n">
        <v>155803</v>
      </c>
      <c r="H254" s="6" t="n">
        <v>72912</v>
      </c>
      <c r="I254" s="6" t="n">
        <v>82891</v>
      </c>
      <c r="J254" t="inlineStr">
        <is>
          <t>https://www2.census.gov/programs-surveys/susb/datasets/2022/msa_3digitnaics_2022.txt</t>
        </is>
      </c>
    </row>
    <row r="255">
      <c r="A255" t="inlineStr">
        <is>
          <t>metro</t>
        </is>
      </c>
      <c r="B255" t="inlineStr">
        <is>
          <t>San Francisco-Oakland-Fremont, CA Metro Area</t>
        </is>
      </c>
      <c r="C255" t="inlineStr">
        <is>
          <t>41860</t>
        </is>
      </c>
      <c r="D255" s="7" t="n">
        <v>46.7</v>
      </c>
      <c r="E255" t="n">
        <v>46.67328854739375</v>
      </c>
      <c r="F255" s="7" t="n">
        <v>53.3</v>
      </c>
      <c r="G255" s="6" t="n">
        <v>2360860</v>
      </c>
      <c r="H255" s="6" t="n">
        <v>1101891</v>
      </c>
      <c r="I255" s="6" t="n">
        <v>1258969</v>
      </c>
      <c r="J255" t="inlineStr">
        <is>
          <t>https://www2.census.gov/programs-surveys/susb/datasets/2022/msa_3digitnaics_2022.txt</t>
        </is>
      </c>
    </row>
    <row r="256">
      <c r="A256" t="inlineStr">
        <is>
          <t>metro</t>
        </is>
      </c>
      <c r="B256" t="inlineStr">
        <is>
          <t>Grand Island, NE Metro Area</t>
        </is>
      </c>
      <c r="C256" t="inlineStr">
        <is>
          <t>24260</t>
        </is>
      </c>
      <c r="D256" s="7" t="n">
        <v>46.7</v>
      </c>
      <c r="E256" t="n">
        <v>46.65777999944459</v>
      </c>
      <c r="F256" s="7" t="n">
        <v>53.3</v>
      </c>
      <c r="G256" s="6" t="n">
        <v>36009</v>
      </c>
      <c r="H256" s="6" t="n">
        <v>16801</v>
      </c>
      <c r="I256" s="6" t="n">
        <v>19208</v>
      </c>
      <c r="J256" t="inlineStr">
        <is>
          <t>https://www2.census.gov/programs-surveys/susb/datasets/2022/msa_3digitnaics_2022.txt</t>
        </is>
      </c>
    </row>
    <row r="257">
      <c r="A257" t="inlineStr">
        <is>
          <t>metro</t>
        </is>
      </c>
      <c r="B257" t="inlineStr">
        <is>
          <t>Clarksville, TN-KY Metro Area</t>
        </is>
      </c>
      <c r="C257" t="inlineStr">
        <is>
          <t>17300</t>
        </is>
      </c>
      <c r="D257" s="7" t="n">
        <v>46.6</v>
      </c>
      <c r="E257" t="n">
        <v>46.62314128185685</v>
      </c>
      <c r="F257" s="7" t="n">
        <v>53.4</v>
      </c>
      <c r="G257" s="6" t="n">
        <v>77809</v>
      </c>
      <c r="H257" s="6" t="n">
        <v>36277</v>
      </c>
      <c r="I257" s="6" t="n">
        <v>41532</v>
      </c>
      <c r="J257" t="inlineStr">
        <is>
          <t>https://www2.census.gov/programs-surveys/susb/datasets/2022/msa_3digitnaics_2022.txt</t>
        </is>
      </c>
    </row>
    <row r="258">
      <c r="A258" t="inlineStr">
        <is>
          <t>metro</t>
        </is>
      </c>
      <c r="B258" t="inlineStr">
        <is>
          <t>Wausau, WI Metro Area</t>
        </is>
      </c>
      <c r="C258" t="inlineStr">
        <is>
          <t>48140</t>
        </is>
      </c>
      <c r="D258" s="7" t="n">
        <v>46.5</v>
      </c>
      <c r="E258" t="n">
        <v>46.46771202158152</v>
      </c>
      <c r="F258" s="7" t="n">
        <v>53.5</v>
      </c>
      <c r="G258" s="6" t="n">
        <v>65241</v>
      </c>
      <c r="H258" s="6" t="n">
        <v>30316</v>
      </c>
      <c r="I258" s="6" t="n">
        <v>34925</v>
      </c>
      <c r="J258" t="inlineStr">
        <is>
          <t>https://www2.census.gov/programs-surveys/susb/datasets/2022/msa_3digitnaics_2022.txt</t>
        </is>
      </c>
    </row>
    <row r="259">
      <c r="A259" t="inlineStr">
        <is>
          <t>metro</t>
        </is>
      </c>
      <c r="B259" t="inlineStr">
        <is>
          <t>New Haven, CT Metro Area</t>
        </is>
      </c>
      <c r="C259" t="inlineStr">
        <is>
          <t>35300</t>
        </is>
      </c>
      <c r="D259" s="7" t="n">
        <v>46.4</v>
      </c>
      <c r="E259" t="n">
        <v>46.43904207878779</v>
      </c>
      <c r="F259" s="7" t="n">
        <v>53.6</v>
      </c>
      <c r="G259" s="6" t="n">
        <v>259228</v>
      </c>
      <c r="H259" s="6" t="n">
        <v>120383</v>
      </c>
      <c r="I259" s="6" t="n">
        <v>138845</v>
      </c>
      <c r="J259" t="inlineStr">
        <is>
          <t>https://www2.census.gov/programs-surveys/susb/datasets/2022/msa_3digitnaics_2022.txt</t>
        </is>
      </c>
    </row>
    <row r="260">
      <c r="A260" t="inlineStr">
        <is>
          <t>metro</t>
        </is>
      </c>
      <c r="B260" t="inlineStr">
        <is>
          <t>Syracuse, NY Metro Area</t>
        </is>
      </c>
      <c r="C260" t="inlineStr">
        <is>
          <t>45060</t>
        </is>
      </c>
      <c r="D260" s="7" t="n">
        <v>46.4</v>
      </c>
      <c r="E260" t="n">
        <v>46.3732258328878</v>
      </c>
      <c r="F260" s="7" t="n">
        <v>53.6</v>
      </c>
      <c r="G260" s="6" t="n">
        <v>256247</v>
      </c>
      <c r="H260" s="6" t="n">
        <v>118830</v>
      </c>
      <c r="I260" s="6" t="n">
        <v>137417</v>
      </c>
      <c r="J260" t="inlineStr">
        <is>
          <t>https://www2.census.gov/programs-surveys/susb/datasets/2022/msa_3digitnaics_2022.txt</t>
        </is>
      </c>
    </row>
    <row r="261">
      <c r="A261" t="inlineStr">
        <is>
          <t>metro</t>
        </is>
      </c>
      <c r="B261" t="inlineStr">
        <is>
          <t>Rochester, NY Metro Area</t>
        </is>
      </c>
      <c r="C261" t="inlineStr">
        <is>
          <t>40380</t>
        </is>
      </c>
      <c r="D261" s="7" t="n">
        <v>46.4</v>
      </c>
      <c r="E261" t="n">
        <v>46.3701385475015</v>
      </c>
      <c r="F261" s="7" t="n">
        <v>53.6</v>
      </c>
      <c r="G261" s="6" t="n">
        <v>433281</v>
      </c>
      <c r="H261" s="6" t="n">
        <v>200913</v>
      </c>
      <c r="I261" s="6" t="n">
        <v>232368</v>
      </c>
      <c r="J261" t="inlineStr">
        <is>
          <t>https://www2.census.gov/programs-surveys/susb/datasets/2022/msa_3digitnaics_2022.txt</t>
        </is>
      </c>
    </row>
    <row r="262">
      <c r="A262" t="inlineStr">
        <is>
          <t>metro</t>
        </is>
      </c>
      <c r="B262" t="inlineStr">
        <is>
          <t>Springfield, MO Metro Area</t>
        </is>
      </c>
      <c r="C262" t="inlineStr">
        <is>
          <t>44180</t>
        </is>
      </c>
      <c r="D262" s="7" t="n">
        <v>46.4</v>
      </c>
      <c r="E262" t="n">
        <v>46.36398712520434</v>
      </c>
      <c r="F262" s="7" t="n">
        <v>53.6</v>
      </c>
      <c r="G262" s="6" t="n">
        <v>196974</v>
      </c>
      <c r="H262" s="6" t="n">
        <v>91325</v>
      </c>
      <c r="I262" s="6" t="n">
        <v>105649</v>
      </c>
      <c r="J262" t="inlineStr">
        <is>
          <t>https://www2.census.gov/programs-surveys/susb/datasets/2022/msa_3digitnaics_2022.txt</t>
        </is>
      </c>
    </row>
    <row r="263">
      <c r="A263" t="inlineStr">
        <is>
          <t>metro</t>
        </is>
      </c>
      <c r="B263" t="inlineStr">
        <is>
          <t>Houston-Pasadena-The Woodlands, TX Metro Area</t>
        </is>
      </c>
      <c r="C263" t="inlineStr">
        <is>
          <t>26420</t>
        </is>
      </c>
      <c r="D263" s="7" t="n">
        <v>46.3</v>
      </c>
      <c r="E263" t="n">
        <v>46.34481091386595</v>
      </c>
      <c r="F263" s="7" t="n">
        <v>53.7</v>
      </c>
      <c r="G263" s="6" t="n">
        <v>2730105</v>
      </c>
      <c r="H263" s="6" t="n">
        <v>1265262</v>
      </c>
      <c r="I263" s="6" t="n">
        <v>1464843</v>
      </c>
      <c r="J263" t="inlineStr">
        <is>
          <t>https://www2.census.gov/programs-surveys/susb/datasets/2022/msa_3digitnaics_2022.txt</t>
        </is>
      </c>
    </row>
    <row r="264">
      <c r="A264" t="inlineStr">
        <is>
          <t>metro</t>
        </is>
      </c>
      <c r="B264" t="inlineStr">
        <is>
          <t>Mobile, AL Metro Area</t>
        </is>
      </c>
      <c r="C264" t="inlineStr">
        <is>
          <t>33660</t>
        </is>
      </c>
      <c r="D264" s="7" t="n">
        <v>46.3</v>
      </c>
      <c r="E264" t="n">
        <v>46.33788710912697</v>
      </c>
      <c r="F264" s="7" t="n">
        <v>53.7</v>
      </c>
      <c r="G264" s="6" t="n">
        <v>152767</v>
      </c>
      <c r="H264" s="6" t="n">
        <v>70789</v>
      </c>
      <c r="I264" s="6" t="n">
        <v>81978</v>
      </c>
      <c r="J264" t="inlineStr">
        <is>
          <t>https://www2.census.gov/programs-surveys/susb/datasets/2022/msa_3digitnaics_2022.txt</t>
        </is>
      </c>
    </row>
    <row r="265">
      <c r="A265" t="inlineStr">
        <is>
          <t>metro</t>
        </is>
      </c>
      <c r="B265" t="inlineStr">
        <is>
          <t>Cleveland, OH Metro Area</t>
        </is>
      </c>
      <c r="C265" t="inlineStr">
        <is>
          <t>17410</t>
        </is>
      </c>
      <c r="D265" s="7" t="n">
        <v>46.3</v>
      </c>
      <c r="E265" t="n">
        <v>46.330796289428</v>
      </c>
      <c r="F265" s="7" t="n">
        <v>53.7</v>
      </c>
      <c r="G265" s="6" t="n">
        <v>946377</v>
      </c>
      <c r="H265" s="6" t="n">
        <v>438464</v>
      </c>
      <c r="I265" s="6" t="n">
        <v>507913</v>
      </c>
      <c r="J265" t="inlineStr">
        <is>
          <t>https://www2.census.gov/programs-surveys/susb/datasets/2022/msa_3digitnaics_2022.txt</t>
        </is>
      </c>
    </row>
    <row r="266">
      <c r="A266" t="inlineStr">
        <is>
          <t>metro</t>
        </is>
      </c>
      <c r="B266" t="inlineStr">
        <is>
          <t>Lynchburg, VA Metro Area</t>
        </is>
      </c>
      <c r="C266" t="inlineStr">
        <is>
          <t>31340</t>
        </is>
      </c>
      <c r="D266" s="7" t="n">
        <v>46.3</v>
      </c>
      <c r="E266" t="n">
        <v>46.25724910126596</v>
      </c>
      <c r="F266" s="7" t="n">
        <v>53.7</v>
      </c>
      <c r="G266" s="6" t="n">
        <v>97081</v>
      </c>
      <c r="H266" s="6" t="n">
        <v>44907</v>
      </c>
      <c r="I266" s="6" t="n">
        <v>52174</v>
      </c>
      <c r="J266" t="inlineStr">
        <is>
          <t>https://www2.census.gov/programs-surveys/susb/datasets/2022/msa_3digitnaics_2022.txt</t>
        </is>
      </c>
    </row>
    <row r="267">
      <c r="A267" t="inlineStr">
        <is>
          <t>metro</t>
        </is>
      </c>
      <c r="B267" t="inlineStr">
        <is>
          <t>Janesville-Beloit, WI Metro Area</t>
        </is>
      </c>
      <c r="C267" t="inlineStr">
        <is>
          <t>27500</t>
        </is>
      </c>
      <c r="D267" s="7" t="n">
        <v>46.2</v>
      </c>
      <c r="E267" t="n">
        <v>46.16063548102383</v>
      </c>
      <c r="F267" s="7" t="n">
        <v>53.8</v>
      </c>
      <c r="G267" s="6" t="n">
        <v>61182</v>
      </c>
      <c r="H267" s="6" t="n">
        <v>28242</v>
      </c>
      <c r="I267" s="6" t="n">
        <v>32940</v>
      </c>
      <c r="J267" t="inlineStr">
        <is>
          <t>https://www2.census.gov/programs-surveys/susb/datasets/2022/msa_3digitnaics_2022.txt</t>
        </is>
      </c>
    </row>
    <row r="268">
      <c r="A268" t="inlineStr">
        <is>
          <t>metro</t>
        </is>
      </c>
      <c r="B268" t="inlineStr">
        <is>
          <t>Philadelphia-Camden-Wilmington, PA-NJ-DE-MD Metro Area</t>
        </is>
      </c>
      <c r="C268" t="inlineStr">
        <is>
          <t>37980</t>
        </is>
      </c>
      <c r="D268" s="7" t="n">
        <v>46</v>
      </c>
      <c r="E268" t="n">
        <v>46.02369153853996</v>
      </c>
      <c r="F268" s="7" t="n">
        <v>54</v>
      </c>
      <c r="G268" s="6" t="n">
        <v>2765882</v>
      </c>
      <c r="H268" s="6" t="n">
        <v>1272961</v>
      </c>
      <c r="I268" s="6" t="n">
        <v>1492921</v>
      </c>
      <c r="J268" t="inlineStr">
        <is>
          <t>https://www2.census.gov/programs-surveys/susb/datasets/2022/msa_3digitnaics_2022.txt</t>
        </is>
      </c>
    </row>
    <row r="269">
      <c r="A269" t="inlineStr">
        <is>
          <t>metro</t>
        </is>
      </c>
      <c r="B269" t="inlineStr">
        <is>
          <t>Hartford-West Hartford-East Hartford, CT Metro Area</t>
        </is>
      </c>
      <c r="C269" t="inlineStr">
        <is>
          <t>25540</t>
        </is>
      </c>
      <c r="D269" s="7" t="n">
        <v>46</v>
      </c>
      <c r="E269" t="n">
        <v>45.96708846176002</v>
      </c>
      <c r="F269" s="7" t="n">
        <v>54</v>
      </c>
      <c r="G269" s="6" t="n">
        <v>520790</v>
      </c>
      <c r="H269" s="6" t="n">
        <v>239392</v>
      </c>
      <c r="I269" s="6" t="n">
        <v>281398</v>
      </c>
      <c r="J269" t="inlineStr">
        <is>
          <t>https://www2.census.gov/programs-surveys/susb/datasets/2022/msa_3digitnaics_2022.txt</t>
        </is>
      </c>
    </row>
    <row r="270">
      <c r="A270" t="inlineStr">
        <is>
          <t>metro</t>
        </is>
      </c>
      <c r="B270" t="inlineStr">
        <is>
          <t>Tucson, AZ Metro Area</t>
        </is>
      </c>
      <c r="C270" t="inlineStr">
        <is>
          <t>46060</t>
        </is>
      </c>
      <c r="D270" s="7" t="n">
        <v>45.9</v>
      </c>
      <c r="E270" t="n">
        <v>45.94377098491196</v>
      </c>
      <c r="F270" s="7" t="n">
        <v>54.1</v>
      </c>
      <c r="G270" s="6" t="n">
        <v>331786</v>
      </c>
      <c r="H270" s="6" t="n">
        <v>152435</v>
      </c>
      <c r="I270" s="6" t="n">
        <v>179351</v>
      </c>
      <c r="J270" t="inlineStr">
        <is>
          <t>https://www2.census.gov/programs-surveys/susb/datasets/2022/msa_3digitnaics_2022.txt</t>
        </is>
      </c>
    </row>
    <row r="271">
      <c r="A271" t="inlineStr">
        <is>
          <t>metro</t>
        </is>
      </c>
      <c r="B271" t="inlineStr">
        <is>
          <t>Rockford, IL Metro Area</t>
        </is>
      </c>
      <c r="C271" t="inlineStr">
        <is>
          <t>40420</t>
        </is>
      </c>
      <c r="D271" s="7" t="n">
        <v>45.9</v>
      </c>
      <c r="E271" t="n">
        <v>45.92933461115027</v>
      </c>
      <c r="F271" s="7" t="n">
        <v>54.1</v>
      </c>
      <c r="G271" s="6" t="n">
        <v>126257</v>
      </c>
      <c r="H271" s="6" t="n">
        <v>57989</v>
      </c>
      <c r="I271" s="6" t="n">
        <v>68268</v>
      </c>
      <c r="J271" t="inlineStr">
        <is>
          <t>https://www2.census.gov/programs-surveys/susb/datasets/2022/msa_3digitnaics_2022.txt</t>
        </is>
      </c>
    </row>
    <row r="272">
      <c r="A272" t="inlineStr">
        <is>
          <t>metro</t>
        </is>
      </c>
      <c r="B272" t="inlineStr">
        <is>
          <t>Minneapolis-St. Paul-Bloomington, MN-WI Metro Area</t>
        </is>
      </c>
      <c r="C272" t="inlineStr">
        <is>
          <t>33460</t>
        </is>
      </c>
      <c r="D272" s="7" t="n">
        <v>45.8</v>
      </c>
      <c r="E272" t="n">
        <v>45.81681596358854</v>
      </c>
      <c r="F272" s="7" t="n">
        <v>54.2</v>
      </c>
      <c r="G272" s="6" t="n">
        <v>1840739</v>
      </c>
      <c r="H272" s="6" t="n">
        <v>843368</v>
      </c>
      <c r="I272" s="6" t="n">
        <v>997371</v>
      </c>
      <c r="J272" t="inlineStr">
        <is>
          <t>https://www2.census.gov/programs-surveys/susb/datasets/2022/msa_3digitnaics_2022.txt</t>
        </is>
      </c>
    </row>
    <row r="273">
      <c r="A273" t="inlineStr">
        <is>
          <t>metro</t>
        </is>
      </c>
      <c r="B273" t="inlineStr">
        <is>
          <t>Tuscaloosa, AL Metro Area</t>
        </is>
      </c>
      <c r="C273" t="inlineStr">
        <is>
          <t>46220</t>
        </is>
      </c>
      <c r="D273" s="7" t="n">
        <v>45.8</v>
      </c>
      <c r="E273" t="n">
        <v>45.80311476351934</v>
      </c>
      <c r="F273" s="7" t="n">
        <v>54.2</v>
      </c>
      <c r="G273" s="6" t="n">
        <v>87005</v>
      </c>
      <c r="H273" s="6" t="n">
        <v>39851</v>
      </c>
      <c r="I273" s="6" t="n">
        <v>47154</v>
      </c>
      <c r="J273" t="inlineStr">
        <is>
          <t>https://www2.census.gov/programs-surveys/susb/datasets/2022/msa_3digitnaics_2022.txt</t>
        </is>
      </c>
    </row>
    <row r="274">
      <c r="A274" t="inlineStr">
        <is>
          <t>metro</t>
        </is>
      </c>
      <c r="B274" t="inlineStr">
        <is>
          <t>Blacksburg-Christiansburg-Radford, VA Metro Area</t>
        </is>
      </c>
      <c r="C274" t="inlineStr">
        <is>
          <t>13980</t>
        </is>
      </c>
      <c r="D274" s="7" t="n">
        <v>45.7</v>
      </c>
      <c r="E274" t="n">
        <v>45.73019240882795</v>
      </c>
      <c r="F274" s="7" t="n">
        <v>54.3</v>
      </c>
      <c r="G274" s="6" t="n">
        <v>55143</v>
      </c>
      <c r="H274" s="6" t="n">
        <v>25217</v>
      </c>
      <c r="I274" s="6" t="n">
        <v>29926</v>
      </c>
      <c r="J274" t="inlineStr">
        <is>
          <t>https://www2.census.gov/programs-surveys/susb/datasets/2022/msa_3digitnaics_2022.txt</t>
        </is>
      </c>
    </row>
    <row r="275">
      <c r="A275" t="inlineStr">
        <is>
          <t>metro</t>
        </is>
      </c>
      <c r="B275" t="inlineStr">
        <is>
          <t>Jackson, MS Metro Area</t>
        </is>
      </c>
      <c r="C275" t="inlineStr">
        <is>
          <t>27140</t>
        </is>
      </c>
      <c r="D275" s="7" t="n">
        <v>45.7</v>
      </c>
      <c r="E275" t="n">
        <v>45.71236216106804</v>
      </c>
      <c r="F275" s="7" t="n">
        <v>54.3</v>
      </c>
      <c r="G275" s="6" t="n">
        <v>227258</v>
      </c>
      <c r="H275" s="6" t="n">
        <v>103885</v>
      </c>
      <c r="I275" s="6" t="n">
        <v>123373</v>
      </c>
      <c r="J275" t="inlineStr">
        <is>
          <t>https://www2.census.gov/programs-surveys/susb/datasets/2022/msa_3digitnaics_2022.txt</t>
        </is>
      </c>
    </row>
    <row r="276">
      <c r="A276" t="inlineStr">
        <is>
          <t>metro</t>
        </is>
      </c>
      <c r="B276" t="inlineStr">
        <is>
          <t>Chambersburg, PA Metro Area</t>
        </is>
      </c>
      <c r="C276" t="inlineStr">
        <is>
          <t>16540</t>
        </is>
      </c>
      <c r="D276" s="7" t="n">
        <v>45.7</v>
      </c>
      <c r="E276" t="n">
        <v>45.66559926806953</v>
      </c>
      <c r="F276" s="7" t="n">
        <v>54.3</v>
      </c>
      <c r="G276" s="6" t="n">
        <v>52464</v>
      </c>
      <c r="H276" s="6" t="n">
        <v>23958</v>
      </c>
      <c r="I276" s="6" t="n">
        <v>28506</v>
      </c>
      <c r="J276" t="inlineStr">
        <is>
          <t>https://www2.census.gov/programs-surveys/susb/datasets/2022/msa_3digitnaics_2022.txt</t>
        </is>
      </c>
    </row>
    <row r="277">
      <c r="A277" t="inlineStr">
        <is>
          <t>metro</t>
        </is>
      </c>
      <c r="B277" t="inlineStr">
        <is>
          <t>Anniston-Oxford, AL Metro Area</t>
        </is>
      </c>
      <c r="C277" t="inlineStr">
        <is>
          <t>11500</t>
        </is>
      </c>
      <c r="D277" s="7" t="n">
        <v>45.5</v>
      </c>
      <c r="E277" t="n">
        <v>45.54171782728177</v>
      </c>
      <c r="F277" s="7" t="n">
        <v>54.5</v>
      </c>
      <c r="G277" s="6" t="n">
        <v>34206</v>
      </c>
      <c r="H277" s="6" t="n">
        <v>15578</v>
      </c>
      <c r="I277" s="6" t="n">
        <v>18628</v>
      </c>
      <c r="J277" t="inlineStr">
        <is>
          <t>https://www2.census.gov/programs-surveys/susb/datasets/2022/msa_3digitnaics_2022.txt</t>
        </is>
      </c>
    </row>
    <row r="278">
      <c r="A278" t="inlineStr">
        <is>
          <t>metro</t>
        </is>
      </c>
      <c r="B278" t="inlineStr">
        <is>
          <t>Hickory-Lenoir-Morganton, NC Metro Area</t>
        </is>
      </c>
      <c r="C278" t="inlineStr">
        <is>
          <t>25860</t>
        </is>
      </c>
      <c r="D278" s="7" t="n">
        <v>45.5</v>
      </c>
      <c r="E278" t="n">
        <v>45.51995463245198</v>
      </c>
      <c r="F278" s="7" t="n">
        <v>54.5</v>
      </c>
      <c r="G278" s="6" t="n">
        <v>141070</v>
      </c>
      <c r="H278" s="6" t="n">
        <v>64215</v>
      </c>
      <c r="I278" s="6" t="n">
        <v>76855</v>
      </c>
      <c r="J278" t="inlineStr">
        <is>
          <t>https://www2.census.gov/programs-surveys/susb/datasets/2022/msa_3digitnaics_2022.txt</t>
        </is>
      </c>
    </row>
    <row r="279">
      <c r="A279" t="inlineStr">
        <is>
          <t>metro</t>
        </is>
      </c>
      <c r="B279" t="inlineStr">
        <is>
          <t>Elizabethtown, KY Metro Area</t>
        </is>
      </c>
      <c r="C279" t="inlineStr">
        <is>
          <t>21060</t>
        </is>
      </c>
      <c r="D279" s="7" t="n">
        <v>45.5</v>
      </c>
      <c r="E279" t="n">
        <v>45.51327503348302</v>
      </c>
      <c r="F279" s="7" t="n">
        <v>54.5</v>
      </c>
      <c r="G279" s="6" t="n">
        <v>38079</v>
      </c>
      <c r="H279" s="6" t="n">
        <v>17331</v>
      </c>
      <c r="I279" s="6" t="n">
        <v>20748</v>
      </c>
      <c r="J279" t="inlineStr">
        <is>
          <t>https://www2.census.gov/programs-surveys/susb/datasets/2022/msa_3digitnaics_2022.txt</t>
        </is>
      </c>
    </row>
    <row r="280">
      <c r="A280" t="inlineStr">
        <is>
          <t>metro</t>
        </is>
      </c>
      <c r="B280" t="inlineStr">
        <is>
          <t>Pensacola-Ferry Pass-Brent, FL Metro Area</t>
        </is>
      </c>
      <c r="C280" t="inlineStr">
        <is>
          <t>37860</t>
        </is>
      </c>
      <c r="D280" s="7" t="n">
        <v>45.5</v>
      </c>
      <c r="E280" t="n">
        <v>45.49354452831745</v>
      </c>
      <c r="F280" s="7" t="n">
        <v>54.5</v>
      </c>
      <c r="G280" s="6" t="n">
        <v>145458</v>
      </c>
      <c r="H280" s="6" t="n">
        <v>66174</v>
      </c>
      <c r="I280" s="6" t="n">
        <v>79284</v>
      </c>
      <c r="J280" t="inlineStr">
        <is>
          <t>https://www2.census.gov/programs-surveys/susb/datasets/2022/msa_3digitnaics_2022.txt</t>
        </is>
      </c>
    </row>
    <row r="281">
      <c r="A281" t="inlineStr">
        <is>
          <t>metro</t>
        </is>
      </c>
      <c r="B281" t="inlineStr">
        <is>
          <t>Davenport-Moline-Rock Island, IA-IL Metro Area</t>
        </is>
      </c>
      <c r="C281" t="inlineStr">
        <is>
          <t>19340</t>
        </is>
      </c>
      <c r="D281" s="7" t="n">
        <v>45.4</v>
      </c>
      <c r="E281" t="n">
        <v>45.42779608211607</v>
      </c>
      <c r="F281" s="7" t="n">
        <v>54.6</v>
      </c>
      <c r="G281" s="6" t="n">
        <v>161771</v>
      </c>
      <c r="H281" s="6" t="n">
        <v>73489</v>
      </c>
      <c r="I281" s="6" t="n">
        <v>88282</v>
      </c>
      <c r="J281" t="inlineStr">
        <is>
          <t>https://www2.census.gov/programs-surveys/susb/datasets/2022/msa_3digitnaics_2022.txt</t>
        </is>
      </c>
    </row>
    <row r="282">
      <c r="A282" t="inlineStr">
        <is>
          <t>metro</t>
        </is>
      </c>
      <c r="B282" t="inlineStr">
        <is>
          <t>Omaha, NE-IA Metro Area</t>
        </is>
      </c>
      <c r="C282" t="inlineStr">
        <is>
          <t>36540</t>
        </is>
      </c>
      <c r="D282" s="7" t="n">
        <v>45.4</v>
      </c>
      <c r="E282" t="n">
        <v>45.42023219679434</v>
      </c>
      <c r="F282" s="7" t="n">
        <v>54.6</v>
      </c>
      <c r="G282" s="6" t="n">
        <v>436354</v>
      </c>
      <c r="H282" s="6" t="n">
        <v>198193</v>
      </c>
      <c r="I282" s="6" t="n">
        <v>238161</v>
      </c>
      <c r="J282" t="inlineStr">
        <is>
          <t>https://www2.census.gov/programs-surveys/susb/datasets/2022/msa_3digitnaics_2022.txt</t>
        </is>
      </c>
    </row>
    <row r="283">
      <c r="A283" t="inlineStr">
        <is>
          <t>metro</t>
        </is>
      </c>
      <c r="B283" t="inlineStr">
        <is>
          <t>Albany-Schenectady-Troy, NY Metro Area</t>
        </is>
      </c>
      <c r="C283" t="inlineStr">
        <is>
          <t>10580</t>
        </is>
      </c>
      <c r="D283" s="7" t="n">
        <v>45.3</v>
      </c>
      <c r="E283" t="n">
        <v>45.32689251311614</v>
      </c>
      <c r="F283" s="7" t="n">
        <v>54.7</v>
      </c>
      <c r="G283" s="6" t="n">
        <v>351094</v>
      </c>
      <c r="H283" s="6" t="n">
        <v>159140</v>
      </c>
      <c r="I283" s="6" t="n">
        <v>191954</v>
      </c>
      <c r="J283" t="inlineStr">
        <is>
          <t>https://www2.census.gov/programs-surveys/susb/datasets/2022/msa_3digitnaics_2022.txt</t>
        </is>
      </c>
    </row>
    <row r="284">
      <c r="A284" t="inlineStr">
        <is>
          <t>metro</t>
        </is>
      </c>
      <c r="B284" t="inlineStr">
        <is>
          <t>Fayetteville, NC Metro Area</t>
        </is>
      </c>
      <c r="C284" t="inlineStr">
        <is>
          <t>22180</t>
        </is>
      </c>
      <c r="D284" s="7" t="n">
        <v>45.3</v>
      </c>
      <c r="E284" t="n">
        <v>45.30938515776139</v>
      </c>
      <c r="F284" s="7" t="n">
        <v>54.7</v>
      </c>
      <c r="G284" s="6" t="n">
        <v>101831</v>
      </c>
      <c r="H284" s="6" t="n">
        <v>46139</v>
      </c>
      <c r="I284" s="6" t="n">
        <v>55692</v>
      </c>
      <c r="J284" t="inlineStr">
        <is>
          <t>https://www2.census.gov/programs-surveys/susb/datasets/2022/msa_3digitnaics_2022.txt</t>
        </is>
      </c>
    </row>
    <row r="285">
      <c r="A285" t="inlineStr">
        <is>
          <t>metro</t>
        </is>
      </c>
      <c r="B285" t="inlineStr">
        <is>
          <t>Greenville, NC Metro Area</t>
        </is>
      </c>
      <c r="C285" t="inlineStr">
        <is>
          <t>24780</t>
        </is>
      </c>
      <c r="D285" s="7" t="n">
        <v>45.2</v>
      </c>
      <c r="E285" t="n">
        <v>45.23687041107421</v>
      </c>
      <c r="F285" s="7" t="n">
        <v>54.8</v>
      </c>
      <c r="G285" s="6" t="n">
        <v>64149</v>
      </c>
      <c r="H285" s="6" t="n">
        <v>29019</v>
      </c>
      <c r="I285" s="6" t="n">
        <v>35130</v>
      </c>
      <c r="J285" t="inlineStr">
        <is>
          <t>https://www2.census.gov/programs-surveys/susb/datasets/2022/msa_3digitnaics_2022.txt</t>
        </is>
      </c>
    </row>
    <row r="286">
      <c r="A286" t="inlineStr">
        <is>
          <t>metro</t>
        </is>
      </c>
      <c r="B286" t="inlineStr">
        <is>
          <t>Reading, PA Metro Area</t>
        </is>
      </c>
      <c r="C286" t="inlineStr">
        <is>
          <t>39740</t>
        </is>
      </c>
      <c r="D286" s="7" t="n">
        <v>45.2</v>
      </c>
      <c r="E286" t="n">
        <v>45.2315087183467</v>
      </c>
      <c r="F286" s="7" t="n">
        <v>54.8</v>
      </c>
      <c r="G286" s="6" t="n">
        <v>159778</v>
      </c>
      <c r="H286" s="6" t="n">
        <v>72270</v>
      </c>
      <c r="I286" s="6" t="n">
        <v>87508</v>
      </c>
      <c r="J286" t="inlineStr">
        <is>
          <t>https://www2.census.gov/programs-surveys/susb/datasets/2022/msa_3digitnaics_2022.txt</t>
        </is>
      </c>
    </row>
    <row r="287">
      <c r="A287" t="inlineStr">
        <is>
          <t>metro</t>
        </is>
      </c>
      <c r="B287" t="inlineStr">
        <is>
          <t>Norwich-New London-Willimantic, CT Metro Area</t>
        </is>
      </c>
      <c r="C287" t="inlineStr">
        <is>
          <t>35980</t>
        </is>
      </c>
      <c r="D287" s="7" t="n">
        <v>45.2</v>
      </c>
      <c r="E287" t="n">
        <v>45.21571534469978</v>
      </c>
      <c r="F287" s="7" t="n">
        <v>54.8</v>
      </c>
      <c r="G287" s="6" t="n">
        <v>101175</v>
      </c>
      <c r="H287" s="6" t="n">
        <v>45747</v>
      </c>
      <c r="I287" s="6" t="n">
        <v>55428</v>
      </c>
      <c r="J287" t="inlineStr">
        <is>
          <t>https://www2.census.gov/programs-surveys/susb/datasets/2022/msa_3digitnaics_2022.txt</t>
        </is>
      </c>
    </row>
    <row r="288">
      <c r="A288" t="inlineStr">
        <is>
          <t>metro</t>
        </is>
      </c>
      <c r="B288" t="inlineStr">
        <is>
          <t>Toledo, OH Metro Area</t>
        </is>
      </c>
      <c r="C288" t="inlineStr">
        <is>
          <t>45780</t>
        </is>
      </c>
      <c r="D288" s="7" t="n">
        <v>45.2</v>
      </c>
      <c r="E288" t="n">
        <v>45.18752841484334</v>
      </c>
      <c r="F288" s="7" t="n">
        <v>54.8</v>
      </c>
      <c r="G288" s="6" t="n">
        <v>261747</v>
      </c>
      <c r="H288" s="6" t="n">
        <v>118277</v>
      </c>
      <c r="I288" s="6" t="n">
        <v>143470</v>
      </c>
      <c r="J288" t="inlineStr">
        <is>
          <t>https://www2.census.gov/programs-surveys/susb/datasets/2022/msa_3digitnaics_2022.txt</t>
        </is>
      </c>
    </row>
    <row r="289">
      <c r="A289" t="inlineStr">
        <is>
          <t>metro</t>
        </is>
      </c>
      <c r="B289" t="inlineStr">
        <is>
          <t>Denver-Aurora-Centennial, CO Metro Area</t>
        </is>
      </c>
      <c r="C289" t="inlineStr">
        <is>
          <t>19740</t>
        </is>
      </c>
      <c r="D289" s="7" t="n">
        <v>45.2</v>
      </c>
      <c r="E289" t="n">
        <v>45.17163072923893</v>
      </c>
      <c r="F289" s="7" t="n">
        <v>54.8</v>
      </c>
      <c r="G289" s="6" t="n">
        <v>1369510</v>
      </c>
      <c r="H289" s="6" t="n">
        <v>618630</v>
      </c>
      <c r="I289" s="6" t="n">
        <v>750880</v>
      </c>
      <c r="J289" t="inlineStr">
        <is>
          <t>https://www2.census.gov/programs-surveys/susb/datasets/2022/msa_3digitnaics_2022.txt</t>
        </is>
      </c>
    </row>
    <row r="290">
      <c r="A290" t="inlineStr">
        <is>
          <t>metro</t>
        </is>
      </c>
      <c r="B290" t="inlineStr">
        <is>
          <t>Springfield, OH Metro Area</t>
        </is>
      </c>
      <c r="C290" t="inlineStr">
        <is>
          <t>44220</t>
        </is>
      </c>
      <c r="D290" s="7" t="n">
        <v>45.1</v>
      </c>
      <c r="E290" t="n">
        <v>45.1428297775543</v>
      </c>
      <c r="F290" s="7" t="n">
        <v>54.9</v>
      </c>
      <c r="G290" s="6" t="n">
        <v>41763</v>
      </c>
      <c r="H290" s="6" t="n">
        <v>18853</v>
      </c>
      <c r="I290" s="6" t="n">
        <v>22910</v>
      </c>
      <c r="J290" t="inlineStr">
        <is>
          <t>https://www2.census.gov/programs-surveys/susb/datasets/2022/msa_3digitnaics_2022.txt</t>
        </is>
      </c>
    </row>
    <row r="291">
      <c r="A291" t="inlineStr">
        <is>
          <t>metro</t>
        </is>
      </c>
      <c r="B291" t="inlineStr">
        <is>
          <t>Weirton-Steubenville, WV-OH Metro Area</t>
        </is>
      </c>
      <c r="C291" t="inlineStr">
        <is>
          <t>48260</t>
        </is>
      </c>
      <c r="D291" s="7" t="n">
        <v>45.1</v>
      </c>
      <c r="E291" t="n">
        <v>45.13629318989881</v>
      </c>
      <c r="F291" s="7" t="n">
        <v>54.9</v>
      </c>
      <c r="G291" s="6" t="n">
        <v>32907</v>
      </c>
      <c r="H291" s="6" t="n">
        <v>14853</v>
      </c>
      <c r="I291" s="6" t="n">
        <v>18054</v>
      </c>
      <c r="J291" t="inlineStr">
        <is>
          <t>https://www2.census.gov/programs-surveys/susb/datasets/2022/msa_3digitnaics_2022.txt</t>
        </is>
      </c>
    </row>
    <row r="292">
      <c r="A292" t="inlineStr">
        <is>
          <t>metro</t>
        </is>
      </c>
      <c r="B292" t="inlineStr">
        <is>
          <t>Owensboro, KY Metro Area</t>
        </is>
      </c>
      <c r="C292" t="inlineStr">
        <is>
          <t>36980</t>
        </is>
      </c>
      <c r="D292" s="7" t="n">
        <v>45.1</v>
      </c>
      <c r="E292" t="n">
        <v>45.11566664396467</v>
      </c>
      <c r="F292" s="7" t="n">
        <v>54.9</v>
      </c>
      <c r="G292" s="6" t="n">
        <v>44049</v>
      </c>
      <c r="H292" s="6" t="n">
        <v>19873</v>
      </c>
      <c r="I292" s="6" t="n">
        <v>24176</v>
      </c>
      <c r="J292" t="inlineStr">
        <is>
          <t>https://www2.census.gov/programs-surveys/susb/datasets/2022/msa_3digitnaics_2022.txt</t>
        </is>
      </c>
    </row>
    <row r="293">
      <c r="A293" t="inlineStr">
        <is>
          <t>metro</t>
        </is>
      </c>
      <c r="B293" t="inlineStr">
        <is>
          <t>Muncie, IN Metro Area</t>
        </is>
      </c>
      <c r="C293" t="inlineStr">
        <is>
          <t>34620</t>
        </is>
      </c>
      <c r="D293" s="7" t="n">
        <v>45.1</v>
      </c>
      <c r="E293" t="n">
        <v>45.10669975186104</v>
      </c>
      <c r="F293" s="7" t="n">
        <v>54.9</v>
      </c>
      <c r="G293" s="6" t="n">
        <v>40300</v>
      </c>
      <c r="H293" s="6" t="n">
        <v>18178</v>
      </c>
      <c r="I293" s="6" t="n">
        <v>22122</v>
      </c>
      <c r="J293" t="inlineStr">
        <is>
          <t>https://www2.census.gov/programs-surveys/susb/datasets/2022/msa_3digitnaics_2022.txt</t>
        </is>
      </c>
    </row>
    <row r="294">
      <c r="A294" t="inlineStr">
        <is>
          <t>metro</t>
        </is>
      </c>
      <c r="B294" t="inlineStr">
        <is>
          <t>Sumter, SC Metro Area</t>
        </is>
      </c>
      <c r="C294" t="inlineStr">
        <is>
          <t>44940</t>
        </is>
      </c>
      <c r="D294" s="7" t="n">
        <v>45.1</v>
      </c>
      <c r="E294" t="n">
        <v>45.08742171189979</v>
      </c>
      <c r="F294" s="7" t="n">
        <v>54.9</v>
      </c>
      <c r="G294" s="6" t="n">
        <v>30656</v>
      </c>
      <c r="H294" s="6" t="n">
        <v>13822</v>
      </c>
      <c r="I294" s="6" t="n">
        <v>16834</v>
      </c>
      <c r="J294" t="inlineStr">
        <is>
          <t>https://www2.census.gov/programs-surveys/susb/datasets/2022/msa_3digitnaics_2022.txt</t>
        </is>
      </c>
    </row>
    <row r="295">
      <c r="A295" t="inlineStr">
        <is>
          <t>metro</t>
        </is>
      </c>
      <c r="B295" t="inlineStr">
        <is>
          <t>Cedar Rapids, IA Metro Area</t>
        </is>
      </c>
      <c r="C295" t="inlineStr">
        <is>
          <t>16300</t>
        </is>
      </c>
      <c r="D295" s="7" t="n">
        <v>45.1</v>
      </c>
      <c r="E295" t="n">
        <v>45.06367041198502</v>
      </c>
      <c r="F295" s="7" t="n">
        <v>54.9</v>
      </c>
      <c r="G295" s="6" t="n">
        <v>126825</v>
      </c>
      <c r="H295" s="6" t="n">
        <v>57152</v>
      </c>
      <c r="I295" s="6" t="n">
        <v>69673</v>
      </c>
      <c r="J295" t="inlineStr">
        <is>
          <t>https://www2.census.gov/programs-surveys/susb/datasets/2022/msa_3digitnaics_2022.txt</t>
        </is>
      </c>
    </row>
    <row r="296">
      <c r="A296" t="inlineStr">
        <is>
          <t>metro</t>
        </is>
      </c>
      <c r="B296" t="inlineStr">
        <is>
          <t>Waco, TX Metro Area</t>
        </is>
      </c>
      <c r="C296" t="inlineStr">
        <is>
          <t>47380</t>
        </is>
      </c>
      <c r="D296" s="7" t="n">
        <v>45</v>
      </c>
      <c r="E296" t="n">
        <v>45.04334482728211</v>
      </c>
      <c r="F296" s="7" t="n">
        <v>55</v>
      </c>
      <c r="G296" s="6" t="n">
        <v>113393</v>
      </c>
      <c r="H296" s="6" t="n">
        <v>51076</v>
      </c>
      <c r="I296" s="6" t="n">
        <v>62317</v>
      </c>
      <c r="J296" t="inlineStr">
        <is>
          <t>https://www2.census.gov/programs-surveys/susb/datasets/2022/msa_3digitnaics_2022.txt</t>
        </is>
      </c>
    </row>
    <row r="297">
      <c r="A297" t="inlineStr">
        <is>
          <t>metro</t>
        </is>
      </c>
      <c r="B297" t="inlineStr">
        <is>
          <t>Savannah, GA Metro Area</t>
        </is>
      </c>
      <c r="C297" t="inlineStr">
        <is>
          <t>42340</t>
        </is>
      </c>
      <c r="D297" s="7" t="n">
        <v>45</v>
      </c>
      <c r="E297" t="n">
        <v>45.03772184594526</v>
      </c>
      <c r="F297" s="7" t="n">
        <v>55</v>
      </c>
      <c r="G297" s="6" t="n">
        <v>171121</v>
      </c>
      <c r="H297" s="6" t="n">
        <v>77069</v>
      </c>
      <c r="I297" s="6" t="n">
        <v>94052</v>
      </c>
      <c r="J297" t="inlineStr">
        <is>
          <t>https://www2.census.gov/programs-surveys/susb/datasets/2022/msa_3digitnaics_2022.txt</t>
        </is>
      </c>
    </row>
    <row r="298">
      <c r="A298" t="inlineStr">
        <is>
          <t>metro</t>
        </is>
      </c>
      <c r="B298" t="inlineStr">
        <is>
          <t>Peoria, IL Metro Area</t>
        </is>
      </c>
      <c r="C298" t="inlineStr">
        <is>
          <t>37900</t>
        </is>
      </c>
      <c r="D298" s="7" t="n">
        <v>45</v>
      </c>
      <c r="E298" t="n">
        <v>45.01312421433828</v>
      </c>
      <c r="F298" s="7" t="n">
        <v>55</v>
      </c>
      <c r="G298" s="6" t="n">
        <v>153533</v>
      </c>
      <c r="H298" s="6" t="n">
        <v>69110</v>
      </c>
      <c r="I298" s="6" t="n">
        <v>84423</v>
      </c>
      <c r="J298" t="inlineStr">
        <is>
          <t>https://www2.census.gov/programs-surveys/susb/datasets/2022/msa_3digitnaics_2022.txt</t>
        </is>
      </c>
    </row>
    <row r="299">
      <c r="A299" t="inlineStr">
        <is>
          <t>metro</t>
        </is>
      </c>
      <c r="B299" t="inlineStr">
        <is>
          <t>Tampa-St. Petersburg-Clearwater, FL Metro Area</t>
        </is>
      </c>
      <c r="C299" t="inlineStr">
        <is>
          <t>45300</t>
        </is>
      </c>
      <c r="D299" s="7" t="n">
        <v>45</v>
      </c>
      <c r="E299" t="n">
        <v>45.01281182620112</v>
      </c>
      <c r="F299" s="7" t="n">
        <v>55</v>
      </c>
      <c r="G299" s="6" t="n">
        <v>1230894</v>
      </c>
      <c r="H299" s="6" t="n">
        <v>554060</v>
      </c>
      <c r="I299" s="6" t="n">
        <v>676834</v>
      </c>
      <c r="J299" t="inlineStr">
        <is>
          <t>https://www2.census.gov/programs-surveys/susb/datasets/2022/msa_3digitnaics_2022.txt</t>
        </is>
      </c>
    </row>
    <row r="300">
      <c r="A300" t="inlineStr">
        <is>
          <t>metro</t>
        </is>
      </c>
      <c r="B300" t="inlineStr">
        <is>
          <t>Columbia, MO Metro Area</t>
        </is>
      </c>
      <c r="C300" t="inlineStr">
        <is>
          <t>17860</t>
        </is>
      </c>
      <c r="D300" s="7" t="n">
        <v>45</v>
      </c>
      <c r="E300" t="n">
        <v>44.97971828474637</v>
      </c>
      <c r="F300" s="7" t="n">
        <v>55</v>
      </c>
      <c r="G300" s="6" t="n">
        <v>89736</v>
      </c>
      <c r="H300" s="6" t="n">
        <v>40363</v>
      </c>
      <c r="I300" s="6" t="n">
        <v>49373</v>
      </c>
      <c r="J300" t="inlineStr">
        <is>
          <t>https://www2.census.gov/programs-surveys/susb/datasets/2022/msa_3digitnaics_2022.txt</t>
        </is>
      </c>
    </row>
    <row r="301">
      <c r="A301" t="inlineStr">
        <is>
          <t>metro</t>
        </is>
      </c>
      <c r="B301" t="inlineStr">
        <is>
          <t>Hanford-Corcoran, CA Metro Area</t>
        </is>
      </c>
      <c r="C301" t="inlineStr">
        <is>
          <t>25260</t>
        </is>
      </c>
      <c r="D301" s="7" t="n">
        <v>44.9</v>
      </c>
      <c r="E301" t="n">
        <v>44.85370950888192</v>
      </c>
      <c r="F301" s="7" t="n">
        <v>55.1</v>
      </c>
      <c r="G301" s="6" t="n">
        <v>26796</v>
      </c>
      <c r="H301" s="6" t="n">
        <v>12019</v>
      </c>
      <c r="I301" s="6" t="n">
        <v>14777</v>
      </c>
      <c r="J301" t="inlineStr">
        <is>
          <t>https://www2.census.gov/programs-surveys/susb/datasets/2022/msa_3digitnaics_2022.txt</t>
        </is>
      </c>
    </row>
    <row r="302">
      <c r="A302" t="inlineStr">
        <is>
          <t>metro</t>
        </is>
      </c>
      <c r="B302" t="inlineStr">
        <is>
          <t>Greensboro-High Point, NC Metro Area</t>
        </is>
      </c>
      <c r="C302" t="inlineStr">
        <is>
          <t>24660</t>
        </is>
      </c>
      <c r="D302" s="7" t="n">
        <v>44.9</v>
      </c>
      <c r="E302" t="n">
        <v>44.85367364789349</v>
      </c>
      <c r="F302" s="7" t="n">
        <v>55.1</v>
      </c>
      <c r="G302" s="6" t="n">
        <v>329264</v>
      </c>
      <c r="H302" s="6" t="n">
        <v>147687</v>
      </c>
      <c r="I302" s="6" t="n">
        <v>181577</v>
      </c>
      <c r="J302" t="inlineStr">
        <is>
          <t>https://www2.census.gov/programs-surveys/susb/datasets/2022/msa_3digitnaics_2022.txt</t>
        </is>
      </c>
    </row>
    <row r="303">
      <c r="A303" t="inlineStr">
        <is>
          <t>metro</t>
        </is>
      </c>
      <c r="B303" t="inlineStr">
        <is>
          <t>Pittsburgh, PA Metro Area</t>
        </is>
      </c>
      <c r="C303" t="inlineStr">
        <is>
          <t>38300</t>
        </is>
      </c>
      <c r="D303" s="7" t="n">
        <v>44.9</v>
      </c>
      <c r="E303" t="n">
        <v>44.8526122499044</v>
      </c>
      <c r="F303" s="7" t="n">
        <v>55.1</v>
      </c>
      <c r="G303" s="6" t="n">
        <v>1108776</v>
      </c>
      <c r="H303" s="6" t="n">
        <v>497315</v>
      </c>
      <c r="I303" s="6" t="n">
        <v>611461</v>
      </c>
      <c r="J303" t="inlineStr">
        <is>
          <t>https://www2.census.gov/programs-surveys/susb/datasets/2022/msa_3digitnaics_2022.txt</t>
        </is>
      </c>
    </row>
    <row r="304">
      <c r="A304" t="inlineStr">
        <is>
          <t>metro</t>
        </is>
      </c>
      <c r="B304" t="inlineStr">
        <is>
          <t>Scranton--Wilkes-Barre, PA Metro Area</t>
        </is>
      </c>
      <c r="C304" t="inlineStr">
        <is>
          <t>42540</t>
        </is>
      </c>
      <c r="D304" s="7" t="n">
        <v>44.8</v>
      </c>
      <c r="E304" t="n">
        <v>44.81539907074573</v>
      </c>
      <c r="F304" s="7" t="n">
        <v>55.2</v>
      </c>
      <c r="G304" s="6" t="n">
        <v>232014</v>
      </c>
      <c r="H304" s="6" t="n">
        <v>103978</v>
      </c>
      <c r="I304" s="6" t="n">
        <v>128036</v>
      </c>
      <c r="J304" t="inlineStr">
        <is>
          <t>https://www2.census.gov/programs-surveys/susb/datasets/2022/msa_3digitnaics_2022.txt</t>
        </is>
      </c>
    </row>
    <row r="305">
      <c r="A305" t="inlineStr">
        <is>
          <t>metro</t>
        </is>
      </c>
      <c r="B305" t="inlineStr">
        <is>
          <t>Birmingham, AL Metro Area</t>
        </is>
      </c>
      <c r="C305" t="inlineStr">
        <is>
          <t>13820</t>
        </is>
      </c>
      <c r="D305" s="7" t="n">
        <v>44.8</v>
      </c>
      <c r="E305" t="n">
        <v>44.80890224234685</v>
      </c>
      <c r="F305" s="7" t="n">
        <v>55.2</v>
      </c>
      <c r="G305" s="6" t="n">
        <v>470623</v>
      </c>
      <c r="H305" s="6" t="n">
        <v>210881</v>
      </c>
      <c r="I305" s="6" t="n">
        <v>259742</v>
      </c>
      <c r="J305" t="inlineStr">
        <is>
          <t>https://www2.census.gov/programs-surveys/susb/datasets/2022/msa_3digitnaics_2022.txt</t>
        </is>
      </c>
    </row>
    <row r="306">
      <c r="A306" t="inlineStr">
        <is>
          <t>metro</t>
        </is>
      </c>
      <c r="B306" t="inlineStr">
        <is>
          <t>Harrisonburg, VA Metro Area</t>
        </is>
      </c>
      <c r="C306" t="inlineStr">
        <is>
          <t>25500</t>
        </is>
      </c>
      <c r="D306" s="7" t="n">
        <v>44.8</v>
      </c>
      <c r="E306" t="n">
        <v>44.78638467353825</v>
      </c>
      <c r="F306" s="7" t="n">
        <v>55.2</v>
      </c>
      <c r="G306" s="6" t="n">
        <v>54233</v>
      </c>
      <c r="H306" s="6" t="n">
        <v>24289</v>
      </c>
      <c r="I306" s="6" t="n">
        <v>29944</v>
      </c>
      <c r="J306" t="inlineStr">
        <is>
          <t>https://www2.census.gov/programs-surveys/susb/datasets/2022/msa_3digitnaics_2022.txt</t>
        </is>
      </c>
    </row>
    <row r="307">
      <c r="A307" t="inlineStr">
        <is>
          <t>metro</t>
        </is>
      </c>
      <c r="B307" t="inlineStr">
        <is>
          <t>Madison, WI Metro Area</t>
        </is>
      </c>
      <c r="C307" t="inlineStr">
        <is>
          <t>31540</t>
        </is>
      </c>
      <c r="D307" s="7" t="n">
        <v>44.7</v>
      </c>
      <c r="E307" t="n">
        <v>44.67985096016051</v>
      </c>
      <c r="F307" s="7" t="n">
        <v>55.3</v>
      </c>
      <c r="G307" s="6" t="n">
        <v>348900</v>
      </c>
      <c r="H307" s="6" t="n">
        <v>155888</v>
      </c>
      <c r="I307" s="6" t="n">
        <v>193012</v>
      </c>
      <c r="J307" t="inlineStr">
        <is>
          <t>https://www2.census.gov/programs-surveys/susb/datasets/2022/msa_3digitnaics_2022.txt</t>
        </is>
      </c>
    </row>
    <row r="308">
      <c r="A308" t="inlineStr">
        <is>
          <t>metro</t>
        </is>
      </c>
      <c r="B308" t="inlineStr">
        <is>
          <t>Johnson City, TN Metro Area</t>
        </is>
      </c>
      <c r="C308" t="inlineStr">
        <is>
          <t>27740</t>
        </is>
      </c>
      <c r="D308" s="7" t="n">
        <v>44.7</v>
      </c>
      <c r="E308" t="n">
        <v>44.66002292971162</v>
      </c>
      <c r="F308" s="7" t="n">
        <v>55.3</v>
      </c>
      <c r="G308" s="6" t="n">
        <v>68034</v>
      </c>
      <c r="H308" s="6" t="n">
        <v>30384</v>
      </c>
      <c r="I308" s="6" t="n">
        <v>37650</v>
      </c>
      <c r="J308" t="inlineStr">
        <is>
          <t>https://www2.census.gov/programs-surveys/susb/datasets/2022/msa_3digitnaics_2022.txt</t>
        </is>
      </c>
    </row>
    <row r="309">
      <c r="A309" t="inlineStr">
        <is>
          <t>metro</t>
        </is>
      </c>
      <c r="B309" t="inlineStr">
        <is>
          <t>Saginaw, MI Metro Area</t>
        </is>
      </c>
      <c r="C309" t="inlineStr">
        <is>
          <t>40980</t>
        </is>
      </c>
      <c r="D309" s="7" t="n">
        <v>44.6</v>
      </c>
      <c r="E309" t="n">
        <v>44.6350265823276</v>
      </c>
      <c r="F309" s="7" t="n">
        <v>55.4</v>
      </c>
      <c r="G309" s="6" t="n">
        <v>77307</v>
      </c>
      <c r="H309" s="6" t="n">
        <v>34506</v>
      </c>
      <c r="I309" s="6" t="n">
        <v>42801</v>
      </c>
      <c r="J309" t="inlineStr">
        <is>
          <t>https://www2.census.gov/programs-surveys/susb/datasets/2022/msa_3digitnaics_2022.txt</t>
        </is>
      </c>
    </row>
    <row r="310">
      <c r="A310" t="inlineStr">
        <is>
          <t>metro</t>
        </is>
      </c>
      <c r="B310" t="inlineStr">
        <is>
          <t>Chicago-Naperville-Elgin, IL-IN Metro Area</t>
        </is>
      </c>
      <c r="C310" t="inlineStr">
        <is>
          <t>16980</t>
        </is>
      </c>
      <c r="D310" s="7" t="n">
        <v>44.6</v>
      </c>
      <c r="E310" t="n">
        <v>44.62256209203548</v>
      </c>
      <c r="F310" s="7" t="n">
        <v>55.4</v>
      </c>
      <c r="G310" s="6" t="n">
        <v>4175455</v>
      </c>
      <c r="H310" s="6" t="n">
        <v>1863195</v>
      </c>
      <c r="I310" s="6" t="n">
        <v>2312260</v>
      </c>
      <c r="J310" t="inlineStr">
        <is>
          <t>https://www2.census.gov/programs-surveys/susb/datasets/2022/msa_3digitnaics_2022.txt</t>
        </is>
      </c>
    </row>
    <row r="311">
      <c r="A311" t="inlineStr">
        <is>
          <t>metro</t>
        </is>
      </c>
      <c r="B311" t="inlineStr">
        <is>
          <t>Las Vegas-Henderson-North Las Vegas, NV Metro Area</t>
        </is>
      </c>
      <c r="C311" t="inlineStr">
        <is>
          <t>29820</t>
        </is>
      </c>
      <c r="D311" s="7" t="n">
        <v>44.6</v>
      </c>
      <c r="E311" t="n">
        <v>44.5769839219111</v>
      </c>
      <c r="F311" s="7" t="n">
        <v>55.4</v>
      </c>
      <c r="G311" s="6" t="n">
        <v>917211</v>
      </c>
      <c r="H311" s="6" t="n">
        <v>408865</v>
      </c>
      <c r="I311" s="6" t="n">
        <v>508346</v>
      </c>
      <c r="J311" t="inlineStr">
        <is>
          <t>https://www2.census.gov/programs-surveys/susb/datasets/2022/msa_3digitnaics_2022.txt</t>
        </is>
      </c>
    </row>
    <row r="312">
      <c r="A312" t="inlineStr">
        <is>
          <t>metro</t>
        </is>
      </c>
      <c r="B312" t="inlineStr">
        <is>
          <t>Lafayette-West Lafayette, IN Metro Area</t>
        </is>
      </c>
      <c r="C312" t="inlineStr">
        <is>
          <t>29200</t>
        </is>
      </c>
      <c r="D312" s="7" t="n">
        <v>44.4</v>
      </c>
      <c r="E312" t="n">
        <v>44.42264361123066</v>
      </c>
      <c r="F312" s="7" t="n">
        <v>55.6</v>
      </c>
      <c r="G312" s="6" t="n">
        <v>78998</v>
      </c>
      <c r="H312" s="6" t="n">
        <v>35093</v>
      </c>
      <c r="I312" s="6" t="n">
        <v>43905</v>
      </c>
      <c r="J312" t="inlineStr">
        <is>
          <t>https://www2.census.gov/programs-surveys/susb/datasets/2022/msa_3digitnaics_2022.txt</t>
        </is>
      </c>
    </row>
    <row r="313">
      <c r="A313" t="inlineStr">
        <is>
          <t>metro</t>
        </is>
      </c>
      <c r="B313" t="inlineStr">
        <is>
          <t>Boston-Cambridge-Newton, MA-NH Metro Area</t>
        </is>
      </c>
      <c r="C313" t="inlineStr">
        <is>
          <t>14460</t>
        </is>
      </c>
      <c r="D313" s="7" t="n">
        <v>44.4</v>
      </c>
      <c r="E313" t="n">
        <v>44.39350569405971</v>
      </c>
      <c r="F313" s="7" t="n">
        <v>55.6</v>
      </c>
      <c r="G313" s="6" t="n">
        <v>2599200</v>
      </c>
      <c r="H313" s="6" t="n">
        <v>1153876</v>
      </c>
      <c r="I313" s="6" t="n">
        <v>1445324</v>
      </c>
      <c r="J313" t="inlineStr">
        <is>
          <t>https://www2.census.gov/programs-surveys/susb/datasets/2022/msa_3digitnaics_2022.txt</t>
        </is>
      </c>
    </row>
    <row r="314">
      <c r="A314" t="inlineStr">
        <is>
          <t>metro</t>
        </is>
      </c>
      <c r="B314" t="inlineStr">
        <is>
          <t>St. Louis, MO-IL Metro Area</t>
        </is>
      </c>
      <c r="C314" t="inlineStr">
        <is>
          <t>41180</t>
        </is>
      </c>
      <c r="D314" s="7" t="n">
        <v>44.4</v>
      </c>
      <c r="E314" t="n">
        <v>44.37972956358438</v>
      </c>
      <c r="F314" s="7" t="n">
        <v>55.6</v>
      </c>
      <c r="G314" s="6" t="n">
        <v>1244433</v>
      </c>
      <c r="H314" s="6" t="n">
        <v>552276</v>
      </c>
      <c r="I314" s="6" t="n">
        <v>692157</v>
      </c>
      <c r="J314" t="inlineStr">
        <is>
          <t>https://www2.census.gov/programs-surveys/susb/datasets/2022/msa_3digitnaics_2022.txt</t>
        </is>
      </c>
    </row>
    <row r="315">
      <c r="A315" t="inlineStr">
        <is>
          <t>metro</t>
        </is>
      </c>
      <c r="B315" t="inlineStr">
        <is>
          <t>York-Hanover, PA Metro Area</t>
        </is>
      </c>
      <c r="C315" t="inlineStr">
        <is>
          <t>49620</t>
        </is>
      </c>
      <c r="D315" s="7" t="n">
        <v>44.4</v>
      </c>
      <c r="E315" t="n">
        <v>44.35714734670788</v>
      </c>
      <c r="F315" s="7" t="n">
        <v>55.6</v>
      </c>
      <c r="G315" s="6" t="n">
        <v>175009</v>
      </c>
      <c r="H315" s="6" t="n">
        <v>77629</v>
      </c>
      <c r="I315" s="6" t="n">
        <v>97380</v>
      </c>
      <c r="J315" t="inlineStr">
        <is>
          <t>https://www2.census.gov/programs-surveys/susb/datasets/2022/msa_3digitnaics_2022.txt</t>
        </is>
      </c>
    </row>
    <row r="316">
      <c r="A316" t="inlineStr">
        <is>
          <t>metro</t>
        </is>
      </c>
      <c r="B316" t="inlineStr">
        <is>
          <t>Winchester, VA-WV Metro Area</t>
        </is>
      </c>
      <c r="C316" t="inlineStr">
        <is>
          <t>49020</t>
        </is>
      </c>
      <c r="D316" s="7" t="n">
        <v>44.3</v>
      </c>
      <c r="E316" t="n">
        <v>44.32599606067936</v>
      </c>
      <c r="F316" s="7" t="n">
        <v>55.7</v>
      </c>
      <c r="G316" s="6" t="n">
        <v>57878</v>
      </c>
      <c r="H316" s="6" t="n">
        <v>25655</v>
      </c>
      <c r="I316" s="6" t="n">
        <v>32223</v>
      </c>
      <c r="J316" t="inlineStr">
        <is>
          <t>https://www2.census.gov/programs-surveys/susb/datasets/2022/msa_3digitnaics_2022.txt</t>
        </is>
      </c>
    </row>
    <row r="317">
      <c r="A317" t="inlineStr">
        <is>
          <t>metro</t>
        </is>
      </c>
      <c r="B317" t="inlineStr">
        <is>
          <t>Jackson, TN Metro Area</t>
        </is>
      </c>
      <c r="C317" t="inlineStr">
        <is>
          <t>27180</t>
        </is>
      </c>
      <c r="D317" s="7" t="n">
        <v>44.2</v>
      </c>
      <c r="E317" t="n">
        <v>44.19411934195903</v>
      </c>
      <c r="F317" s="7" t="n">
        <v>55.8</v>
      </c>
      <c r="G317" s="6" t="n">
        <v>72883</v>
      </c>
      <c r="H317" s="6" t="n">
        <v>32210</v>
      </c>
      <c r="I317" s="6" t="n">
        <v>40673</v>
      </c>
      <c r="J317" t="inlineStr">
        <is>
          <t>https://www2.census.gov/programs-surveys/susb/datasets/2022/msa_3digitnaics_2022.txt</t>
        </is>
      </c>
    </row>
    <row r="318">
      <c r="A318" t="inlineStr">
        <is>
          <t>metro</t>
        </is>
      </c>
      <c r="B318" t="inlineStr">
        <is>
          <t>Roanoke, VA Metro Area</t>
        </is>
      </c>
      <c r="C318" t="inlineStr">
        <is>
          <t>40220</t>
        </is>
      </c>
      <c r="D318" s="7" t="n">
        <v>44.2</v>
      </c>
      <c r="E318" t="n">
        <v>44.18070223464492</v>
      </c>
      <c r="F318" s="7" t="n">
        <v>55.8</v>
      </c>
      <c r="G318" s="6" t="n">
        <v>138814</v>
      </c>
      <c r="H318" s="6" t="n">
        <v>61329</v>
      </c>
      <c r="I318" s="6" t="n">
        <v>77485</v>
      </c>
      <c r="J318" t="inlineStr">
        <is>
          <t>https://www2.census.gov/programs-surveys/susb/datasets/2022/msa_3digitnaics_2022.txt</t>
        </is>
      </c>
    </row>
    <row r="319">
      <c r="A319" t="inlineStr">
        <is>
          <t>metro</t>
        </is>
      </c>
      <c r="B319" t="inlineStr">
        <is>
          <t>South Bend-Mishawaka, IN-MI Metro Area</t>
        </is>
      </c>
      <c r="C319" t="inlineStr">
        <is>
          <t>43780</t>
        </is>
      </c>
      <c r="D319" s="7" t="n">
        <v>44.2</v>
      </c>
      <c r="E319" t="n">
        <v>44.15245048713329</v>
      </c>
      <c r="F319" s="7" t="n">
        <v>55.8</v>
      </c>
      <c r="G319" s="6" t="n">
        <v>128199</v>
      </c>
      <c r="H319" s="6" t="n">
        <v>56603</v>
      </c>
      <c r="I319" s="6" t="n">
        <v>71596</v>
      </c>
      <c r="J319" t="inlineStr">
        <is>
          <t>https://www2.census.gov/programs-surveys/susb/datasets/2022/msa_3digitnaics_2022.txt</t>
        </is>
      </c>
    </row>
    <row r="320">
      <c r="A320" t="inlineStr">
        <is>
          <t>metro</t>
        </is>
      </c>
      <c r="B320" t="inlineStr">
        <is>
          <t>Kansas City, MO-KS Metro Area</t>
        </is>
      </c>
      <c r="C320" t="inlineStr">
        <is>
          <t>28140</t>
        </is>
      </c>
      <c r="D320" s="7" t="n">
        <v>44.1</v>
      </c>
      <c r="E320" t="n">
        <v>44.14171935779252</v>
      </c>
      <c r="F320" s="7" t="n">
        <v>55.9</v>
      </c>
      <c r="G320" s="6" t="n">
        <v>990521</v>
      </c>
      <c r="H320" s="6" t="n">
        <v>437233</v>
      </c>
      <c r="I320" s="6" t="n">
        <v>553288</v>
      </c>
      <c r="J320" t="inlineStr">
        <is>
          <t>https://www2.census.gov/programs-surveys/susb/datasets/2022/msa_3digitnaics_2022.txt</t>
        </is>
      </c>
    </row>
    <row r="321">
      <c r="A321" t="inlineStr">
        <is>
          <t>metro</t>
        </is>
      </c>
      <c r="B321" t="inlineStr">
        <is>
          <t>Greenville-Anderson-Greer, SC Metro Area</t>
        </is>
      </c>
      <c r="C321" t="inlineStr">
        <is>
          <t>24860</t>
        </is>
      </c>
      <c r="D321" s="7" t="n">
        <v>44.1</v>
      </c>
      <c r="E321" t="n">
        <v>44.11942874910206</v>
      </c>
      <c r="F321" s="7" t="n">
        <v>55.9</v>
      </c>
      <c r="G321" s="6" t="n">
        <v>373076</v>
      </c>
      <c r="H321" s="6" t="n">
        <v>164599</v>
      </c>
      <c r="I321" s="6" t="n">
        <v>208477</v>
      </c>
      <c r="J321" t="inlineStr">
        <is>
          <t>https://www2.census.gov/programs-surveys/susb/datasets/2022/msa_3digitnaics_2022.txt</t>
        </is>
      </c>
    </row>
    <row r="322">
      <c r="A322" t="inlineStr">
        <is>
          <t>metro</t>
        </is>
      </c>
      <c r="B322" t="inlineStr">
        <is>
          <t>Charleston, WV Metro Area</t>
        </is>
      </c>
      <c r="C322" t="inlineStr">
        <is>
          <t>16620</t>
        </is>
      </c>
      <c r="D322" s="7" t="n">
        <v>44.1</v>
      </c>
      <c r="E322" t="n">
        <v>44.05776905048457</v>
      </c>
      <c r="F322" s="7" t="n">
        <v>55.9</v>
      </c>
      <c r="G322" s="6" t="n">
        <v>78935</v>
      </c>
      <c r="H322" s="6" t="n">
        <v>34777</v>
      </c>
      <c r="I322" s="6" t="n">
        <v>44158</v>
      </c>
      <c r="J322" t="inlineStr">
        <is>
          <t>https://www2.census.gov/programs-surveys/susb/datasets/2022/msa_3digitnaics_2022.txt</t>
        </is>
      </c>
    </row>
    <row r="323">
      <c r="A323" t="inlineStr">
        <is>
          <t>metro</t>
        </is>
      </c>
      <c r="B323" t="inlineStr">
        <is>
          <t>Chattanooga, TN-GA Metro Area</t>
        </is>
      </c>
      <c r="C323" t="inlineStr">
        <is>
          <t>16860</t>
        </is>
      </c>
      <c r="D323" s="7" t="n">
        <v>44</v>
      </c>
      <c r="E323" t="n">
        <v>44.01809759775934</v>
      </c>
      <c r="F323" s="7" t="n">
        <v>56</v>
      </c>
      <c r="G323" s="6" t="n">
        <v>232075</v>
      </c>
      <c r="H323" s="6" t="n">
        <v>102155</v>
      </c>
      <c r="I323" s="6" t="n">
        <v>129920</v>
      </c>
      <c r="J323" t="inlineStr">
        <is>
          <t>https://www2.census.gov/programs-surveys/susb/datasets/2022/msa_3digitnaics_2022.txt</t>
        </is>
      </c>
    </row>
    <row r="324">
      <c r="A324" t="inlineStr">
        <is>
          <t>metro</t>
        </is>
      </c>
      <c r="B324" t="inlineStr">
        <is>
          <t>Columbia, SC Metro Area</t>
        </is>
      </c>
      <c r="C324" t="inlineStr">
        <is>
          <t>17900</t>
        </is>
      </c>
      <c r="D324" s="7" t="n">
        <v>44</v>
      </c>
      <c r="E324" t="n">
        <v>44.0042872454448</v>
      </c>
      <c r="F324" s="7" t="n">
        <v>56</v>
      </c>
      <c r="G324" s="6" t="n">
        <v>303225</v>
      </c>
      <c r="H324" s="6" t="n">
        <v>133432</v>
      </c>
      <c r="I324" s="6" t="n">
        <v>169793</v>
      </c>
      <c r="J324" t="inlineStr">
        <is>
          <t>https://www2.census.gov/programs-surveys/susb/datasets/2022/msa_3digitnaics_2022.txt</t>
        </is>
      </c>
    </row>
    <row r="325">
      <c r="A325" t="inlineStr">
        <is>
          <t>metro</t>
        </is>
      </c>
      <c r="B325" t="inlineStr">
        <is>
          <t>Killeen-Temple, TX Metro Area</t>
        </is>
      </c>
      <c r="C325" t="inlineStr">
        <is>
          <t>28660</t>
        </is>
      </c>
      <c r="D325" s="7" t="n">
        <v>43.9</v>
      </c>
      <c r="E325" t="n">
        <v>43.90882986360374</v>
      </c>
      <c r="F325" s="7" t="n">
        <v>56.1</v>
      </c>
      <c r="G325" s="6" t="n">
        <v>111440</v>
      </c>
      <c r="H325" s="6" t="n">
        <v>48932</v>
      </c>
      <c r="I325" s="6" t="n">
        <v>62508</v>
      </c>
      <c r="J325" t="inlineStr">
        <is>
          <t>https://www2.census.gov/programs-surveys/susb/datasets/2022/msa_3digitnaics_2022.txt</t>
        </is>
      </c>
    </row>
    <row r="326">
      <c r="A326" t="inlineStr">
        <is>
          <t>metro</t>
        </is>
      </c>
      <c r="B326" t="inlineStr">
        <is>
          <t>Seattle-Tacoma-Bellevue, WA Metro Area</t>
        </is>
      </c>
      <c r="C326" t="inlineStr">
        <is>
          <t>42660</t>
        </is>
      </c>
      <c r="D326" s="7" t="n">
        <v>43.9</v>
      </c>
      <c r="E326" t="n">
        <v>43.89061591538756</v>
      </c>
      <c r="F326" s="7" t="n">
        <v>56.1</v>
      </c>
      <c r="G326" s="6" t="n">
        <v>1845497</v>
      </c>
      <c r="H326" s="6" t="n">
        <v>810000</v>
      </c>
      <c r="I326" s="6" t="n">
        <v>1035497</v>
      </c>
      <c r="J326" t="inlineStr">
        <is>
          <t>https://www2.census.gov/programs-surveys/susb/datasets/2022/msa_3digitnaics_2022.txt</t>
        </is>
      </c>
    </row>
    <row r="327">
      <c r="A327" t="inlineStr">
        <is>
          <t>metro</t>
        </is>
      </c>
      <c r="B327" t="inlineStr">
        <is>
          <t>Kingsport-Bristol, TN-VA Metro Area</t>
        </is>
      </c>
      <c r="C327" t="inlineStr">
        <is>
          <t>28700</t>
        </is>
      </c>
      <c r="D327" s="7" t="n">
        <v>43.8</v>
      </c>
      <c r="E327" t="n">
        <v>43.83489912213152</v>
      </c>
      <c r="F327" s="7" t="n">
        <v>56.2</v>
      </c>
      <c r="G327" s="6" t="n">
        <v>97395</v>
      </c>
      <c r="H327" s="6" t="n">
        <v>42693</v>
      </c>
      <c r="I327" s="6" t="n">
        <v>54702</v>
      </c>
      <c r="J327" t="inlineStr">
        <is>
          <t>https://www2.census.gov/programs-surveys/susb/datasets/2022/msa_3digitnaics_2022.txt</t>
        </is>
      </c>
    </row>
    <row r="328">
      <c r="A328" t="inlineStr">
        <is>
          <t>metro</t>
        </is>
      </c>
      <c r="B328" t="inlineStr">
        <is>
          <t>Lexington-Fayette, KY Metro Area</t>
        </is>
      </c>
      <c r="C328" t="inlineStr">
        <is>
          <t>30460</t>
        </is>
      </c>
      <c r="D328" s="7" t="n">
        <v>43.8</v>
      </c>
      <c r="E328" t="n">
        <v>43.81913165710269</v>
      </c>
      <c r="F328" s="7" t="n">
        <v>56.2</v>
      </c>
      <c r="G328" s="6" t="n">
        <v>233341</v>
      </c>
      <c r="H328" s="6" t="n">
        <v>102248</v>
      </c>
      <c r="I328" s="6" t="n">
        <v>131093</v>
      </c>
      <c r="J328" t="inlineStr">
        <is>
          <t>https://www2.census.gov/programs-surveys/susb/datasets/2022/msa_3digitnaics_2022.txt</t>
        </is>
      </c>
    </row>
    <row r="329">
      <c r="A329" t="inlineStr">
        <is>
          <t>metro</t>
        </is>
      </c>
      <c r="B329" t="inlineStr">
        <is>
          <t>Dayton-Kettering-Beavercreek, OH Metro Area</t>
        </is>
      </c>
      <c r="C329" t="inlineStr">
        <is>
          <t>19430</t>
        </is>
      </c>
      <c r="D329" s="7" t="n">
        <v>43.8</v>
      </c>
      <c r="E329" t="n">
        <v>43.79479112043349</v>
      </c>
      <c r="F329" s="7" t="n">
        <v>56.2</v>
      </c>
      <c r="G329" s="6" t="n">
        <v>320376</v>
      </c>
      <c r="H329" s="6" t="n">
        <v>140308</v>
      </c>
      <c r="I329" s="6" t="n">
        <v>180068</v>
      </c>
      <c r="J329" t="inlineStr">
        <is>
          <t>https://www2.census.gov/programs-surveys/susb/datasets/2022/msa_3digitnaics_2022.txt</t>
        </is>
      </c>
    </row>
    <row r="330">
      <c r="A330" t="inlineStr">
        <is>
          <t>metro</t>
        </is>
      </c>
      <c r="B330" t="inlineStr">
        <is>
          <t>Knoxville, TN Metro Area</t>
        </is>
      </c>
      <c r="C330" t="inlineStr">
        <is>
          <t>28940</t>
        </is>
      </c>
      <c r="D330" s="7" t="n">
        <v>43.7</v>
      </c>
      <c r="E330" t="n">
        <v>43.70515201877016</v>
      </c>
      <c r="F330" s="7" t="n">
        <v>56.3</v>
      </c>
      <c r="G330" s="6" t="n">
        <v>358015</v>
      </c>
      <c r="H330" s="6" t="n">
        <v>156471</v>
      </c>
      <c r="I330" s="6" t="n">
        <v>201544</v>
      </c>
      <c r="J330" t="inlineStr">
        <is>
          <t>https://www2.census.gov/programs-surveys/susb/datasets/2022/msa_3digitnaics_2022.txt</t>
        </is>
      </c>
    </row>
    <row r="331">
      <c r="A331" t="inlineStr">
        <is>
          <t>metro</t>
        </is>
      </c>
      <c r="B331" t="inlineStr">
        <is>
          <t>Richmond, VA Metro Area</t>
        </is>
      </c>
      <c r="C331" t="inlineStr">
        <is>
          <t>40060</t>
        </is>
      </c>
      <c r="D331" s="7" t="n">
        <v>43.4</v>
      </c>
      <c r="E331" t="n">
        <v>43.43809857633984</v>
      </c>
      <c r="F331" s="7" t="n">
        <v>56.6</v>
      </c>
      <c r="G331" s="6" t="n">
        <v>564882</v>
      </c>
      <c r="H331" s="6" t="n">
        <v>245374</v>
      </c>
      <c r="I331" s="6" t="n">
        <v>319508</v>
      </c>
      <c r="J331" t="inlineStr">
        <is>
          <t>https://www2.census.gov/programs-surveys/susb/datasets/2022/msa_3digitnaics_2022.txt</t>
        </is>
      </c>
    </row>
    <row r="332">
      <c r="A332" t="inlineStr">
        <is>
          <t>metro</t>
        </is>
      </c>
      <c r="B332" t="inlineStr">
        <is>
          <t>Sheboygan, WI Metro Area</t>
        </is>
      </c>
      <c r="C332" t="inlineStr">
        <is>
          <t>43100</t>
        </is>
      </c>
      <c r="D332" s="7" t="n">
        <v>43.4</v>
      </c>
      <c r="E332" t="n">
        <v>43.41907354873103</v>
      </c>
      <c r="F332" s="7" t="n">
        <v>56.6</v>
      </c>
      <c r="G332" s="6" t="n">
        <v>52523</v>
      </c>
      <c r="H332" s="6" t="n">
        <v>22805</v>
      </c>
      <c r="I332" s="6" t="n">
        <v>29718</v>
      </c>
      <c r="J332" t="inlineStr">
        <is>
          <t>https://www2.census.gov/programs-surveys/susb/datasets/2022/msa_3digitnaics_2022.txt</t>
        </is>
      </c>
    </row>
    <row r="333">
      <c r="A333" t="inlineStr">
        <is>
          <t>metro</t>
        </is>
      </c>
      <c r="B333" t="inlineStr">
        <is>
          <t>Huntsville, AL Metro Area</t>
        </is>
      </c>
      <c r="C333" t="inlineStr">
        <is>
          <t>26620</t>
        </is>
      </c>
      <c r="D333" s="7" t="n">
        <v>43.2</v>
      </c>
      <c r="E333" t="n">
        <v>43.18113324882202</v>
      </c>
      <c r="F333" s="7" t="n">
        <v>56.8</v>
      </c>
      <c r="G333" s="6" t="n">
        <v>209045</v>
      </c>
      <c r="H333" s="6" t="n">
        <v>90268</v>
      </c>
      <c r="I333" s="6" t="n">
        <v>118777</v>
      </c>
      <c r="J333" t="inlineStr">
        <is>
          <t>https://www2.census.gov/programs-surveys/susb/datasets/2022/msa_3digitnaics_2022.txt</t>
        </is>
      </c>
    </row>
    <row r="334">
      <c r="A334" t="inlineStr">
        <is>
          <t>metro</t>
        </is>
      </c>
      <c r="B334" t="inlineStr">
        <is>
          <t>Atlanta-Sandy Springs-Roswell, GA Metro Area</t>
        </is>
      </c>
      <c r="C334" t="inlineStr">
        <is>
          <t>12060</t>
        </is>
      </c>
      <c r="D334" s="7" t="n">
        <v>43.1</v>
      </c>
      <c r="E334" t="n">
        <v>43.0970709605188</v>
      </c>
      <c r="F334" s="7" t="n">
        <v>56.9</v>
      </c>
      <c r="G334" s="6" t="n">
        <v>2567019</v>
      </c>
      <c r="H334" s="6" t="n">
        <v>1106310</v>
      </c>
      <c r="I334" s="6" t="n">
        <v>1460709</v>
      </c>
      <c r="J334" t="inlineStr">
        <is>
          <t>https://www2.census.gov/programs-surveys/susb/datasets/2022/msa_3digitnaics_2022.txt</t>
        </is>
      </c>
    </row>
    <row r="335">
      <c r="A335" t="inlineStr">
        <is>
          <t>metro</t>
        </is>
      </c>
      <c r="B335" t="inlineStr">
        <is>
          <t>Gulfport-Biloxi, MS Metro Area</t>
        </is>
      </c>
      <c r="C335" t="inlineStr">
        <is>
          <t>25060</t>
        </is>
      </c>
      <c r="D335" s="7" t="n">
        <v>43.1</v>
      </c>
      <c r="E335" t="n">
        <v>43.06004121681892</v>
      </c>
      <c r="F335" s="7" t="n">
        <v>56.9</v>
      </c>
      <c r="G335" s="6" t="n">
        <v>130044</v>
      </c>
      <c r="H335" s="6" t="n">
        <v>55997</v>
      </c>
      <c r="I335" s="6" t="n">
        <v>74047</v>
      </c>
      <c r="J335" t="inlineStr">
        <is>
          <t>https://www2.census.gov/programs-surveys/susb/datasets/2022/msa_3digitnaics_2022.txt</t>
        </is>
      </c>
    </row>
    <row r="336">
      <c r="A336" t="inlineStr">
        <is>
          <t>metro</t>
        </is>
      </c>
      <c r="B336" t="inlineStr">
        <is>
          <t>Kankakee, IL Metro Area</t>
        </is>
      </c>
      <c r="C336" t="inlineStr">
        <is>
          <t>28100</t>
        </is>
      </c>
      <c r="D336" s="7" t="n">
        <v>43</v>
      </c>
      <c r="E336" t="n">
        <v>43.02401964984434</v>
      </c>
      <c r="F336" s="7" t="n">
        <v>57</v>
      </c>
      <c r="G336" s="6" t="n">
        <v>35013</v>
      </c>
      <c r="H336" s="6" t="n">
        <v>15064</v>
      </c>
      <c r="I336" s="6" t="n">
        <v>19949</v>
      </c>
      <c r="J336" t="inlineStr">
        <is>
          <t>https://www2.census.gov/programs-surveys/susb/datasets/2022/msa_3digitnaics_2022.txt</t>
        </is>
      </c>
    </row>
    <row r="337">
      <c r="A337" t="inlineStr">
        <is>
          <t>metro</t>
        </is>
      </c>
      <c r="B337" t="inlineStr">
        <is>
          <t>Cleveland, TN Metro Area</t>
        </is>
      </c>
      <c r="C337" t="inlineStr">
        <is>
          <t>17420</t>
        </is>
      </c>
      <c r="D337" s="7" t="n">
        <v>43</v>
      </c>
      <c r="E337" t="n">
        <v>42.97156398104266</v>
      </c>
      <c r="F337" s="7" t="n">
        <v>57</v>
      </c>
      <c r="G337" s="6" t="n">
        <v>42200</v>
      </c>
      <c r="H337" s="6" t="n">
        <v>18134</v>
      </c>
      <c r="I337" s="6" t="n">
        <v>24066</v>
      </c>
      <c r="J337" t="inlineStr">
        <is>
          <t>https://www2.census.gov/programs-surveys/susb/datasets/2022/msa_3digitnaics_2022.txt</t>
        </is>
      </c>
    </row>
    <row r="338">
      <c r="A338" t="inlineStr">
        <is>
          <t>metro</t>
        </is>
      </c>
      <c r="B338" t="inlineStr">
        <is>
          <t>Evansville, IN Metro Area</t>
        </is>
      </c>
      <c r="C338" t="inlineStr">
        <is>
          <t>21780</t>
        </is>
      </c>
      <c r="D338" s="7" t="n">
        <v>42.9</v>
      </c>
      <c r="E338" t="n">
        <v>42.88829783315037</v>
      </c>
      <c r="F338" s="7" t="n">
        <v>57.1</v>
      </c>
      <c r="G338" s="6" t="n">
        <v>135727</v>
      </c>
      <c r="H338" s="6" t="n">
        <v>58211</v>
      </c>
      <c r="I338" s="6" t="n">
        <v>77516</v>
      </c>
      <c r="J338" t="inlineStr">
        <is>
          <t>https://www2.census.gov/programs-surveys/susb/datasets/2022/msa_3digitnaics_2022.txt</t>
        </is>
      </c>
    </row>
    <row r="339">
      <c r="A339" t="inlineStr">
        <is>
          <t>metro</t>
        </is>
      </c>
      <c r="B339" t="inlineStr">
        <is>
          <t>Gainesville, GA Metro Area</t>
        </is>
      </c>
      <c r="C339" t="inlineStr">
        <is>
          <t>23580</t>
        </is>
      </c>
      <c r="D339" s="7" t="n">
        <v>42.8</v>
      </c>
      <c r="E339" t="n">
        <v>42.79104563503481</v>
      </c>
      <c r="F339" s="7" t="n">
        <v>57.2</v>
      </c>
      <c r="G339" s="6" t="n">
        <v>86885</v>
      </c>
      <c r="H339" s="6" t="n">
        <v>37179</v>
      </c>
      <c r="I339" s="6" t="n">
        <v>49706</v>
      </c>
      <c r="J339" t="inlineStr">
        <is>
          <t>https://www2.census.gov/programs-surveys/susb/datasets/2022/msa_3digitnaics_2022.txt</t>
        </is>
      </c>
    </row>
    <row r="340">
      <c r="A340" t="inlineStr">
        <is>
          <t>metro</t>
        </is>
      </c>
      <c r="B340" t="inlineStr">
        <is>
          <t>Indianapolis-Carmel-Greenwood, IN Metro Area</t>
        </is>
      </c>
      <c r="C340" t="inlineStr">
        <is>
          <t>26900</t>
        </is>
      </c>
      <c r="D340" s="7" t="n">
        <v>42.7</v>
      </c>
      <c r="E340" t="n">
        <v>42.71839050877512</v>
      </c>
      <c r="F340" s="7" t="n">
        <v>57.3</v>
      </c>
      <c r="G340" s="6" t="n">
        <v>951953</v>
      </c>
      <c r="H340" s="6" t="n">
        <v>406659</v>
      </c>
      <c r="I340" s="6" t="n">
        <v>545294</v>
      </c>
      <c r="J340" t="inlineStr">
        <is>
          <t>https://www2.census.gov/programs-surveys/susb/datasets/2022/msa_3digitnaics_2022.txt</t>
        </is>
      </c>
    </row>
    <row r="341">
      <c r="A341" t="inlineStr">
        <is>
          <t>metro</t>
        </is>
      </c>
      <c r="B341" t="inlineStr">
        <is>
          <t>Phoenix-Mesa-Chandler, AZ Metro Area</t>
        </is>
      </c>
      <c r="C341" t="inlineStr">
        <is>
          <t>38060</t>
        </is>
      </c>
      <c r="D341" s="7" t="n">
        <v>42.6</v>
      </c>
      <c r="E341" t="n">
        <v>42.6000255208633</v>
      </c>
      <c r="F341" s="7" t="n">
        <v>57.4</v>
      </c>
      <c r="G341" s="6" t="n">
        <v>1998365</v>
      </c>
      <c r="H341" s="6" t="n">
        <v>851304</v>
      </c>
      <c r="I341" s="6" t="n">
        <v>1147061</v>
      </c>
      <c r="J341" t="inlineStr">
        <is>
          <t>https://www2.census.gov/programs-surveys/susb/datasets/2022/msa_3digitnaics_2022.txt</t>
        </is>
      </c>
    </row>
    <row r="342">
      <c r="A342" t="inlineStr">
        <is>
          <t>metro</t>
        </is>
      </c>
      <c r="B342" t="inlineStr">
        <is>
          <t>Augusta-Richmond County, GA-SC Metro Area</t>
        </is>
      </c>
      <c r="C342" t="inlineStr">
        <is>
          <t>12260</t>
        </is>
      </c>
      <c r="D342" s="7" t="n">
        <v>42.5</v>
      </c>
      <c r="E342" t="n">
        <v>42.54827757493202</v>
      </c>
      <c r="F342" s="7" t="n">
        <v>57.5</v>
      </c>
      <c r="G342" s="6" t="n">
        <v>195277</v>
      </c>
      <c r="H342" s="6" t="n">
        <v>83087</v>
      </c>
      <c r="I342" s="6" t="n">
        <v>112190</v>
      </c>
      <c r="J342" t="inlineStr">
        <is>
          <t>https://www2.census.gov/programs-surveys/susb/datasets/2022/msa_3digitnaics_2022.txt</t>
        </is>
      </c>
    </row>
    <row r="343">
      <c r="A343" t="inlineStr">
        <is>
          <t>metro</t>
        </is>
      </c>
      <c r="B343" t="inlineStr">
        <is>
          <t>Winston-Salem, NC Metro Area</t>
        </is>
      </c>
      <c r="C343" t="inlineStr">
        <is>
          <t>49180</t>
        </is>
      </c>
      <c r="D343" s="7" t="n">
        <v>42.5</v>
      </c>
      <c r="E343" t="n">
        <v>42.49240048540773</v>
      </c>
      <c r="F343" s="7" t="n">
        <v>57.5</v>
      </c>
      <c r="G343" s="6" t="n">
        <v>249687</v>
      </c>
      <c r="H343" s="6" t="n">
        <v>106098</v>
      </c>
      <c r="I343" s="6" t="n">
        <v>143589</v>
      </c>
      <c r="J343" t="inlineStr">
        <is>
          <t>https://www2.census.gov/programs-surveys/susb/datasets/2022/msa_3digitnaics_2022.txt</t>
        </is>
      </c>
    </row>
    <row r="344">
      <c r="A344" t="inlineStr">
        <is>
          <t>metro</t>
        </is>
      </c>
      <c r="B344" t="inlineStr">
        <is>
          <t>Macon-Bibb County, GA Metro Area</t>
        </is>
      </c>
      <c r="C344" t="inlineStr">
        <is>
          <t>31420</t>
        </is>
      </c>
      <c r="D344" s="7" t="n">
        <v>42.4</v>
      </c>
      <c r="E344" t="n">
        <v>42.38818034848212</v>
      </c>
      <c r="F344" s="7" t="n">
        <v>57.6</v>
      </c>
      <c r="G344" s="6" t="n">
        <v>89072</v>
      </c>
      <c r="H344" s="6" t="n">
        <v>37756</v>
      </c>
      <c r="I344" s="6" t="n">
        <v>51316</v>
      </c>
      <c r="J344" t="inlineStr">
        <is>
          <t>https://www2.census.gov/programs-surveys/susb/datasets/2022/msa_3digitnaics_2022.txt</t>
        </is>
      </c>
    </row>
    <row r="345">
      <c r="A345" t="inlineStr">
        <is>
          <t>metro</t>
        </is>
      </c>
      <c r="B345" t="inlineStr">
        <is>
          <t>Dalton, GA Metro Area</t>
        </is>
      </c>
      <c r="C345" t="inlineStr">
        <is>
          <t>19140</t>
        </is>
      </c>
      <c r="D345" s="7" t="n">
        <v>42.4</v>
      </c>
      <c r="E345" t="n">
        <v>42.38716784617439</v>
      </c>
      <c r="F345" s="7" t="n">
        <v>57.6</v>
      </c>
      <c r="G345" s="6" t="n">
        <v>59912</v>
      </c>
      <c r="H345" s="6" t="n">
        <v>25395</v>
      </c>
      <c r="I345" s="6" t="n">
        <v>34517</v>
      </c>
      <c r="J345" t="inlineStr">
        <is>
          <t>https://www2.census.gov/programs-surveys/susb/datasets/2022/msa_3digitnaics_2022.txt</t>
        </is>
      </c>
    </row>
    <row r="346">
      <c r="A346" t="inlineStr">
        <is>
          <t>metro</t>
        </is>
      </c>
      <c r="B346" t="inlineStr">
        <is>
          <t>Kenosha, WI Metro Area</t>
        </is>
      </c>
      <c r="C346" t="inlineStr">
        <is>
          <t>28450</t>
        </is>
      </c>
      <c r="D346" s="7" t="n">
        <v>42.4</v>
      </c>
      <c r="E346" t="n">
        <v>42.37185367142924</v>
      </c>
      <c r="F346" s="7" t="n">
        <v>57.6</v>
      </c>
      <c r="G346" s="6" t="n">
        <v>64321</v>
      </c>
      <c r="H346" s="6" t="n">
        <v>27254</v>
      </c>
      <c r="I346" s="6" t="n">
        <v>37067</v>
      </c>
      <c r="J346" t="inlineStr">
        <is>
          <t>https://www2.census.gov/programs-surveys/susb/datasets/2022/msa_3digitnaics_2022.txt</t>
        </is>
      </c>
    </row>
    <row r="347">
      <c r="A347" t="inlineStr">
        <is>
          <t>metro</t>
        </is>
      </c>
      <c r="B347" t="inlineStr">
        <is>
          <t>Joplin, MO-KS Metro Area</t>
        </is>
      </c>
      <c r="C347" t="inlineStr">
        <is>
          <t>27900</t>
        </is>
      </c>
      <c r="D347" s="7" t="n">
        <v>42.4</v>
      </c>
      <c r="E347" t="n">
        <v>42.36983842010772</v>
      </c>
      <c r="F347" s="7" t="n">
        <v>57.6</v>
      </c>
      <c r="G347" s="6" t="n">
        <v>74638</v>
      </c>
      <c r="H347" s="6" t="n">
        <v>31624</v>
      </c>
      <c r="I347" s="6" t="n">
        <v>43014</v>
      </c>
      <c r="J347" t="inlineStr">
        <is>
          <t>https://www2.census.gov/programs-surveys/susb/datasets/2022/msa_3digitnaics_2022.txt</t>
        </is>
      </c>
    </row>
    <row r="348">
      <c r="A348" t="inlineStr">
        <is>
          <t>metro</t>
        </is>
      </c>
      <c r="B348" t="inlineStr">
        <is>
          <t>Jacksonville, FL Metro Area</t>
        </is>
      </c>
      <c r="C348" t="inlineStr">
        <is>
          <t>27260</t>
        </is>
      </c>
      <c r="D348" s="7" t="n">
        <v>42.4</v>
      </c>
      <c r="E348" t="n">
        <v>42.3658561481761</v>
      </c>
      <c r="F348" s="7" t="n">
        <v>57.6</v>
      </c>
      <c r="G348" s="6" t="n">
        <v>646582</v>
      </c>
      <c r="H348" s="6" t="n">
        <v>273930</v>
      </c>
      <c r="I348" s="6" t="n">
        <v>372652</v>
      </c>
      <c r="J348" t="inlineStr">
        <is>
          <t>https://www2.census.gov/programs-surveys/susb/datasets/2022/msa_3digitnaics_2022.txt</t>
        </is>
      </c>
    </row>
    <row r="349">
      <c r="A349" t="inlineStr">
        <is>
          <t>metro</t>
        </is>
      </c>
      <c r="B349" t="inlineStr">
        <is>
          <t>Dallas-Fort Worth-Arlington, TX Metro Area</t>
        </is>
      </c>
      <c r="C349" t="inlineStr">
        <is>
          <t>19100</t>
        </is>
      </c>
      <c r="D349" s="7" t="n">
        <v>42.1</v>
      </c>
      <c r="E349" t="n">
        <v>42.14912868564504</v>
      </c>
      <c r="F349" s="7" t="n">
        <v>57.9</v>
      </c>
      <c r="G349" s="6" t="n">
        <v>3439459</v>
      </c>
      <c r="H349" s="6" t="n">
        <v>1449702</v>
      </c>
      <c r="I349" s="6" t="n">
        <v>1989757</v>
      </c>
      <c r="J349" t="inlineStr">
        <is>
          <t>https://www2.census.gov/programs-surveys/susb/datasets/2022/msa_3digitnaics_2022.txt</t>
        </is>
      </c>
    </row>
    <row r="350">
      <c r="A350" t="inlineStr">
        <is>
          <t>metro</t>
        </is>
      </c>
      <c r="B350" t="inlineStr">
        <is>
          <t>St. Joseph, MO-KS Metro Area</t>
        </is>
      </c>
      <c r="C350" t="inlineStr">
        <is>
          <t>41140</t>
        </is>
      </c>
      <c r="D350" s="7" t="n">
        <v>42.1</v>
      </c>
      <c r="E350" t="n">
        <v>42.14397659596698</v>
      </c>
      <c r="F350" s="7" t="n">
        <v>57.9</v>
      </c>
      <c r="G350" s="6" t="n">
        <v>47855</v>
      </c>
      <c r="H350" s="6" t="n">
        <v>20168</v>
      </c>
      <c r="I350" s="6" t="n">
        <v>27687</v>
      </c>
      <c r="J350" t="inlineStr">
        <is>
          <t>https://www2.census.gov/programs-surveys/susb/datasets/2022/msa_3digitnaics_2022.txt</t>
        </is>
      </c>
    </row>
    <row r="351">
      <c r="A351" t="inlineStr">
        <is>
          <t>metro</t>
        </is>
      </c>
      <c r="B351" t="inlineStr">
        <is>
          <t>Charlotte-Concord-Gastonia, NC-SC Metro Area</t>
        </is>
      </c>
      <c r="C351" t="inlineStr">
        <is>
          <t>16740</t>
        </is>
      </c>
      <c r="D351" s="7" t="n">
        <v>42.1</v>
      </c>
      <c r="E351" t="n">
        <v>42.12132757562927</v>
      </c>
      <c r="F351" s="7" t="n">
        <v>57.9</v>
      </c>
      <c r="G351" s="6" t="n">
        <v>1178479</v>
      </c>
      <c r="H351" s="6" t="n">
        <v>496391</v>
      </c>
      <c r="I351" s="6" t="n">
        <v>682088</v>
      </c>
      <c r="J351" t="inlineStr">
        <is>
          <t>https://www2.census.gov/programs-surveys/susb/datasets/2022/msa_3digitnaics_2022.txt</t>
        </is>
      </c>
    </row>
    <row r="352">
      <c r="A352" t="inlineStr">
        <is>
          <t>metro</t>
        </is>
      </c>
      <c r="B352" t="inlineStr">
        <is>
          <t>Bowling Green, KY Metro Area</t>
        </is>
      </c>
      <c r="C352" t="inlineStr">
        <is>
          <t>14540</t>
        </is>
      </c>
      <c r="D352" s="7" t="n">
        <v>42</v>
      </c>
      <c r="E352" t="n">
        <v>42.02629256282808</v>
      </c>
      <c r="F352" s="7" t="n">
        <v>58</v>
      </c>
      <c r="G352" s="6" t="n">
        <v>64581</v>
      </c>
      <c r="H352" s="6" t="n">
        <v>27141</v>
      </c>
      <c r="I352" s="6" t="n">
        <v>37440</v>
      </c>
      <c r="J352" t="inlineStr">
        <is>
          <t>https://www2.census.gov/programs-surveys/susb/datasets/2022/msa_3digitnaics_2022.txt</t>
        </is>
      </c>
    </row>
    <row r="353">
      <c r="A353" t="inlineStr">
        <is>
          <t>metro</t>
        </is>
      </c>
      <c r="B353" t="inlineStr">
        <is>
          <t>Salt Lake City-Murray, UT Metro Area</t>
        </is>
      </c>
      <c r="C353" t="inlineStr">
        <is>
          <t>41620</t>
        </is>
      </c>
      <c r="D353" s="7" t="n">
        <v>42</v>
      </c>
      <c r="E353" t="n">
        <v>41.97575209308926</v>
      </c>
      <c r="F353" s="7" t="n">
        <v>58</v>
      </c>
      <c r="G353" s="6" t="n">
        <v>676512</v>
      </c>
      <c r="H353" s="6" t="n">
        <v>283971</v>
      </c>
      <c r="I353" s="6" t="n">
        <v>392541</v>
      </c>
      <c r="J353" t="inlineStr">
        <is>
          <t>https://www2.census.gov/programs-surveys/susb/datasets/2022/msa_3digitnaics_2022.txt</t>
        </is>
      </c>
    </row>
    <row r="354">
      <c r="A354" t="inlineStr">
        <is>
          <t>metro</t>
        </is>
      </c>
      <c r="B354" t="inlineStr">
        <is>
          <t>Memphis, TN-MS-AR Metro Area</t>
        </is>
      </c>
      <c r="C354" t="inlineStr">
        <is>
          <t>32820</t>
        </is>
      </c>
      <c r="D354" s="7" t="n">
        <v>42</v>
      </c>
      <c r="E354" t="n">
        <v>41.95994248641581</v>
      </c>
      <c r="F354" s="7" t="n">
        <v>58</v>
      </c>
      <c r="G354" s="6" t="n">
        <v>544567</v>
      </c>
      <c r="H354" s="6" t="n">
        <v>228500</v>
      </c>
      <c r="I354" s="6" t="n">
        <v>316067</v>
      </c>
      <c r="J354" t="inlineStr">
        <is>
          <t>https://www2.census.gov/programs-surveys/susb/datasets/2022/msa_3digitnaics_2022.txt</t>
        </is>
      </c>
    </row>
    <row r="355">
      <c r="A355" t="inlineStr">
        <is>
          <t>metro</t>
        </is>
      </c>
      <c r="B355" t="inlineStr">
        <is>
          <t>Florence, SC Metro Area</t>
        </is>
      </c>
      <c r="C355" t="inlineStr">
        <is>
          <t>22500</t>
        </is>
      </c>
      <c r="D355" s="7" t="n">
        <v>41.9</v>
      </c>
      <c r="E355" t="n">
        <v>41.90625417532097</v>
      </c>
      <c r="F355" s="7" t="n">
        <v>58.1</v>
      </c>
      <c r="G355" s="6" t="n">
        <v>82329</v>
      </c>
      <c r="H355" s="6" t="n">
        <v>34501</v>
      </c>
      <c r="I355" s="6" t="n">
        <v>47828</v>
      </c>
      <c r="J355" t="inlineStr">
        <is>
          <t>https://www2.census.gov/programs-surveys/susb/datasets/2022/msa_3digitnaics_2022.txt</t>
        </is>
      </c>
    </row>
    <row r="356">
      <c r="A356" t="inlineStr">
        <is>
          <t>metro</t>
        </is>
      </c>
      <c r="B356" t="inlineStr">
        <is>
          <t>Cincinnati, OH-KY-IN Metro Area</t>
        </is>
      </c>
      <c r="C356" t="inlineStr">
        <is>
          <t>17140</t>
        </is>
      </c>
      <c r="D356" s="7" t="n">
        <v>41.8</v>
      </c>
      <c r="E356" t="n">
        <v>41.79028912956166</v>
      </c>
      <c r="F356" s="7" t="n">
        <v>58.2</v>
      </c>
      <c r="G356" s="6" t="n">
        <v>1003391</v>
      </c>
      <c r="H356" s="6" t="n">
        <v>419320</v>
      </c>
      <c r="I356" s="6" t="n">
        <v>584071</v>
      </c>
      <c r="J356" t="inlineStr">
        <is>
          <t>https://www2.census.gov/programs-surveys/susb/datasets/2022/msa_3digitnaics_2022.txt</t>
        </is>
      </c>
    </row>
    <row r="357">
      <c r="A357" t="inlineStr">
        <is>
          <t>metro</t>
        </is>
      </c>
      <c r="B357" t="inlineStr">
        <is>
          <t>Columbus, GA-AL Metro Area</t>
        </is>
      </c>
      <c r="C357" t="inlineStr">
        <is>
          <t>17980</t>
        </is>
      </c>
      <c r="D357" s="7" t="n">
        <v>41.8</v>
      </c>
      <c r="E357" t="n">
        <v>41.7552649802436</v>
      </c>
      <c r="F357" s="7" t="n">
        <v>58.2</v>
      </c>
      <c r="G357" s="6" t="n">
        <v>98196</v>
      </c>
      <c r="H357" s="6" t="n">
        <v>41002</v>
      </c>
      <c r="I357" s="6" t="n">
        <v>57194</v>
      </c>
      <c r="J357" t="inlineStr">
        <is>
          <t>https://www2.census.gov/programs-surveys/susb/datasets/2022/msa_3digitnaics_2022.txt</t>
        </is>
      </c>
    </row>
    <row r="358">
      <c r="A358" t="inlineStr">
        <is>
          <t>metro</t>
        </is>
      </c>
      <c r="B358" t="inlineStr">
        <is>
          <t>Trenton-Princeton, NJ Metro Area</t>
        </is>
      </c>
      <c r="C358" t="inlineStr">
        <is>
          <t>45940</t>
        </is>
      </c>
      <c r="D358" s="7" t="n">
        <v>41.4</v>
      </c>
      <c r="E358" t="n">
        <v>41.42039014794067</v>
      </c>
      <c r="F358" s="7" t="n">
        <v>58.6</v>
      </c>
      <c r="G358" s="6" t="n">
        <v>200283</v>
      </c>
      <c r="H358" s="6" t="n">
        <v>82958</v>
      </c>
      <c r="I358" s="6" t="n">
        <v>117325</v>
      </c>
      <c r="J358" t="inlineStr">
        <is>
          <t>https://www2.census.gov/programs-surveys/susb/datasets/2022/msa_3digitnaics_2022.txt</t>
        </is>
      </c>
    </row>
    <row r="359">
      <c r="A359" t="inlineStr">
        <is>
          <t>metro</t>
        </is>
      </c>
      <c r="B359" t="inlineStr">
        <is>
          <t>Nashville-Davidson--Murfreesboro--Franklin, TN Metro Area</t>
        </is>
      </c>
      <c r="C359" t="inlineStr">
        <is>
          <t>34980</t>
        </is>
      </c>
      <c r="D359" s="7" t="n">
        <v>41.4</v>
      </c>
      <c r="E359" t="n">
        <v>41.41350680080888</v>
      </c>
      <c r="F359" s="7" t="n">
        <v>58.6</v>
      </c>
      <c r="G359" s="6" t="n">
        <v>953416</v>
      </c>
      <c r="H359" s="6" t="n">
        <v>394843</v>
      </c>
      <c r="I359" s="6" t="n">
        <v>558573</v>
      </c>
      <c r="J359" t="inlineStr">
        <is>
          <t>https://www2.census.gov/programs-surveys/susb/datasets/2022/msa_3digitnaics_2022.txt</t>
        </is>
      </c>
    </row>
    <row r="360">
      <c r="A360" t="inlineStr">
        <is>
          <t>metro</t>
        </is>
      </c>
      <c r="B360" t="inlineStr">
        <is>
          <t>Rocky Mount, NC Metro Area</t>
        </is>
      </c>
      <c r="C360" t="inlineStr">
        <is>
          <t>40580</t>
        </is>
      </c>
      <c r="D360" s="7" t="n">
        <v>41.3</v>
      </c>
      <c r="E360" t="n">
        <v>41.33446983963368</v>
      </c>
      <c r="F360" s="7" t="n">
        <v>58.7</v>
      </c>
      <c r="G360" s="6" t="n">
        <v>50447</v>
      </c>
      <c r="H360" s="6" t="n">
        <v>20852</v>
      </c>
      <c r="I360" s="6" t="n">
        <v>29595</v>
      </c>
      <c r="J360" t="inlineStr">
        <is>
          <t>https://www2.census.gov/programs-surveys/susb/datasets/2022/msa_3digitnaics_2022.txt</t>
        </is>
      </c>
    </row>
    <row r="361">
      <c r="A361" t="inlineStr">
        <is>
          <t>metro</t>
        </is>
      </c>
      <c r="B361" t="inlineStr">
        <is>
          <t>Fayetteville-Springdale-Rogers, AR Metro Area</t>
        </is>
      </c>
      <c r="C361" t="inlineStr">
        <is>
          <t>22220</t>
        </is>
      </c>
      <c r="D361" s="7" t="n">
        <v>41.1</v>
      </c>
      <c r="E361" t="n">
        <v>41.09218953950764</v>
      </c>
      <c r="F361" s="7" t="n">
        <v>58.9</v>
      </c>
      <c r="G361" s="6" t="n">
        <v>230601</v>
      </c>
      <c r="H361" s="6" t="n">
        <v>94759</v>
      </c>
      <c r="I361" s="6" t="n">
        <v>135842</v>
      </c>
      <c r="J361" t="inlineStr">
        <is>
          <t>https://www2.census.gov/programs-surveys/susb/datasets/2022/msa_3digitnaics_2022.txt</t>
        </is>
      </c>
    </row>
    <row r="362">
      <c r="A362" t="inlineStr">
        <is>
          <t>metro</t>
        </is>
      </c>
      <c r="B362" t="inlineStr">
        <is>
          <t>Iowa City, IA Metro Area</t>
        </is>
      </c>
      <c r="C362" t="inlineStr">
        <is>
          <t>26980</t>
        </is>
      </c>
      <c r="D362" s="7" t="n">
        <v>41</v>
      </c>
      <c r="E362" t="n">
        <v>40.97563553723376</v>
      </c>
      <c r="F362" s="7" t="n">
        <v>59</v>
      </c>
      <c r="G362" s="6" t="n">
        <v>75684</v>
      </c>
      <c r="H362" s="6" t="n">
        <v>31012</v>
      </c>
      <c r="I362" s="6" t="n">
        <v>44672</v>
      </c>
      <c r="J362" t="inlineStr">
        <is>
          <t>https://www2.census.gov/programs-surveys/susb/datasets/2022/msa_3digitnaics_2022.txt</t>
        </is>
      </c>
    </row>
    <row r="363">
      <c r="A363" t="inlineStr">
        <is>
          <t>metro</t>
        </is>
      </c>
      <c r="B363" t="inlineStr">
        <is>
          <t>San Antonio-New Braunfels, TX Metro Area</t>
        </is>
      </c>
      <c r="C363" t="inlineStr">
        <is>
          <t>41700</t>
        </is>
      </c>
      <c r="D363" s="7" t="n">
        <v>40.9</v>
      </c>
      <c r="E363" t="n">
        <v>40.92768993729169</v>
      </c>
      <c r="F363" s="7" t="n">
        <v>59.1</v>
      </c>
      <c r="G363" s="6" t="n">
        <v>946286</v>
      </c>
      <c r="H363" s="6" t="n">
        <v>387293</v>
      </c>
      <c r="I363" s="6" t="n">
        <v>558993</v>
      </c>
      <c r="J363" t="inlineStr">
        <is>
          <t>https://www2.census.gov/programs-surveys/susb/datasets/2022/msa_3digitnaics_2022.txt</t>
        </is>
      </c>
    </row>
    <row r="364">
      <c r="A364" t="inlineStr">
        <is>
          <t>metro</t>
        </is>
      </c>
      <c r="B364" t="inlineStr">
        <is>
          <t>Des Moines-West Des Moines, IA Metro Area</t>
        </is>
      </c>
      <c r="C364" t="inlineStr">
        <is>
          <t>19780</t>
        </is>
      </c>
      <c r="D364" s="7" t="n">
        <v>40.9</v>
      </c>
      <c r="E364" t="n">
        <v>40.89337676809996</v>
      </c>
      <c r="F364" s="7" t="n">
        <v>59.1</v>
      </c>
      <c r="G364" s="6" t="n">
        <v>350871</v>
      </c>
      <c r="H364" s="6" t="n">
        <v>143483</v>
      </c>
      <c r="I364" s="6" t="n">
        <v>207388</v>
      </c>
      <c r="J364" t="inlineStr">
        <is>
          <t>https://www2.census.gov/programs-surveys/susb/datasets/2022/msa_3digitnaics_2022.txt</t>
        </is>
      </c>
    </row>
    <row r="365">
      <c r="A365" t="inlineStr">
        <is>
          <t>metro</t>
        </is>
      </c>
      <c r="B365" t="inlineStr">
        <is>
          <t>Allentown-Bethlehem-Easton, PA-NJ Metro Area</t>
        </is>
      </c>
      <c r="C365" t="inlineStr">
        <is>
          <t>10900</t>
        </is>
      </c>
      <c r="D365" s="7" t="n">
        <v>40.8</v>
      </c>
      <c r="E365" t="n">
        <v>40.76024587835612</v>
      </c>
      <c r="F365" s="7" t="n">
        <v>59.2</v>
      </c>
      <c r="G365" s="6" t="n">
        <v>352044</v>
      </c>
      <c r="H365" s="6" t="n">
        <v>143494</v>
      </c>
      <c r="I365" s="6" t="n">
        <v>208550</v>
      </c>
      <c r="J365" t="inlineStr">
        <is>
          <t>https://www2.census.gov/programs-surveys/susb/datasets/2022/msa_3digitnaics_2022.txt</t>
        </is>
      </c>
    </row>
    <row r="366">
      <c r="A366" t="inlineStr">
        <is>
          <t>metro</t>
        </is>
      </c>
      <c r="B366" t="inlineStr">
        <is>
          <t>Battle Creek, MI Metro Area</t>
        </is>
      </c>
      <c r="C366" t="inlineStr">
        <is>
          <t>12980</t>
        </is>
      </c>
      <c r="D366" s="7" t="n">
        <v>40.6</v>
      </c>
      <c r="E366" t="n">
        <v>40.55395486761025</v>
      </c>
      <c r="F366" s="7" t="n">
        <v>59.4</v>
      </c>
      <c r="G366" s="6" t="n">
        <v>47549</v>
      </c>
      <c r="H366" s="6" t="n">
        <v>19283</v>
      </c>
      <c r="I366" s="6" t="n">
        <v>28266</v>
      </c>
      <c r="J366" t="inlineStr">
        <is>
          <t>https://www2.census.gov/programs-surveys/susb/datasets/2022/msa_3digitnaics_2022.txt</t>
        </is>
      </c>
    </row>
    <row r="367">
      <c r="A367" t="inlineStr">
        <is>
          <t>metro</t>
        </is>
      </c>
      <c r="B367" t="inlineStr">
        <is>
          <t>Columbus, OH Metro Area</t>
        </is>
      </c>
      <c r="C367" t="inlineStr">
        <is>
          <t>18140</t>
        </is>
      </c>
      <c r="D367" s="7" t="n">
        <v>40.5</v>
      </c>
      <c r="E367" t="n">
        <v>40.50048791251638</v>
      </c>
      <c r="F367" s="7" t="n">
        <v>59.5</v>
      </c>
      <c r="G367" s="6" t="n">
        <v>933569</v>
      </c>
      <c r="H367" s="6" t="n">
        <v>378100</v>
      </c>
      <c r="I367" s="6" t="n">
        <v>555469</v>
      </c>
      <c r="J367" t="inlineStr">
        <is>
          <t>https://www2.census.gov/programs-surveys/susb/datasets/2022/msa_3digitnaics_2022.txt</t>
        </is>
      </c>
    </row>
    <row r="368">
      <c r="A368" t="inlineStr">
        <is>
          <t>metro</t>
        </is>
      </c>
      <c r="B368" t="inlineStr">
        <is>
          <t>Hagerstown-Martinsburg, MD-WV Metro Area</t>
        </is>
      </c>
      <c r="C368" t="inlineStr">
        <is>
          <t>25180</t>
        </is>
      </c>
      <c r="D368" s="7" t="n">
        <v>40.4</v>
      </c>
      <c r="E368" t="n">
        <v>40.43968668407311</v>
      </c>
      <c r="F368" s="7" t="n">
        <v>59.6</v>
      </c>
      <c r="G368" s="6" t="n">
        <v>95750</v>
      </c>
      <c r="H368" s="6" t="n">
        <v>38721</v>
      </c>
      <c r="I368" s="6" t="n">
        <v>57029</v>
      </c>
      <c r="J368" t="inlineStr">
        <is>
          <t>https://www2.census.gov/programs-surveys/susb/datasets/2022/msa_3digitnaics_2022.txt</t>
        </is>
      </c>
    </row>
    <row r="369">
      <c r="A369" t="inlineStr">
        <is>
          <t>metro</t>
        </is>
      </c>
      <c r="B369" t="inlineStr">
        <is>
          <t>Morristown, TN Metro Area</t>
        </is>
      </c>
      <c r="C369" t="inlineStr">
        <is>
          <t>34100</t>
        </is>
      </c>
      <c r="D369" s="7" t="n">
        <v>40.2</v>
      </c>
      <c r="E369" t="n">
        <v>40.21832034970329</v>
      </c>
      <c r="F369" s="7" t="n">
        <v>59.8</v>
      </c>
      <c r="G369" s="6" t="n">
        <v>40949</v>
      </c>
      <c r="H369" s="6" t="n">
        <v>16469</v>
      </c>
      <c r="I369" s="6" t="n">
        <v>24480</v>
      </c>
      <c r="J369" t="inlineStr">
        <is>
          <t>https://www2.census.gov/programs-surveys/susb/datasets/2022/msa_3digitnaics_2022.txt</t>
        </is>
      </c>
    </row>
    <row r="370">
      <c r="A370" t="inlineStr">
        <is>
          <t>metro</t>
        </is>
      </c>
      <c r="B370" t="inlineStr">
        <is>
          <t>Midland, MI Metro Area</t>
        </is>
      </c>
      <c r="C370" t="inlineStr">
        <is>
          <t>33220</t>
        </is>
      </c>
      <c r="D370" s="7" t="n">
        <v>40.1</v>
      </c>
      <c r="E370" t="n">
        <v>40.14571322031954</v>
      </c>
      <c r="F370" s="7" t="n">
        <v>59.9</v>
      </c>
      <c r="G370" s="6" t="n">
        <v>34863</v>
      </c>
      <c r="H370" s="6" t="n">
        <v>13996</v>
      </c>
      <c r="I370" s="6" t="n">
        <v>20867</v>
      </c>
      <c r="J370" t="inlineStr">
        <is>
          <t>https://www2.census.gov/programs-surveys/susb/datasets/2022/msa_3digitnaics_2022.txt</t>
        </is>
      </c>
    </row>
    <row r="371">
      <c r="A371" t="inlineStr">
        <is>
          <t>metro</t>
        </is>
      </c>
      <c r="B371" t="inlineStr">
        <is>
          <t>Lakeland-Winter Haven, FL Metro Area</t>
        </is>
      </c>
      <c r="C371" t="inlineStr">
        <is>
          <t>29460</t>
        </is>
      </c>
      <c r="D371" s="7" t="n">
        <v>40</v>
      </c>
      <c r="E371" t="n">
        <v>40.04229978177973</v>
      </c>
      <c r="F371" s="7" t="n">
        <v>60</v>
      </c>
      <c r="G371" s="6" t="n">
        <v>223169</v>
      </c>
      <c r="H371" s="6" t="n">
        <v>89362</v>
      </c>
      <c r="I371" s="6" t="n">
        <v>133807</v>
      </c>
      <c r="J371" t="inlineStr">
        <is>
          <t>https://www2.census.gov/programs-surveys/susb/datasets/2022/msa_3digitnaics_2022.txt</t>
        </is>
      </c>
    </row>
    <row r="372">
      <c r="A372" t="inlineStr">
        <is>
          <t>metro</t>
        </is>
      </c>
      <c r="B372" t="inlineStr">
        <is>
          <t>Oshkosh-Neenah, WI Metro Area</t>
        </is>
      </c>
      <c r="C372" t="inlineStr">
        <is>
          <t>36780</t>
        </is>
      </c>
      <c r="D372" s="7" t="n">
        <v>39.9</v>
      </c>
      <c r="E372" t="n">
        <v>39.87887930078307</v>
      </c>
      <c r="F372" s="7" t="n">
        <v>60.1</v>
      </c>
      <c r="G372" s="6" t="n">
        <v>90158</v>
      </c>
      <c r="H372" s="6" t="n">
        <v>35954</v>
      </c>
      <c r="I372" s="6" t="n">
        <v>54204</v>
      </c>
      <c r="J372" t="inlineStr">
        <is>
          <t>https://www2.census.gov/programs-surveys/susb/datasets/2022/msa_3digitnaics_2022.txt</t>
        </is>
      </c>
    </row>
    <row r="373">
      <c r="A373" t="inlineStr">
        <is>
          <t>metro</t>
        </is>
      </c>
      <c r="B373" t="inlineStr">
        <is>
          <t>Louisville/Jefferson County, KY-IN Metro Area</t>
        </is>
      </c>
      <c r="C373" t="inlineStr">
        <is>
          <t>31140</t>
        </is>
      </c>
      <c r="D373" s="7" t="n">
        <v>39.8</v>
      </c>
      <c r="E373" t="n">
        <v>39.83863266086366</v>
      </c>
      <c r="F373" s="7" t="n">
        <v>60.2</v>
      </c>
      <c r="G373" s="6" t="n">
        <v>630363</v>
      </c>
      <c r="H373" s="6" t="n">
        <v>251128</v>
      </c>
      <c r="I373" s="6" t="n">
        <v>379235</v>
      </c>
      <c r="J373" t="inlineStr">
        <is>
          <t>https://www2.census.gov/programs-surveys/susb/datasets/2022/msa_3digitnaics_2022.txt</t>
        </is>
      </c>
    </row>
    <row r="374">
      <c r="A374" t="inlineStr">
        <is>
          <t>metro</t>
        </is>
      </c>
      <c r="B374" t="inlineStr">
        <is>
          <t>Decatur, IL Metro Area</t>
        </is>
      </c>
      <c r="C374" t="inlineStr">
        <is>
          <t>19500</t>
        </is>
      </c>
      <c r="D374" s="7" t="n">
        <v>39.2</v>
      </c>
      <c r="E374" t="n">
        <v>39.19345251703169</v>
      </c>
      <c r="F374" s="7" t="n">
        <v>60.8</v>
      </c>
      <c r="G374" s="6" t="n">
        <v>43742</v>
      </c>
      <c r="H374" s="6" t="n">
        <v>17144</v>
      </c>
      <c r="I374" s="6" t="n">
        <v>26598</v>
      </c>
      <c r="J374" t="inlineStr">
        <is>
          <t>https://www2.census.gov/programs-surveys/susb/datasets/2022/msa_3digitnaics_2022.txt</t>
        </is>
      </c>
    </row>
    <row r="375">
      <c r="A375" t="inlineStr">
        <is>
          <t>metro</t>
        </is>
      </c>
      <c r="B375" t="inlineStr">
        <is>
          <t>Rome, GA Metro Area</t>
        </is>
      </c>
      <c r="C375" t="inlineStr">
        <is>
          <t>40660</t>
        </is>
      </c>
      <c r="D375" s="7" t="n">
        <v>39.1</v>
      </c>
      <c r="E375" t="n">
        <v>39.11461646101005</v>
      </c>
      <c r="F375" s="7" t="n">
        <v>60.9</v>
      </c>
      <c r="G375" s="6" t="n">
        <v>39305</v>
      </c>
      <c r="H375" s="6" t="n">
        <v>15374</v>
      </c>
      <c r="I375" s="6" t="n">
        <v>23931</v>
      </c>
      <c r="J375" t="inlineStr">
        <is>
          <t>https://www2.census.gov/programs-surveys/susb/datasets/2022/msa_3digitnaics_2022.txt</t>
        </is>
      </c>
    </row>
    <row r="376">
      <c r="A376" t="inlineStr">
        <is>
          <t>metro</t>
        </is>
      </c>
      <c r="B376" t="inlineStr">
        <is>
          <t>Kokomo, IN Metro Area</t>
        </is>
      </c>
      <c r="C376" t="inlineStr">
        <is>
          <t>29020</t>
        </is>
      </c>
      <c r="D376" s="7" t="n">
        <v>38.7</v>
      </c>
      <c r="E376" t="n">
        <v>38.72389088829841</v>
      </c>
      <c r="F376" s="7" t="n">
        <v>61.3</v>
      </c>
      <c r="G376" s="6" t="n">
        <v>29731</v>
      </c>
      <c r="H376" s="6" t="n">
        <v>11513</v>
      </c>
      <c r="I376" s="6" t="n">
        <v>18218</v>
      </c>
      <c r="J376" t="inlineStr">
        <is>
          <t>https://www2.census.gov/programs-surveys/susb/datasets/2022/msa_3digitnaics_2022.txt</t>
        </is>
      </c>
    </row>
    <row r="377">
      <c r="A377" t="inlineStr">
        <is>
          <t>metro</t>
        </is>
      </c>
      <c r="B377" t="inlineStr">
        <is>
          <t>Orlando-Kissimmee-Sanford, FL Metro Area</t>
        </is>
      </c>
      <c r="C377" t="inlineStr">
        <is>
          <t>36740</t>
        </is>
      </c>
      <c r="D377" s="7" t="n">
        <v>38.6</v>
      </c>
      <c r="E377" t="n">
        <v>38.61879226474042</v>
      </c>
      <c r="F377" s="7" t="n">
        <v>61.4</v>
      </c>
      <c r="G377" s="6" t="n">
        <v>1192927</v>
      </c>
      <c r="H377" s="6" t="n">
        <v>460694</v>
      </c>
      <c r="I377" s="6" t="n">
        <v>732233</v>
      </c>
      <c r="J377" t="inlineStr">
        <is>
          <t>https://www2.census.gov/programs-surveys/susb/datasets/2022/msa_3digitnaics_2022.txt</t>
        </is>
      </c>
    </row>
    <row r="378">
      <c r="A378" t="inlineStr">
        <is>
          <t>metro</t>
        </is>
      </c>
      <c r="B378" t="inlineStr">
        <is>
          <t>Harrisburg-Carlisle, PA Metro Area</t>
        </is>
      </c>
      <c r="C378" t="inlineStr">
        <is>
          <t>25420</t>
        </is>
      </c>
      <c r="D378" s="7" t="n">
        <v>38.6</v>
      </c>
      <c r="E378" t="n">
        <v>38.59443460904872</v>
      </c>
      <c r="F378" s="7" t="n">
        <v>61.4</v>
      </c>
      <c r="G378" s="6" t="n">
        <v>292594</v>
      </c>
      <c r="H378" s="6" t="n">
        <v>112925</v>
      </c>
      <c r="I378" s="6" t="n">
        <v>179669</v>
      </c>
      <c r="J378" t="inlineStr">
        <is>
          <t>https://www2.census.gov/programs-surveys/susb/datasets/2022/msa_3digitnaics_2022.txt</t>
        </is>
      </c>
    </row>
    <row r="379">
      <c r="A379" t="inlineStr">
        <is>
          <t>metro</t>
        </is>
      </c>
      <c r="B379" t="inlineStr">
        <is>
          <t>Elkhart-Goshen, IN Metro Area</t>
        </is>
      </c>
      <c r="C379" t="inlineStr">
        <is>
          <t>21140</t>
        </is>
      </c>
      <c r="D379" s="7" t="n">
        <v>38.4</v>
      </c>
      <c r="E379" t="n">
        <v>38.39481812540527</v>
      </c>
      <c r="F379" s="7" t="n">
        <v>61.6</v>
      </c>
      <c r="G379" s="6" t="n">
        <v>143423</v>
      </c>
      <c r="H379" s="6" t="n">
        <v>55067</v>
      </c>
      <c r="I379" s="6" t="n">
        <v>88356</v>
      </c>
      <c r="J379" t="inlineStr">
        <is>
          <t>https://www2.census.gov/programs-surveys/susb/datasets/2022/msa_3digitnaics_2022.txt</t>
        </is>
      </c>
    </row>
    <row r="380">
      <c r="A380" t="inlineStr">
        <is>
          <t>metro</t>
        </is>
      </c>
      <c r="B380" t="inlineStr">
        <is>
          <t>Morgantown, WV Metro Area</t>
        </is>
      </c>
      <c r="C380" t="inlineStr">
        <is>
          <t>34060</t>
        </is>
      </c>
      <c r="D380" s="7" t="n">
        <v>38.1</v>
      </c>
      <c r="E380" t="n">
        <v>38.06903991370011</v>
      </c>
      <c r="F380" s="7" t="n">
        <v>61.9</v>
      </c>
      <c r="G380" s="6" t="n">
        <v>55620</v>
      </c>
      <c r="H380" s="6" t="n">
        <v>21174</v>
      </c>
      <c r="I380" s="6" t="n">
        <v>34446</v>
      </c>
      <c r="J380" t="inlineStr">
        <is>
          <t>https://www2.census.gov/programs-surveys/susb/datasets/2022/msa_3digitnaics_2022.txt</t>
        </is>
      </c>
    </row>
    <row r="381">
      <c r="A381" t="inlineStr">
        <is>
          <t>metro</t>
        </is>
      </c>
      <c r="B381" t="inlineStr">
        <is>
          <t>Hinesville, GA Metro Area</t>
        </is>
      </c>
      <c r="C381" t="inlineStr">
        <is>
          <t>25980</t>
        </is>
      </c>
      <c r="D381" s="7" t="n">
        <v>37.6</v>
      </c>
      <c r="E381" t="n">
        <v>37.623695725345</v>
      </c>
      <c r="F381" s="7" t="n">
        <v>62.4</v>
      </c>
      <c r="G381" s="6" t="n">
        <v>14855</v>
      </c>
      <c r="H381" s="6" t="n">
        <v>5589</v>
      </c>
      <c r="I381" s="6" t="n">
        <v>9266</v>
      </c>
      <c r="J381" t="inlineStr">
        <is>
          <t>https://www2.census.gov/programs-surveys/susb/datasets/2022/msa_3digitnaics_2022.txt</t>
        </is>
      </c>
    </row>
    <row r="382">
      <c r="A382" t="inlineStr">
        <is>
          <t>metro</t>
        </is>
      </c>
      <c r="B382" t="inlineStr">
        <is>
          <t>Spartanburg, SC Metro Area</t>
        </is>
      </c>
      <c r="C382" t="inlineStr">
        <is>
          <t>43900</t>
        </is>
      </c>
      <c r="D382" s="7" t="n">
        <v>37.6</v>
      </c>
      <c r="E382" t="n">
        <v>37.58816207993362</v>
      </c>
      <c r="F382" s="7" t="n">
        <v>62.4</v>
      </c>
      <c r="G382" s="6" t="n">
        <v>151851</v>
      </c>
      <c r="H382" s="6" t="n">
        <v>57078</v>
      </c>
      <c r="I382" s="6" t="n">
        <v>94773</v>
      </c>
      <c r="J382" t="inlineStr">
        <is>
          <t>https://www2.census.gov/programs-surveys/susb/datasets/2022/msa_3digitnaics_2022.txt</t>
        </is>
      </c>
    </row>
    <row r="383">
      <c r="A383" t="inlineStr">
        <is>
          <t>metro</t>
        </is>
      </c>
      <c r="B383" t="inlineStr">
        <is>
          <t>Ithaca, NY Metro Area</t>
        </is>
      </c>
      <c r="C383" t="inlineStr">
        <is>
          <t>27060</t>
        </is>
      </c>
      <c r="D383" s="7" t="n">
        <v>37.6</v>
      </c>
      <c r="E383" t="n">
        <v>37.56497151648717</v>
      </c>
      <c r="F383" s="7" t="n">
        <v>62.4</v>
      </c>
      <c r="G383" s="6" t="n">
        <v>48098</v>
      </c>
      <c r="H383" s="6" t="n">
        <v>18068</v>
      </c>
      <c r="I383" s="6" t="n">
        <v>30030</v>
      </c>
      <c r="J383" t="inlineStr">
        <is>
          <t>https://www2.census.gov/programs-surveys/susb/datasets/2022/msa_3digitnaics_2022.txt</t>
        </is>
      </c>
    </row>
    <row r="384">
      <c r="A384" t="inlineStr">
        <is>
          <t>metro</t>
        </is>
      </c>
      <c r="B384" t="inlineStr">
        <is>
          <t>Columbus, IN Metro Area</t>
        </is>
      </c>
      <c r="C384" t="inlineStr">
        <is>
          <t>18020</t>
        </is>
      </c>
      <c r="D384" s="7" t="n">
        <v>37.5</v>
      </c>
      <c r="E384" t="n">
        <v>37.49230904456359</v>
      </c>
      <c r="F384" s="7" t="n">
        <v>62.5</v>
      </c>
      <c r="G384" s="6" t="n">
        <v>45508</v>
      </c>
      <c r="H384" s="6" t="n">
        <v>17062</v>
      </c>
      <c r="I384" s="6" t="n">
        <v>28446</v>
      </c>
      <c r="J384" t="inlineStr">
        <is>
          <t>https://www2.census.gov/programs-surveys/susb/datasets/2022/msa_3digitnaics_2022.txt</t>
        </is>
      </c>
    </row>
    <row r="385">
      <c r="A385" t="inlineStr">
        <is>
          <t>metro</t>
        </is>
      </c>
      <c r="B385" t="inlineStr">
        <is>
          <t>San Jose-Sunnyvale-Santa Clara, CA Metro Area</t>
        </is>
      </c>
      <c r="C385" t="inlineStr">
        <is>
          <t>41940</t>
        </is>
      </c>
      <c r="D385" s="7" t="n">
        <v>37</v>
      </c>
      <c r="E385" t="n">
        <v>36.99317506409547</v>
      </c>
      <c r="F385" s="7" t="n">
        <v>63</v>
      </c>
      <c r="G385" s="6" t="n">
        <v>1147117</v>
      </c>
      <c r="H385" s="6" t="n">
        <v>424355</v>
      </c>
      <c r="I385" s="6" t="n">
        <v>722762</v>
      </c>
      <c r="J385" t="inlineStr">
        <is>
          <t>https://www2.census.gov/programs-surveys/susb/datasets/2022/msa_3digitnaics_2022.txt</t>
        </is>
      </c>
    </row>
    <row r="386">
      <c r="A386" t="inlineStr">
        <is>
          <t>metro</t>
        </is>
      </c>
      <c r="B386" t="inlineStr">
        <is>
          <t>Bloomington, IL Metro Area</t>
        </is>
      </c>
      <c r="C386" t="inlineStr">
        <is>
          <t>14010</t>
        </is>
      </c>
      <c r="D386" s="7" t="n">
        <v>37</v>
      </c>
      <c r="E386" t="n">
        <v>36.98342127112516</v>
      </c>
      <c r="F386" s="7" t="n">
        <v>63</v>
      </c>
      <c r="G386" s="6" t="n">
        <v>74674</v>
      </c>
      <c r="H386" s="6" t="n">
        <v>27617</v>
      </c>
      <c r="I386" s="6" t="n">
        <v>47057</v>
      </c>
      <c r="J386" t="inlineStr">
        <is>
          <t>https://www2.census.gov/programs-surveys/susb/datasets/2022/msa_3digitnaics_2022.txt</t>
        </is>
      </c>
    </row>
    <row r="387">
      <c r="A387" t="inlineStr">
        <is>
          <t>metro</t>
        </is>
      </c>
      <c r="B387" t="inlineStr">
        <is>
          <t>Durham-Chapel Hill, NC Metro Area</t>
        </is>
      </c>
      <c r="C387" t="inlineStr">
        <is>
          <t>20500</t>
        </is>
      </c>
      <c r="D387" s="7" t="n">
        <v>35.9</v>
      </c>
      <c r="E387" t="n">
        <v>35.89144500359453</v>
      </c>
      <c r="F387" s="7" t="n">
        <v>64.09999999999999</v>
      </c>
      <c r="G387" s="6" t="n">
        <v>294892</v>
      </c>
      <c r="H387" s="6" t="n">
        <v>105841</v>
      </c>
      <c r="I387" s="6" t="n">
        <v>189051</v>
      </c>
      <c r="J387" t="inlineStr">
        <is>
          <t>https://www2.census.gov/programs-surveys/susb/datasets/2022/msa_3digitnaics_2022.txt</t>
        </is>
      </c>
    </row>
    <row r="388">
      <c r="A388" t="inlineStr">
        <is>
          <t>metro</t>
        </is>
      </c>
      <c r="B388" t="inlineStr">
        <is>
          <t>Rochester, MN Metro Area</t>
        </is>
      </c>
      <c r="C388" t="inlineStr">
        <is>
          <t>40340</t>
        </is>
      </c>
      <c r="D388" s="7" t="n">
        <v>35.7</v>
      </c>
      <c r="E388" t="n">
        <v>35.67827333277127</v>
      </c>
      <c r="F388" s="7" t="n">
        <v>64.3</v>
      </c>
      <c r="G388" s="6" t="n">
        <v>118610</v>
      </c>
      <c r="H388" s="6" t="n">
        <v>42318</v>
      </c>
      <c r="I388" s="6" t="n">
        <v>76292</v>
      </c>
      <c r="J388" t="inlineStr">
        <is>
          <t>https://www2.census.gov/programs-surveys/susb/datasets/2022/msa_3digitnaics_2022.txt</t>
        </is>
      </c>
    </row>
    <row r="389">
      <c r="A389" t="inlineStr">
        <is>
          <t>micro</t>
        </is>
      </c>
      <c r="B389" t="inlineStr">
        <is>
          <t>Nantucket, MA Micro Area</t>
        </is>
      </c>
      <c r="C389" t="inlineStr">
        <is>
          <t>34880</t>
        </is>
      </c>
      <c r="D389" s="7" t="n">
        <v>87</v>
      </c>
      <c r="E389" t="n">
        <v>86.96465307649149</v>
      </c>
      <c r="F389" s="7" t="n">
        <v>13</v>
      </c>
      <c r="G389" s="6" t="n">
        <v>5347</v>
      </c>
      <c r="H389" s="6" t="n">
        <v>4650</v>
      </c>
      <c r="I389" s="6" t="n">
        <v>697</v>
      </c>
      <c r="J389" t="inlineStr">
        <is>
          <t>https://www2.census.gov/programs-surveys/susb/datasets/2022/msa_3digitnaics_2022.txt</t>
        </is>
      </c>
    </row>
    <row r="390">
      <c r="A390" t="inlineStr">
        <is>
          <t>micro</t>
        </is>
      </c>
      <c r="B390" t="inlineStr">
        <is>
          <t>Fredericksburg, TX Micro Area</t>
        </is>
      </c>
      <c r="C390" t="inlineStr">
        <is>
          <t>23240</t>
        </is>
      </c>
      <c r="D390" s="7" t="n">
        <v>84.3</v>
      </c>
      <c r="E390" t="n">
        <v>84.3392110525359</v>
      </c>
      <c r="F390" s="7" t="n">
        <v>15.7</v>
      </c>
      <c r="G390" s="6" t="n">
        <v>11002</v>
      </c>
      <c r="H390" s="6" t="n">
        <v>9279</v>
      </c>
      <c r="I390" s="6" t="n">
        <v>1723</v>
      </c>
      <c r="J390" t="inlineStr">
        <is>
          <t>https://www2.census.gov/programs-surveys/susb/datasets/2022/msa_3digitnaics_2022.txt</t>
        </is>
      </c>
    </row>
    <row r="391">
      <c r="A391" t="inlineStr">
        <is>
          <t>micro</t>
        </is>
      </c>
      <c r="B391" t="inlineStr">
        <is>
          <t>Andrews, TX Micro Area</t>
        </is>
      </c>
      <c r="C391" t="inlineStr">
        <is>
          <t>11380</t>
        </is>
      </c>
      <c r="D391" s="7" t="n">
        <v>84.2</v>
      </c>
      <c r="E391" t="n">
        <v>84.19864559819413</v>
      </c>
      <c r="F391" s="7" t="n">
        <v>15.8</v>
      </c>
      <c r="G391" s="6" t="n">
        <v>5759</v>
      </c>
      <c r="H391" s="6" t="n">
        <v>4849</v>
      </c>
      <c r="I391" s="6" t="n">
        <v>910</v>
      </c>
      <c r="J391" t="inlineStr">
        <is>
          <t>https://www2.census.gov/programs-surveys/susb/datasets/2022/msa_3digitnaics_2022.txt</t>
        </is>
      </c>
    </row>
    <row r="392">
      <c r="A392" t="inlineStr">
        <is>
          <t>micro</t>
        </is>
      </c>
      <c r="B392" t="inlineStr">
        <is>
          <t>Vineyard Haven, MA Micro Area</t>
        </is>
      </c>
      <c r="C392" t="inlineStr">
        <is>
          <t>47240</t>
        </is>
      </c>
      <c r="D392" s="7" t="n">
        <v>82.59999999999999</v>
      </c>
      <c r="E392" t="n">
        <v>82.57522743177047</v>
      </c>
      <c r="F392" s="7" t="n">
        <v>17.4</v>
      </c>
      <c r="G392" s="6" t="n">
        <v>5716</v>
      </c>
      <c r="H392" s="6" t="n">
        <v>4720</v>
      </c>
      <c r="I392" s="6" t="n">
        <v>996</v>
      </c>
      <c r="J392" t="inlineStr">
        <is>
          <t>https://www2.census.gov/programs-surveys/susb/datasets/2022/msa_3digitnaics_2022.txt</t>
        </is>
      </c>
    </row>
    <row r="393">
      <c r="A393" t="inlineStr">
        <is>
          <t>micro</t>
        </is>
      </c>
      <c r="B393" t="inlineStr">
        <is>
          <t>Brookings, OR Micro Area</t>
        </is>
      </c>
      <c r="C393" t="inlineStr">
        <is>
          <t>15060</t>
        </is>
      </c>
      <c r="D393" s="7" t="n">
        <v>81.40000000000001</v>
      </c>
      <c r="E393" t="n">
        <v>81.43164693218515</v>
      </c>
      <c r="F393" s="7" t="n">
        <v>18.6</v>
      </c>
      <c r="G393" s="6" t="n">
        <v>5574</v>
      </c>
      <c r="H393" s="6" t="n">
        <v>4539</v>
      </c>
      <c r="I393" s="6" t="n">
        <v>1035</v>
      </c>
      <c r="J393" t="inlineStr">
        <is>
          <t>https://www2.census.gov/programs-surveys/susb/datasets/2022/msa_3digitnaics_2022.txt</t>
        </is>
      </c>
    </row>
    <row r="394">
      <c r="A394" t="inlineStr">
        <is>
          <t>micro</t>
        </is>
      </c>
      <c r="B394" t="inlineStr">
        <is>
          <t>Riverton, WY Micro Area</t>
        </is>
      </c>
      <c r="C394" t="inlineStr">
        <is>
          <t>40180</t>
        </is>
      </c>
      <c r="D394" s="7" t="n">
        <v>80.09999999999999</v>
      </c>
      <c r="E394" t="n">
        <v>80.05961558227978</v>
      </c>
      <c r="F394" s="7" t="n">
        <v>19.9</v>
      </c>
      <c r="G394" s="6" t="n">
        <v>9729</v>
      </c>
      <c r="H394" s="6" t="n">
        <v>7789</v>
      </c>
      <c r="I394" s="6" t="n">
        <v>1940</v>
      </c>
      <c r="J394" t="inlineStr">
        <is>
          <t>https://www2.census.gov/programs-surveys/susb/datasets/2022/msa_3digitnaics_2022.txt</t>
        </is>
      </c>
    </row>
    <row r="395">
      <c r="A395" t="inlineStr">
        <is>
          <t>micro</t>
        </is>
      </c>
      <c r="B395" t="inlineStr">
        <is>
          <t>Bishop, CA Micro Area</t>
        </is>
      </c>
      <c r="C395" t="inlineStr">
        <is>
          <t>13860</t>
        </is>
      </c>
      <c r="D395" s="7" t="n">
        <v>79.5</v>
      </c>
      <c r="E395" t="n">
        <v>79.51879101212965</v>
      </c>
      <c r="F395" s="7" t="n">
        <v>20.5</v>
      </c>
      <c r="G395" s="6" t="n">
        <v>5029</v>
      </c>
      <c r="H395" s="6" t="n">
        <v>3999</v>
      </c>
      <c r="I395" s="6" t="n">
        <v>1030</v>
      </c>
      <c r="J395" t="inlineStr">
        <is>
          <t>https://www2.census.gov/programs-surveys/susb/datasets/2022/msa_3digitnaics_2022.txt</t>
        </is>
      </c>
    </row>
    <row r="396">
      <c r="A396" t="inlineStr">
        <is>
          <t>micro</t>
        </is>
      </c>
      <c r="B396" t="inlineStr">
        <is>
          <t>Port Townsend, WA Micro Area</t>
        </is>
      </c>
      <c r="C396" t="inlineStr">
        <is>
          <t>39040</t>
        </is>
      </c>
      <c r="D396" s="7" t="n">
        <v>78.59999999999999</v>
      </c>
      <c r="E396" t="n">
        <v>78.6459077274675</v>
      </c>
      <c r="F396" s="7" t="n">
        <v>21.4</v>
      </c>
      <c r="G396" s="6" t="n">
        <v>7001</v>
      </c>
      <c r="H396" s="6" t="n">
        <v>5506</v>
      </c>
      <c r="I396" s="6" t="n">
        <v>1495</v>
      </c>
      <c r="J396" t="inlineStr">
        <is>
          <t>https://www2.census.gov/programs-surveys/susb/datasets/2022/msa_3digitnaics_2022.txt</t>
        </is>
      </c>
    </row>
    <row r="397">
      <c r="A397" t="inlineStr">
        <is>
          <t>micro</t>
        </is>
      </c>
      <c r="B397" t="inlineStr">
        <is>
          <t>Jackson, WY-ID Micro Area</t>
        </is>
      </c>
      <c r="C397" t="inlineStr">
        <is>
          <t>27220</t>
        </is>
      </c>
      <c r="D397" s="7" t="n">
        <v>78.3</v>
      </c>
      <c r="E397" t="n">
        <v>78.31512586899261</v>
      </c>
      <c r="F397" s="7" t="n">
        <v>21.7</v>
      </c>
      <c r="G397" s="6" t="n">
        <v>23159</v>
      </c>
      <c r="H397" s="6" t="n">
        <v>18137</v>
      </c>
      <c r="I397" s="6" t="n">
        <v>5022</v>
      </c>
      <c r="J397" t="inlineStr">
        <is>
          <t>https://www2.census.gov/programs-surveys/susb/datasets/2022/msa_3digitnaics_2022.txt</t>
        </is>
      </c>
    </row>
    <row r="398">
      <c r="A398" t="inlineStr">
        <is>
          <t>micro</t>
        </is>
      </c>
      <c r="B398" t="inlineStr">
        <is>
          <t>Houghton, MI Micro Area</t>
        </is>
      </c>
      <c r="C398" t="inlineStr">
        <is>
          <t>26340</t>
        </is>
      </c>
      <c r="D398" s="7" t="n">
        <v>77.09999999999999</v>
      </c>
      <c r="E398" t="n">
        <v>77.1264367816092</v>
      </c>
      <c r="F398" s="7" t="n">
        <v>22.9</v>
      </c>
      <c r="G398" s="6" t="n">
        <v>9570</v>
      </c>
      <c r="H398" s="6" t="n">
        <v>7381</v>
      </c>
      <c r="I398" s="6" t="n">
        <v>2189</v>
      </c>
      <c r="J398" t="inlineStr">
        <is>
          <t>https://www2.census.gov/programs-surveys/susb/datasets/2022/msa_3digitnaics_2022.txt</t>
        </is>
      </c>
    </row>
    <row r="399">
      <c r="A399" t="inlineStr">
        <is>
          <t>micro</t>
        </is>
      </c>
      <c r="B399" t="inlineStr">
        <is>
          <t>Evanston, WY-UT Micro Area</t>
        </is>
      </c>
      <c r="C399" t="inlineStr">
        <is>
          <t>21740</t>
        </is>
      </c>
      <c r="D399" s="7" t="n">
        <v>76.8</v>
      </c>
      <c r="E399" t="n">
        <v>76.77642980935875</v>
      </c>
      <c r="F399" s="7" t="n">
        <v>23.2</v>
      </c>
      <c r="G399" s="6" t="n">
        <v>6347</v>
      </c>
      <c r="H399" s="6" t="n">
        <v>4873</v>
      </c>
      <c r="I399" s="6" t="n">
        <v>1474</v>
      </c>
      <c r="J399" t="inlineStr">
        <is>
          <t>https://www2.census.gov/programs-surveys/susb/datasets/2022/msa_3digitnaics_2022.txt</t>
        </is>
      </c>
    </row>
    <row r="400">
      <c r="A400" t="inlineStr">
        <is>
          <t>micro</t>
        </is>
      </c>
      <c r="B400" t="inlineStr">
        <is>
          <t>Oak Harbor, WA Micro Area</t>
        </is>
      </c>
      <c r="C400" t="inlineStr">
        <is>
          <t>36020</t>
        </is>
      </c>
      <c r="D400" s="7" t="n">
        <v>76.2</v>
      </c>
      <c r="E400" t="n">
        <v>76.1991543956845</v>
      </c>
      <c r="F400" s="7" t="n">
        <v>23.8</v>
      </c>
      <c r="G400" s="6" t="n">
        <v>13718</v>
      </c>
      <c r="H400" s="6" t="n">
        <v>10453</v>
      </c>
      <c r="I400" s="6" t="n">
        <v>3265</v>
      </c>
      <c r="J400" t="inlineStr">
        <is>
          <t>https://www2.census.gov/programs-surveys/susb/datasets/2022/msa_3digitnaics_2022.txt</t>
        </is>
      </c>
    </row>
    <row r="401">
      <c r="A401" t="inlineStr">
        <is>
          <t>micro</t>
        </is>
      </c>
      <c r="B401" t="inlineStr">
        <is>
          <t>Taos, NM Micro Area</t>
        </is>
      </c>
      <c r="C401" t="inlineStr">
        <is>
          <t>45340</t>
        </is>
      </c>
      <c r="D401" s="7" t="n">
        <v>76.09999999999999</v>
      </c>
      <c r="E401" t="n">
        <v>76.09618104667609</v>
      </c>
      <c r="F401" s="7" t="n">
        <v>23.9</v>
      </c>
      <c r="G401" s="6" t="n">
        <v>9191</v>
      </c>
      <c r="H401" s="6" t="n">
        <v>6994</v>
      </c>
      <c r="I401" s="6" t="n">
        <v>2197</v>
      </c>
      <c r="J401" t="inlineStr">
        <is>
          <t>https://www2.census.gov/programs-surveys/susb/datasets/2022/msa_3digitnaics_2022.txt</t>
        </is>
      </c>
    </row>
    <row r="402">
      <c r="A402" t="inlineStr">
        <is>
          <t>micro</t>
        </is>
      </c>
      <c r="B402" t="inlineStr">
        <is>
          <t>Ukiah, CA Micro Area</t>
        </is>
      </c>
      <c r="C402" t="inlineStr">
        <is>
          <t>46380</t>
        </is>
      </c>
      <c r="D402" s="7" t="n">
        <v>76.09999999999999</v>
      </c>
      <c r="E402" t="n">
        <v>76.08116677235257</v>
      </c>
      <c r="F402" s="7" t="n">
        <v>23.9</v>
      </c>
      <c r="G402" s="6" t="n">
        <v>23655</v>
      </c>
      <c r="H402" s="6" t="n">
        <v>17997</v>
      </c>
      <c r="I402" s="6" t="n">
        <v>5658</v>
      </c>
      <c r="J402" t="inlineStr">
        <is>
          <t>https://www2.census.gov/programs-surveys/susb/datasets/2022/msa_3digitnaics_2022.txt</t>
        </is>
      </c>
    </row>
    <row r="403">
      <c r="A403" t="inlineStr">
        <is>
          <t>micro</t>
        </is>
      </c>
      <c r="B403" t="inlineStr">
        <is>
          <t>Eureka-Arcata, CA Micro Area</t>
        </is>
      </c>
      <c r="C403" t="inlineStr">
        <is>
          <t>21700</t>
        </is>
      </c>
      <c r="D403" s="7" t="n">
        <v>76</v>
      </c>
      <c r="E403" t="n">
        <v>76.0119375307855</v>
      </c>
      <c r="F403" s="7" t="n">
        <v>24</v>
      </c>
      <c r="G403" s="6" t="n">
        <v>34513</v>
      </c>
      <c r="H403" s="6" t="n">
        <v>26234</v>
      </c>
      <c r="I403" s="6" t="n">
        <v>8279</v>
      </c>
      <c r="J403" t="inlineStr">
        <is>
          <t>https://www2.census.gov/programs-surveys/susb/datasets/2022/msa_3digitnaics_2022.txt</t>
        </is>
      </c>
    </row>
    <row r="404">
      <c r="A404" t="inlineStr">
        <is>
          <t>micro</t>
        </is>
      </c>
      <c r="B404" t="inlineStr">
        <is>
          <t>Spencer, IA Micro Area</t>
        </is>
      </c>
      <c r="C404" t="inlineStr">
        <is>
          <t>43980</t>
        </is>
      </c>
      <c r="D404" s="7" t="n">
        <v>75.90000000000001</v>
      </c>
      <c r="E404" t="n">
        <v>75.87033121916843</v>
      </c>
      <c r="F404" s="7" t="n">
        <v>24.1</v>
      </c>
      <c r="G404" s="6" t="n">
        <v>7095</v>
      </c>
      <c r="H404" s="6" t="n">
        <v>5383</v>
      </c>
      <c r="I404" s="6" t="n">
        <v>1712</v>
      </c>
      <c r="J404" t="inlineStr">
        <is>
          <t>https://www2.census.gov/programs-surveys/susb/datasets/2022/msa_3digitnaics_2022.txt</t>
        </is>
      </c>
    </row>
    <row r="405">
      <c r="A405" t="inlineStr">
        <is>
          <t>micro</t>
        </is>
      </c>
      <c r="B405" t="inlineStr">
        <is>
          <t>Kill Devil Hills, NC Micro Area</t>
        </is>
      </c>
      <c r="C405" t="inlineStr">
        <is>
          <t>28620</t>
        </is>
      </c>
      <c r="D405" s="7" t="n">
        <v>75.5</v>
      </c>
      <c r="E405" t="n">
        <v>75.5161873869378</v>
      </c>
      <c r="F405" s="7" t="n">
        <v>24.5</v>
      </c>
      <c r="G405" s="6" t="n">
        <v>16031</v>
      </c>
      <c r="H405" s="6" t="n">
        <v>12106</v>
      </c>
      <c r="I405" s="6" t="n">
        <v>3925</v>
      </c>
      <c r="J405" t="inlineStr">
        <is>
          <t>https://www2.census.gov/programs-surveys/susb/datasets/2022/msa_3digitnaics_2022.txt</t>
        </is>
      </c>
    </row>
    <row r="406">
      <c r="A406" t="inlineStr">
        <is>
          <t>micro</t>
        </is>
      </c>
      <c r="B406" t="inlineStr">
        <is>
          <t>Zapata, TX Micro Area</t>
        </is>
      </c>
      <c r="C406" t="inlineStr">
        <is>
          <t>49820</t>
        </is>
      </c>
      <c r="D406" s="7" t="n">
        <v>75.40000000000001</v>
      </c>
      <c r="E406" t="n">
        <v>75.41308658294778</v>
      </c>
      <c r="F406" s="7" t="n">
        <v>24.6</v>
      </c>
      <c r="G406" s="6" t="n">
        <v>1513</v>
      </c>
      <c r="H406" s="6" t="n">
        <v>1141</v>
      </c>
      <c r="I406" s="6" t="n">
        <v>372</v>
      </c>
      <c r="J406" t="inlineStr">
        <is>
          <t>https://www2.census.gov/programs-surveys/susb/datasets/2022/msa_3digitnaics_2022.txt</t>
        </is>
      </c>
    </row>
    <row r="407">
      <c r="A407" t="inlineStr">
        <is>
          <t>micro</t>
        </is>
      </c>
      <c r="B407" t="inlineStr">
        <is>
          <t>Aberdeen, WA Micro Area</t>
        </is>
      </c>
      <c r="C407" t="inlineStr">
        <is>
          <t>10140</t>
        </is>
      </c>
      <c r="D407" s="7" t="n">
        <v>75.3</v>
      </c>
      <c r="E407" t="n">
        <v>75.34683164604425</v>
      </c>
      <c r="F407" s="7" t="n">
        <v>24.7</v>
      </c>
      <c r="G407" s="6" t="n">
        <v>16002</v>
      </c>
      <c r="H407" s="6" t="n">
        <v>12057</v>
      </c>
      <c r="I407" s="6" t="n">
        <v>3945</v>
      </c>
      <c r="J407" t="inlineStr">
        <is>
          <t>https://www2.census.gov/programs-surveys/susb/datasets/2022/msa_3digitnaics_2022.txt</t>
        </is>
      </c>
    </row>
    <row r="408">
      <c r="A408" t="inlineStr">
        <is>
          <t>micro</t>
        </is>
      </c>
      <c r="B408" t="inlineStr">
        <is>
          <t>Truckee-Grass Valley, CA Micro Area</t>
        </is>
      </c>
      <c r="C408" t="inlineStr">
        <is>
          <t>46020</t>
        </is>
      </c>
      <c r="D408" s="7" t="n">
        <v>75.3</v>
      </c>
      <c r="E408" t="n">
        <v>75.28670935059452</v>
      </c>
      <c r="F408" s="7" t="n">
        <v>24.7</v>
      </c>
      <c r="G408" s="6" t="n">
        <v>28426</v>
      </c>
      <c r="H408" s="6" t="n">
        <v>21401</v>
      </c>
      <c r="I408" s="6" t="n">
        <v>7025</v>
      </c>
      <c r="J408" t="inlineStr">
        <is>
          <t>https://www2.census.gov/programs-surveys/susb/datasets/2022/msa_3digitnaics_2022.txt</t>
        </is>
      </c>
    </row>
    <row r="409">
      <c r="A409" t="inlineStr">
        <is>
          <t>micro</t>
        </is>
      </c>
      <c r="B409" t="inlineStr">
        <is>
          <t>Hailey, ID Micro Area</t>
        </is>
      </c>
      <c r="C409" t="inlineStr">
        <is>
          <t>25200</t>
        </is>
      </c>
      <c r="D409" s="7" t="n">
        <v>74.59999999999999</v>
      </c>
      <c r="E409" t="n">
        <v>74.59719142645972</v>
      </c>
      <c r="F409" s="7" t="n">
        <v>25.4</v>
      </c>
      <c r="G409" s="6" t="n">
        <v>13530</v>
      </c>
      <c r="H409" s="6" t="n">
        <v>10093</v>
      </c>
      <c r="I409" s="6" t="n">
        <v>3437</v>
      </c>
      <c r="J409" t="inlineStr">
        <is>
          <t>https://www2.census.gov/programs-surveys/susb/datasets/2022/msa_3digitnaics_2022.txt</t>
        </is>
      </c>
    </row>
    <row r="410">
      <c r="A410" t="inlineStr">
        <is>
          <t>micro</t>
        </is>
      </c>
      <c r="B410" t="inlineStr">
        <is>
          <t>Port Angeles, WA Micro Area</t>
        </is>
      </c>
      <c r="C410" t="inlineStr">
        <is>
          <t>38820</t>
        </is>
      </c>
      <c r="D410" s="7" t="n">
        <v>74</v>
      </c>
      <c r="E410" t="n">
        <v>73.96216216216216</v>
      </c>
      <c r="F410" s="7" t="n">
        <v>26</v>
      </c>
      <c r="G410" s="6" t="n">
        <v>18500</v>
      </c>
      <c r="H410" s="6" t="n">
        <v>13683</v>
      </c>
      <c r="I410" s="6" t="n">
        <v>4817</v>
      </c>
      <c r="J410" t="inlineStr">
        <is>
          <t>https://www2.census.gov/programs-surveys/susb/datasets/2022/msa_3digitnaics_2022.txt</t>
        </is>
      </c>
    </row>
    <row r="411">
      <c r="A411" t="inlineStr">
        <is>
          <t>micro</t>
        </is>
      </c>
      <c r="B411" t="inlineStr">
        <is>
          <t>Spearfish, SD Micro Area</t>
        </is>
      </c>
      <c r="C411" t="inlineStr">
        <is>
          <t>43940</t>
        </is>
      </c>
      <c r="D411" s="7" t="n">
        <v>73.7</v>
      </c>
      <c r="E411" t="n">
        <v>73.70329057445622</v>
      </c>
      <c r="F411" s="7" t="n">
        <v>26.3</v>
      </c>
      <c r="G411" s="6" t="n">
        <v>10758</v>
      </c>
      <c r="H411" s="6" t="n">
        <v>7929</v>
      </c>
      <c r="I411" s="6" t="n">
        <v>2829</v>
      </c>
      <c r="J411" t="inlineStr">
        <is>
          <t>https://www2.census.gov/programs-surveys/susb/datasets/2022/msa_3digitnaics_2022.txt</t>
        </is>
      </c>
    </row>
    <row r="412">
      <c r="A412" t="inlineStr">
        <is>
          <t>micro</t>
        </is>
      </c>
      <c r="B412" t="inlineStr">
        <is>
          <t>Durango, CO Micro Area</t>
        </is>
      </c>
      <c r="C412" t="inlineStr">
        <is>
          <t>20420</t>
        </is>
      </c>
      <c r="D412" s="7" t="n">
        <v>73.59999999999999</v>
      </c>
      <c r="E412" t="n">
        <v>73.63743494058726</v>
      </c>
      <c r="F412" s="7" t="n">
        <v>26.4</v>
      </c>
      <c r="G412" s="6" t="n">
        <v>20366</v>
      </c>
      <c r="H412" s="6" t="n">
        <v>14997</v>
      </c>
      <c r="I412" s="6" t="n">
        <v>5369</v>
      </c>
      <c r="J412" t="inlineStr">
        <is>
          <t>https://www2.census.gov/programs-surveys/susb/datasets/2022/msa_3digitnaics_2022.txt</t>
        </is>
      </c>
    </row>
    <row r="413">
      <c r="A413" t="inlineStr">
        <is>
          <t>micro</t>
        </is>
      </c>
      <c r="B413" t="inlineStr">
        <is>
          <t>Nogales, AZ Micro Area</t>
        </is>
      </c>
      <c r="C413" t="inlineStr">
        <is>
          <t>35700</t>
        </is>
      </c>
      <c r="D413" s="7" t="n">
        <v>73.59999999999999</v>
      </c>
      <c r="E413" t="n">
        <v>73.57976995346387</v>
      </c>
      <c r="F413" s="7" t="n">
        <v>26.4</v>
      </c>
      <c r="G413" s="6" t="n">
        <v>11389</v>
      </c>
      <c r="H413" s="6" t="n">
        <v>8380</v>
      </c>
      <c r="I413" s="6" t="n">
        <v>3009</v>
      </c>
      <c r="J413" t="inlineStr">
        <is>
          <t>https://www2.census.gov/programs-surveys/susb/datasets/2022/msa_3digitnaics_2022.txt</t>
        </is>
      </c>
    </row>
    <row r="414">
      <c r="A414" t="inlineStr">
        <is>
          <t>micro</t>
        </is>
      </c>
      <c r="B414" t="inlineStr">
        <is>
          <t>Elk City, OK Micro Area</t>
        </is>
      </c>
      <c r="C414" t="inlineStr">
        <is>
          <t>21120</t>
        </is>
      </c>
      <c r="D414" s="7" t="n">
        <v>73.2</v>
      </c>
      <c r="E414" t="n">
        <v>73.17250399651213</v>
      </c>
      <c r="F414" s="7" t="n">
        <v>26.8</v>
      </c>
      <c r="G414" s="6" t="n">
        <v>6881</v>
      </c>
      <c r="H414" s="6" t="n">
        <v>5035</v>
      </c>
      <c r="I414" s="6" t="n">
        <v>1846</v>
      </c>
      <c r="J414" t="inlineStr">
        <is>
          <t>https://www2.census.gov/programs-surveys/susb/datasets/2022/msa_3digitnaics_2022.txt</t>
        </is>
      </c>
    </row>
    <row r="415">
      <c r="A415" t="inlineStr">
        <is>
          <t>micro</t>
        </is>
      </c>
      <c r="B415" t="inlineStr">
        <is>
          <t>Clearlake, CA Micro Area</t>
        </is>
      </c>
      <c r="C415" t="inlineStr">
        <is>
          <t>17340</t>
        </is>
      </c>
      <c r="D415" s="7" t="n">
        <v>73.09999999999999</v>
      </c>
      <c r="E415" t="n">
        <v>73.06298364188461</v>
      </c>
      <c r="F415" s="7" t="n">
        <v>26.9</v>
      </c>
      <c r="G415" s="6" t="n">
        <v>10209</v>
      </c>
      <c r="H415" s="6" t="n">
        <v>7459</v>
      </c>
      <c r="I415" s="6" t="n">
        <v>2750</v>
      </c>
      <c r="J415" t="inlineStr">
        <is>
          <t>https://www2.census.gov/programs-surveys/susb/datasets/2022/msa_3digitnaics_2022.txt</t>
        </is>
      </c>
    </row>
    <row r="416">
      <c r="A416" t="inlineStr">
        <is>
          <t>micro</t>
        </is>
      </c>
      <c r="B416" t="inlineStr">
        <is>
          <t>Ketchikan, AK Micro Area</t>
        </is>
      </c>
      <c r="C416" t="inlineStr">
        <is>
          <t>28540</t>
        </is>
      </c>
      <c r="D416" s="7" t="n">
        <v>73.09999999999999</v>
      </c>
      <c r="E416" t="n">
        <v>73.06068015114469</v>
      </c>
      <c r="F416" s="7" t="n">
        <v>26.9</v>
      </c>
      <c r="G416" s="6" t="n">
        <v>4499</v>
      </c>
      <c r="H416" s="6" t="n">
        <v>3287</v>
      </c>
      <c r="I416" s="6" t="n">
        <v>1212</v>
      </c>
      <c r="J416" t="inlineStr">
        <is>
          <t>https://www2.census.gov/programs-surveys/susb/datasets/2022/msa_3digitnaics_2022.txt</t>
        </is>
      </c>
    </row>
    <row r="417">
      <c r="A417" t="inlineStr">
        <is>
          <t>micro</t>
        </is>
      </c>
      <c r="B417" t="inlineStr">
        <is>
          <t>Ruidoso, NM Micro Area</t>
        </is>
      </c>
      <c r="C417" t="inlineStr">
        <is>
          <t>40760</t>
        </is>
      </c>
      <c r="D417" s="7" t="n">
        <v>73</v>
      </c>
      <c r="E417" t="n">
        <v>72.95975930801053</v>
      </c>
      <c r="F417" s="7" t="n">
        <v>27</v>
      </c>
      <c r="G417" s="6" t="n">
        <v>5318</v>
      </c>
      <c r="H417" s="6" t="n">
        <v>3880</v>
      </c>
      <c r="I417" s="6" t="n">
        <v>1438</v>
      </c>
      <c r="J417" t="inlineStr">
        <is>
          <t>https://www2.census.gov/programs-surveys/susb/datasets/2022/msa_3digitnaics_2022.txt</t>
        </is>
      </c>
    </row>
    <row r="418">
      <c r="A418" t="inlineStr">
        <is>
          <t>micro</t>
        </is>
      </c>
      <c r="B418" t="inlineStr">
        <is>
          <t>Wahpeton, ND-MN Micro Area</t>
        </is>
      </c>
      <c r="C418" t="inlineStr">
        <is>
          <t>47420</t>
        </is>
      </c>
      <c r="D418" s="7" t="n">
        <v>72.59999999999999</v>
      </c>
      <c r="E418" t="n">
        <v>72.57656645125036</v>
      </c>
      <c r="F418" s="7" t="n">
        <v>27.4</v>
      </c>
      <c r="G418" s="6" t="n">
        <v>7118</v>
      </c>
      <c r="H418" s="6" t="n">
        <v>5166</v>
      </c>
      <c r="I418" s="6" t="n">
        <v>1952</v>
      </c>
      <c r="J418" t="inlineStr">
        <is>
          <t>https://www2.census.gov/programs-surveys/susb/datasets/2022/msa_3digitnaics_2022.txt</t>
        </is>
      </c>
    </row>
    <row r="419">
      <c r="A419" t="inlineStr">
        <is>
          <t>micro</t>
        </is>
      </c>
      <c r="B419" t="inlineStr">
        <is>
          <t>Ocean Pines, MD Micro Area</t>
        </is>
      </c>
      <c r="C419" t="inlineStr">
        <is>
          <t>36180</t>
        </is>
      </c>
      <c r="D419" s="7" t="n">
        <v>72.5</v>
      </c>
      <c r="E419" t="n">
        <v>72.49165129841001</v>
      </c>
      <c r="F419" s="7" t="n">
        <v>27.5</v>
      </c>
      <c r="G419" s="6" t="n">
        <v>20063</v>
      </c>
      <c r="H419" s="6" t="n">
        <v>14544</v>
      </c>
      <c r="I419" s="6" t="n">
        <v>5519</v>
      </c>
      <c r="J419" t="inlineStr">
        <is>
          <t>https://www2.census.gov/programs-surveys/susb/datasets/2022/msa_3digitnaics_2022.txt</t>
        </is>
      </c>
    </row>
    <row r="420">
      <c r="A420" t="inlineStr">
        <is>
          <t>micro</t>
        </is>
      </c>
      <c r="B420" t="inlineStr">
        <is>
          <t>Weatherford, OK Micro Area</t>
        </is>
      </c>
      <c r="C420" t="inlineStr">
        <is>
          <t>48220</t>
        </is>
      </c>
      <c r="D420" s="7" t="n">
        <v>72.40000000000001</v>
      </c>
      <c r="E420" t="n">
        <v>72.42636746143057</v>
      </c>
      <c r="F420" s="7" t="n">
        <v>27.6</v>
      </c>
      <c r="G420" s="6" t="n">
        <v>10695</v>
      </c>
      <c r="H420" s="6" t="n">
        <v>7746</v>
      </c>
      <c r="I420" s="6" t="n">
        <v>2949</v>
      </c>
      <c r="J420" t="inlineStr">
        <is>
          <t>https://www2.census.gov/programs-surveys/susb/datasets/2022/msa_3digitnaics_2022.txt</t>
        </is>
      </c>
    </row>
    <row r="421">
      <c r="A421" t="inlineStr">
        <is>
          <t>micro</t>
        </is>
      </c>
      <c r="B421" t="inlineStr">
        <is>
          <t>Sheridan, WY Micro Area</t>
        </is>
      </c>
      <c r="C421" t="inlineStr">
        <is>
          <t>43260</t>
        </is>
      </c>
      <c r="D421" s="7" t="n">
        <v>72.2</v>
      </c>
      <c r="E421" t="n">
        <v>72.21525985993365</v>
      </c>
      <c r="F421" s="7" t="n">
        <v>27.8</v>
      </c>
      <c r="G421" s="6" t="n">
        <v>13565</v>
      </c>
      <c r="H421" s="6" t="n">
        <v>9796</v>
      </c>
      <c r="I421" s="6" t="n">
        <v>3769</v>
      </c>
      <c r="J421" t="inlineStr">
        <is>
          <t>https://www2.census.gov/programs-surveys/susb/datasets/2022/msa_3digitnaics_2022.txt</t>
        </is>
      </c>
    </row>
    <row r="422">
      <c r="A422" t="inlineStr">
        <is>
          <t>micro</t>
        </is>
      </c>
      <c r="B422" t="inlineStr">
        <is>
          <t>Brevard, NC Micro Area</t>
        </is>
      </c>
      <c r="C422" t="inlineStr">
        <is>
          <t>14820</t>
        </is>
      </c>
      <c r="D422" s="7" t="n">
        <v>72</v>
      </c>
      <c r="E422" t="n">
        <v>72.01291711517761</v>
      </c>
      <c r="F422" s="7" t="n">
        <v>28</v>
      </c>
      <c r="G422" s="6" t="n">
        <v>8361</v>
      </c>
      <c r="H422" s="6" t="n">
        <v>6021</v>
      </c>
      <c r="I422" s="6" t="n">
        <v>2340</v>
      </c>
      <c r="J422" t="inlineStr">
        <is>
          <t>https://www2.census.gov/programs-surveys/susb/datasets/2022/msa_3digitnaics_2022.txt</t>
        </is>
      </c>
    </row>
    <row r="423">
      <c r="A423" t="inlineStr">
        <is>
          <t>micro</t>
        </is>
      </c>
      <c r="B423" t="inlineStr">
        <is>
          <t>Susanville, CA Micro Area</t>
        </is>
      </c>
      <c r="C423" t="inlineStr">
        <is>
          <t>45000</t>
        </is>
      </c>
      <c r="D423" s="7" t="n">
        <v>71.90000000000001</v>
      </c>
      <c r="E423" t="n">
        <v>71.91558441558442</v>
      </c>
      <c r="F423" s="7" t="n">
        <v>28.1</v>
      </c>
      <c r="G423" s="6" t="n">
        <v>3696</v>
      </c>
      <c r="H423" s="6" t="n">
        <v>2658</v>
      </c>
      <c r="I423" s="6" t="n">
        <v>1038</v>
      </c>
      <c r="J423" t="inlineStr">
        <is>
          <t>https://www2.census.gov/programs-surveys/susb/datasets/2022/msa_3digitnaics_2022.txt</t>
        </is>
      </c>
    </row>
    <row r="424">
      <c r="A424" t="inlineStr">
        <is>
          <t>micro</t>
        </is>
      </c>
      <c r="B424" t="inlineStr">
        <is>
          <t>Vernal, UT Micro Area</t>
        </is>
      </c>
      <c r="C424" t="inlineStr">
        <is>
          <t>46860</t>
        </is>
      </c>
      <c r="D424" s="7" t="n">
        <v>71.90000000000001</v>
      </c>
      <c r="E424" t="n">
        <v>71.91342343257799</v>
      </c>
      <c r="F424" s="7" t="n">
        <v>28.1</v>
      </c>
      <c r="G424" s="6" t="n">
        <v>9841</v>
      </c>
      <c r="H424" s="6" t="n">
        <v>7077</v>
      </c>
      <c r="I424" s="6" t="n">
        <v>2764</v>
      </c>
      <c r="J424" t="inlineStr">
        <is>
          <t>https://www2.census.gov/programs-surveys/susb/datasets/2022/msa_3digitnaics_2022.txt</t>
        </is>
      </c>
    </row>
    <row r="425">
      <c r="A425" t="inlineStr">
        <is>
          <t>micro</t>
        </is>
      </c>
      <c r="B425" t="inlineStr">
        <is>
          <t>Cañon City, CO Micro Area</t>
        </is>
      </c>
      <c r="C425" t="inlineStr">
        <is>
          <t>15860</t>
        </is>
      </c>
      <c r="D425" s="7" t="n">
        <v>71.2</v>
      </c>
      <c r="E425" t="n">
        <v>71.18810664700823</v>
      </c>
      <c r="F425" s="7" t="n">
        <v>28.8</v>
      </c>
      <c r="G425" s="6" t="n">
        <v>8139</v>
      </c>
      <c r="H425" s="6" t="n">
        <v>5794</v>
      </c>
      <c r="I425" s="6" t="n">
        <v>2345</v>
      </c>
      <c r="J425" t="inlineStr">
        <is>
          <t>https://www2.census.gov/programs-surveys/susb/datasets/2022/msa_3digitnaics_2022.txt</t>
        </is>
      </c>
    </row>
    <row r="426">
      <c r="A426" t="inlineStr">
        <is>
          <t>micro</t>
        </is>
      </c>
      <c r="B426" t="inlineStr">
        <is>
          <t>Celina, OH Micro Area</t>
        </is>
      </c>
      <c r="C426" t="inlineStr">
        <is>
          <t>16380</t>
        </is>
      </c>
      <c r="D426" s="7" t="n">
        <v>71</v>
      </c>
      <c r="E426" t="n">
        <v>70.97502900054948</v>
      </c>
      <c r="F426" s="7" t="n">
        <v>29</v>
      </c>
      <c r="G426" s="6" t="n">
        <v>16379</v>
      </c>
      <c r="H426" s="6" t="n">
        <v>11625</v>
      </c>
      <c r="I426" s="6" t="n">
        <v>4754</v>
      </c>
      <c r="J426" t="inlineStr">
        <is>
          <t>https://www2.census.gov/programs-surveys/susb/datasets/2022/msa_3digitnaics_2022.txt</t>
        </is>
      </c>
    </row>
    <row r="427">
      <c r="A427" t="inlineStr">
        <is>
          <t>micro</t>
        </is>
      </c>
      <c r="B427" t="inlineStr">
        <is>
          <t>Laramie, WY Micro Area</t>
        </is>
      </c>
      <c r="C427" t="inlineStr">
        <is>
          <t>29660</t>
        </is>
      </c>
      <c r="D427" s="7" t="n">
        <v>70.90000000000001</v>
      </c>
      <c r="E427" t="n">
        <v>70.94783530999904</v>
      </c>
      <c r="F427" s="7" t="n">
        <v>29.1</v>
      </c>
      <c r="G427" s="6" t="n">
        <v>10371</v>
      </c>
      <c r="H427" s="6" t="n">
        <v>7358</v>
      </c>
      <c r="I427" s="6" t="n">
        <v>3013</v>
      </c>
      <c r="J427" t="inlineStr">
        <is>
          <t>https://www2.census.gov/programs-surveys/susb/datasets/2022/msa_3digitnaics_2022.txt</t>
        </is>
      </c>
    </row>
    <row r="428">
      <c r="A428" t="inlineStr">
        <is>
          <t>micro</t>
        </is>
      </c>
      <c r="B428" t="inlineStr">
        <is>
          <t>Shawano, WI Micro Area</t>
        </is>
      </c>
      <c r="C428" t="inlineStr">
        <is>
          <t>43020</t>
        </is>
      </c>
      <c r="D428" s="7" t="n">
        <v>70.5</v>
      </c>
      <c r="E428" t="n">
        <v>70.53144714203785</v>
      </c>
      <c r="F428" s="7" t="n">
        <v>29.5</v>
      </c>
      <c r="G428" s="6" t="n">
        <v>10462</v>
      </c>
      <c r="H428" s="6" t="n">
        <v>7379</v>
      </c>
      <c r="I428" s="6" t="n">
        <v>3083</v>
      </c>
      <c r="J428" t="inlineStr">
        <is>
          <t>https://www2.census.gov/programs-surveys/susb/datasets/2022/msa_3digitnaics_2022.txt</t>
        </is>
      </c>
    </row>
    <row r="429">
      <c r="A429" t="inlineStr">
        <is>
          <t>micro</t>
        </is>
      </c>
      <c r="B429" t="inlineStr">
        <is>
          <t>Steamboat Springs, CO Micro Area</t>
        </is>
      </c>
      <c r="C429" t="inlineStr">
        <is>
          <t>44460</t>
        </is>
      </c>
      <c r="D429" s="7" t="n">
        <v>70.40000000000001</v>
      </c>
      <c r="E429" t="n">
        <v>70.3600319015609</v>
      </c>
      <c r="F429" s="7" t="n">
        <v>29.6</v>
      </c>
      <c r="G429" s="6" t="n">
        <v>17554</v>
      </c>
      <c r="H429" s="6" t="n">
        <v>12351</v>
      </c>
      <c r="I429" s="6" t="n">
        <v>5203</v>
      </c>
      <c r="J429" t="inlineStr">
        <is>
          <t>https://www2.census.gov/programs-surveys/susb/datasets/2022/msa_3digitnaics_2022.txt</t>
        </is>
      </c>
    </row>
    <row r="430">
      <c r="A430" t="inlineStr">
        <is>
          <t>micro</t>
        </is>
      </c>
      <c r="B430" t="inlineStr">
        <is>
          <t>Clarksdale, MS Micro Area</t>
        </is>
      </c>
      <c r="C430" t="inlineStr">
        <is>
          <t>17260</t>
        </is>
      </c>
      <c r="D430" s="7" t="n">
        <v>70.3</v>
      </c>
      <c r="E430" t="n">
        <v>70.27304454937385</v>
      </c>
      <c r="F430" s="7" t="n">
        <v>29.7</v>
      </c>
      <c r="G430" s="6" t="n">
        <v>4871</v>
      </c>
      <c r="H430" s="6" t="n">
        <v>3423</v>
      </c>
      <c r="I430" s="6" t="n">
        <v>1448</v>
      </c>
      <c r="J430" t="inlineStr">
        <is>
          <t>https://www2.census.gov/programs-surveys/susb/datasets/2022/msa_3digitnaics_2022.txt</t>
        </is>
      </c>
    </row>
    <row r="431">
      <c r="A431" t="inlineStr">
        <is>
          <t>micro</t>
        </is>
      </c>
      <c r="B431" t="inlineStr">
        <is>
          <t>Escanaba, MI Micro Area</t>
        </is>
      </c>
      <c r="C431" t="inlineStr">
        <is>
          <t>21540</t>
        </is>
      </c>
      <c r="D431" s="7" t="n">
        <v>70.2</v>
      </c>
      <c r="E431" t="n">
        <v>70.24643320363165</v>
      </c>
      <c r="F431" s="7" t="n">
        <v>29.8</v>
      </c>
      <c r="G431" s="6" t="n">
        <v>11565</v>
      </c>
      <c r="H431" s="6" t="n">
        <v>8124</v>
      </c>
      <c r="I431" s="6" t="n">
        <v>3441</v>
      </c>
      <c r="J431" t="inlineStr">
        <is>
          <t>https://www2.census.gov/programs-surveys/susb/datasets/2022/msa_3digitnaics_2022.txt</t>
        </is>
      </c>
    </row>
    <row r="432">
      <c r="A432" t="inlineStr">
        <is>
          <t>micro</t>
        </is>
      </c>
      <c r="B432" t="inlineStr">
        <is>
          <t>Woodward, OK Micro Area</t>
        </is>
      </c>
      <c r="C432" t="inlineStr">
        <is>
          <t>49260</t>
        </is>
      </c>
      <c r="D432" s="7" t="n">
        <v>70.2</v>
      </c>
      <c r="E432" t="n">
        <v>70.15008337965537</v>
      </c>
      <c r="F432" s="7" t="n">
        <v>29.8</v>
      </c>
      <c r="G432" s="6" t="n">
        <v>7196</v>
      </c>
      <c r="H432" s="6" t="n">
        <v>5048</v>
      </c>
      <c r="I432" s="6" t="n">
        <v>2148</v>
      </c>
      <c r="J432" t="inlineStr">
        <is>
          <t>https://www2.census.gov/programs-surveys/susb/datasets/2022/msa_3digitnaics_2022.txt</t>
        </is>
      </c>
    </row>
    <row r="433">
      <c r="A433" t="inlineStr">
        <is>
          <t>micro</t>
        </is>
      </c>
      <c r="B433" t="inlineStr">
        <is>
          <t>Blackfoot, ID Micro Area</t>
        </is>
      </c>
      <c r="C433" t="inlineStr">
        <is>
          <t>13940</t>
        </is>
      </c>
      <c r="D433" s="7" t="n">
        <v>70.09999999999999</v>
      </c>
      <c r="E433" t="n">
        <v>70.12698694609715</v>
      </c>
      <c r="F433" s="7" t="n">
        <v>29.9</v>
      </c>
      <c r="G433" s="6" t="n">
        <v>11261</v>
      </c>
      <c r="H433" s="6" t="n">
        <v>7897</v>
      </c>
      <c r="I433" s="6" t="n">
        <v>3364</v>
      </c>
      <c r="J433" t="inlineStr">
        <is>
          <t>https://www2.census.gov/programs-surveys/susb/datasets/2022/msa_3digitnaics_2022.txt</t>
        </is>
      </c>
    </row>
    <row r="434">
      <c r="A434" t="inlineStr">
        <is>
          <t>micro</t>
        </is>
      </c>
      <c r="B434" t="inlineStr">
        <is>
          <t>Brattleboro, VT Micro Area</t>
        </is>
      </c>
      <c r="C434" t="inlineStr">
        <is>
          <t>14710</t>
        </is>
      </c>
      <c r="D434" s="7" t="n">
        <v>70.09999999999999</v>
      </c>
      <c r="E434" t="n">
        <v>70.09762308998302</v>
      </c>
      <c r="F434" s="7" t="n">
        <v>29.9</v>
      </c>
      <c r="G434" s="6" t="n">
        <v>18848</v>
      </c>
      <c r="H434" s="6" t="n">
        <v>13212</v>
      </c>
      <c r="I434" s="6" t="n">
        <v>5636</v>
      </c>
      <c r="J434" t="inlineStr">
        <is>
          <t>https://www2.census.gov/programs-surveys/susb/datasets/2022/msa_3digitnaics_2022.txt</t>
        </is>
      </c>
    </row>
    <row r="435">
      <c r="A435" t="inlineStr">
        <is>
          <t>micro</t>
        </is>
      </c>
      <c r="B435" t="inlineStr">
        <is>
          <t>Ellensburg, WA Micro Area</t>
        </is>
      </c>
      <c r="C435" t="inlineStr">
        <is>
          <t>21260</t>
        </is>
      </c>
      <c r="D435" s="7" t="n">
        <v>70</v>
      </c>
      <c r="E435" t="n">
        <v>69.9813838039094</v>
      </c>
      <c r="F435" s="7" t="n">
        <v>30</v>
      </c>
      <c r="G435" s="6" t="n">
        <v>12892</v>
      </c>
      <c r="H435" s="6" t="n">
        <v>9022</v>
      </c>
      <c r="I435" s="6" t="n">
        <v>3870</v>
      </c>
      <c r="J435" t="inlineStr">
        <is>
          <t>https://www2.census.gov/programs-surveys/susb/datasets/2022/msa_3digitnaics_2022.txt</t>
        </is>
      </c>
    </row>
    <row r="436">
      <c r="A436" t="inlineStr">
        <is>
          <t>micro</t>
        </is>
      </c>
      <c r="B436" t="inlineStr">
        <is>
          <t>Dickinson, ND Micro Area</t>
        </is>
      </c>
      <c r="C436" t="inlineStr">
        <is>
          <t>19860</t>
        </is>
      </c>
      <c r="D436" s="7" t="n">
        <v>69.90000000000001</v>
      </c>
      <c r="E436" t="n">
        <v>69.91457076288906</v>
      </c>
      <c r="F436" s="7" t="n">
        <v>30.1</v>
      </c>
      <c r="G436" s="6" t="n">
        <v>16739</v>
      </c>
      <c r="H436" s="6" t="n">
        <v>11703</v>
      </c>
      <c r="I436" s="6" t="n">
        <v>5036</v>
      </c>
      <c r="J436" t="inlineStr">
        <is>
          <t>https://www2.census.gov/programs-surveys/susb/datasets/2022/msa_3digitnaics_2022.txt</t>
        </is>
      </c>
    </row>
    <row r="437">
      <c r="A437" t="inlineStr">
        <is>
          <t>micro</t>
        </is>
      </c>
      <c r="B437" t="inlineStr">
        <is>
          <t>Sandpoint, ID Micro Area</t>
        </is>
      </c>
      <c r="C437" t="inlineStr">
        <is>
          <t>41760</t>
        </is>
      </c>
      <c r="D437" s="7" t="n">
        <v>69.8</v>
      </c>
      <c r="E437" t="n">
        <v>69.81835762138269</v>
      </c>
      <c r="F437" s="7" t="n">
        <v>30.2</v>
      </c>
      <c r="G437" s="6" t="n">
        <v>14479</v>
      </c>
      <c r="H437" s="6" t="n">
        <v>10109</v>
      </c>
      <c r="I437" s="6" t="n">
        <v>4370</v>
      </c>
      <c r="J437" t="inlineStr">
        <is>
          <t>https://www2.census.gov/programs-surveys/susb/datasets/2022/msa_3digitnaics_2022.txt</t>
        </is>
      </c>
    </row>
    <row r="438">
      <c r="A438" t="inlineStr">
        <is>
          <t>micro</t>
        </is>
      </c>
      <c r="B438" t="inlineStr">
        <is>
          <t>Hastings, NE Micro Area</t>
        </is>
      </c>
      <c r="C438" t="inlineStr">
        <is>
          <t>25580</t>
        </is>
      </c>
      <c r="D438" s="7" t="n">
        <v>69.59999999999999</v>
      </c>
      <c r="E438" t="n">
        <v>69.58694897604998</v>
      </c>
      <c r="F438" s="7" t="n">
        <v>30.4</v>
      </c>
      <c r="G438" s="6" t="n">
        <v>14405</v>
      </c>
      <c r="H438" s="6" t="n">
        <v>10024</v>
      </c>
      <c r="I438" s="6" t="n">
        <v>4381</v>
      </c>
      <c r="J438" t="inlineStr">
        <is>
          <t>https://www2.census.gov/programs-surveys/susb/datasets/2022/msa_3digitnaics_2022.txt</t>
        </is>
      </c>
    </row>
    <row r="439">
      <c r="A439" t="inlineStr">
        <is>
          <t>micro</t>
        </is>
      </c>
      <c r="B439" t="inlineStr">
        <is>
          <t>Burley, ID Micro Area</t>
        </is>
      </c>
      <c r="C439" t="inlineStr">
        <is>
          <t>15420</t>
        </is>
      </c>
      <c r="D439" s="7" t="n">
        <v>69.5</v>
      </c>
      <c r="E439" t="n">
        <v>69.47396564400775</v>
      </c>
      <c r="F439" s="7" t="n">
        <v>30.5</v>
      </c>
      <c r="G439" s="6" t="n">
        <v>14961</v>
      </c>
      <c r="H439" s="6" t="n">
        <v>10394</v>
      </c>
      <c r="I439" s="6" t="n">
        <v>4567</v>
      </c>
      <c r="J439" t="inlineStr">
        <is>
          <t>https://www2.census.gov/programs-surveys/susb/datasets/2022/msa_3digitnaics_2022.txt</t>
        </is>
      </c>
    </row>
    <row r="440">
      <c r="A440" t="inlineStr">
        <is>
          <t>micro</t>
        </is>
      </c>
      <c r="B440" t="inlineStr">
        <is>
          <t>Hemlock Farms, PA Micro Area</t>
        </is>
      </c>
      <c r="C440" t="inlineStr">
        <is>
          <t>25770</t>
        </is>
      </c>
      <c r="D440" s="7" t="n">
        <v>69.40000000000001</v>
      </c>
      <c r="E440" t="n">
        <v>69.41027704333831</v>
      </c>
      <c r="F440" s="7" t="n">
        <v>30.6</v>
      </c>
      <c r="G440" s="6" t="n">
        <v>8699</v>
      </c>
      <c r="H440" s="6" t="n">
        <v>6038</v>
      </c>
      <c r="I440" s="6" t="n">
        <v>2661</v>
      </c>
      <c r="J440" t="inlineStr">
        <is>
          <t>https://www2.census.gov/programs-surveys/susb/datasets/2022/msa_3digitnaics_2022.txt</t>
        </is>
      </c>
    </row>
    <row r="441">
      <c r="A441" t="inlineStr">
        <is>
          <t>micro</t>
        </is>
      </c>
      <c r="B441" t="inlineStr">
        <is>
          <t>Key West-Key Largo, FL Micro Area</t>
        </is>
      </c>
      <c r="C441" t="inlineStr">
        <is>
          <t>28580</t>
        </is>
      </c>
      <c r="D441" s="7" t="n">
        <v>69.40000000000001</v>
      </c>
      <c r="E441" t="n">
        <v>69.38381630857435</v>
      </c>
      <c r="F441" s="7" t="n">
        <v>30.6</v>
      </c>
      <c r="G441" s="6" t="n">
        <v>35233</v>
      </c>
      <c r="H441" s="6" t="n">
        <v>24446</v>
      </c>
      <c r="I441" s="6" t="n">
        <v>10787</v>
      </c>
      <c r="J441" t="inlineStr">
        <is>
          <t>https://www2.census.gov/programs-surveys/susb/datasets/2022/msa_3digitnaics_2022.txt</t>
        </is>
      </c>
    </row>
    <row r="442">
      <c r="A442" t="inlineStr">
        <is>
          <t>micro</t>
        </is>
      </c>
      <c r="B442" t="inlineStr">
        <is>
          <t>Great Bend, KS Micro Area</t>
        </is>
      </c>
      <c r="C442" t="inlineStr">
        <is>
          <t>24460</t>
        </is>
      </c>
      <c r="D442" s="7" t="n">
        <v>69.2</v>
      </c>
      <c r="E442" t="n">
        <v>69.20892068167473</v>
      </c>
      <c r="F442" s="7" t="n">
        <v>30.8</v>
      </c>
      <c r="G442" s="6" t="n">
        <v>9506</v>
      </c>
      <c r="H442" s="6" t="n">
        <v>6579</v>
      </c>
      <c r="I442" s="6" t="n">
        <v>2927</v>
      </c>
      <c r="J442" t="inlineStr">
        <is>
          <t>https://www2.census.gov/programs-surveys/susb/datasets/2022/msa_3digitnaics_2022.txt</t>
        </is>
      </c>
    </row>
    <row r="443">
      <c r="A443" t="inlineStr">
        <is>
          <t>micro</t>
        </is>
      </c>
      <c r="B443" t="inlineStr">
        <is>
          <t>Bonham, TX Micro Area</t>
        </is>
      </c>
      <c r="C443" t="inlineStr">
        <is>
          <t>14300</t>
        </is>
      </c>
      <c r="D443" s="7" t="n">
        <v>68.90000000000001</v>
      </c>
      <c r="E443" t="n">
        <v>68.92163429336905</v>
      </c>
      <c r="F443" s="7" t="n">
        <v>31.1</v>
      </c>
      <c r="G443" s="6" t="n">
        <v>5972</v>
      </c>
      <c r="H443" s="6" t="n">
        <v>4116</v>
      </c>
      <c r="I443" s="6" t="n">
        <v>1856</v>
      </c>
      <c r="J443" t="inlineStr">
        <is>
          <t>https://www2.census.gov/programs-surveys/susb/datasets/2022/msa_3digitnaics_2022.txt</t>
        </is>
      </c>
    </row>
    <row r="444">
      <c r="A444" t="inlineStr">
        <is>
          <t>micro</t>
        </is>
      </c>
      <c r="B444" t="inlineStr">
        <is>
          <t>Hudson, NY Micro Area</t>
        </is>
      </c>
      <c r="C444" t="inlineStr">
        <is>
          <t>26460</t>
        </is>
      </c>
      <c r="D444" s="7" t="n">
        <v>68.59999999999999</v>
      </c>
      <c r="E444" t="n">
        <v>68.61020837316001</v>
      </c>
      <c r="F444" s="7" t="n">
        <v>31.4</v>
      </c>
      <c r="G444" s="6" t="n">
        <v>15693</v>
      </c>
      <c r="H444" s="6" t="n">
        <v>10767</v>
      </c>
      <c r="I444" s="6" t="n">
        <v>4926</v>
      </c>
      <c r="J444" t="inlineStr">
        <is>
          <t>https://www2.census.gov/programs-surveys/susb/datasets/2022/msa_3digitnaics_2022.txt</t>
        </is>
      </c>
    </row>
    <row r="445">
      <c r="A445" t="inlineStr">
        <is>
          <t>micro</t>
        </is>
      </c>
      <c r="B445" t="inlineStr">
        <is>
          <t>Minden, LA Micro Area</t>
        </is>
      </c>
      <c r="C445" t="inlineStr">
        <is>
          <t>33380</t>
        </is>
      </c>
      <c r="D445" s="7" t="n">
        <v>68.59999999999999</v>
      </c>
      <c r="E445" t="n">
        <v>68.59504132231405</v>
      </c>
      <c r="F445" s="7" t="n">
        <v>31.4</v>
      </c>
      <c r="G445" s="6" t="n">
        <v>9922</v>
      </c>
      <c r="H445" s="6" t="n">
        <v>6806</v>
      </c>
      <c r="I445" s="6" t="n">
        <v>3116</v>
      </c>
      <c r="J445" t="inlineStr">
        <is>
          <t>https://www2.census.gov/programs-surveys/susb/datasets/2022/msa_3digitnaics_2022.txt</t>
        </is>
      </c>
    </row>
    <row r="446">
      <c r="A446" t="inlineStr">
        <is>
          <t>micro</t>
        </is>
      </c>
      <c r="B446" t="inlineStr">
        <is>
          <t>Torrington, CT Micro Area</t>
        </is>
      </c>
      <c r="C446" t="inlineStr">
        <is>
          <t>45860</t>
        </is>
      </c>
      <c r="D446" s="7" t="n">
        <v>68.59999999999999</v>
      </c>
      <c r="E446" t="n">
        <v>68.57891671520093</v>
      </c>
      <c r="F446" s="7" t="n">
        <v>31.4</v>
      </c>
      <c r="G446" s="6" t="n">
        <v>30906</v>
      </c>
      <c r="H446" s="6" t="n">
        <v>21195</v>
      </c>
      <c r="I446" s="6" t="n">
        <v>9711</v>
      </c>
      <c r="J446" t="inlineStr">
        <is>
          <t>https://www2.census.gov/programs-surveys/susb/datasets/2022/msa_3digitnaics_2022.txt</t>
        </is>
      </c>
    </row>
    <row r="447">
      <c r="A447" t="inlineStr">
        <is>
          <t>micro</t>
        </is>
      </c>
      <c r="B447" t="inlineStr">
        <is>
          <t>Meadville, PA Micro Area</t>
        </is>
      </c>
      <c r="C447" t="inlineStr">
        <is>
          <t>32740</t>
        </is>
      </c>
      <c r="D447" s="7" t="n">
        <v>68.59999999999999</v>
      </c>
      <c r="E447" t="n">
        <v>68.56974227818218</v>
      </c>
      <c r="F447" s="7" t="n">
        <v>31.4</v>
      </c>
      <c r="G447" s="6" t="n">
        <v>25415</v>
      </c>
      <c r="H447" s="6" t="n">
        <v>17427</v>
      </c>
      <c r="I447" s="6" t="n">
        <v>7988</v>
      </c>
      <c r="J447" t="inlineStr">
        <is>
          <t>https://www2.census.gov/programs-surveys/susb/datasets/2022/msa_3digitnaics_2022.txt</t>
        </is>
      </c>
    </row>
    <row r="448">
      <c r="A448" t="inlineStr">
        <is>
          <t>micro</t>
        </is>
      </c>
      <c r="B448" t="inlineStr">
        <is>
          <t>Hood River, OR Micro Area</t>
        </is>
      </c>
      <c r="C448" t="inlineStr">
        <is>
          <t>26220</t>
        </is>
      </c>
      <c r="D448" s="7" t="n">
        <v>68.59999999999999</v>
      </c>
      <c r="E448" t="n">
        <v>68.56143419326629</v>
      </c>
      <c r="F448" s="7" t="n">
        <v>31.4</v>
      </c>
      <c r="G448" s="6" t="n">
        <v>11435</v>
      </c>
      <c r="H448" s="6" t="n">
        <v>7840</v>
      </c>
      <c r="I448" s="6" t="n">
        <v>3595</v>
      </c>
      <c r="J448" t="inlineStr">
        <is>
          <t>https://www2.census.gov/programs-surveys/susb/datasets/2022/msa_3digitnaics_2022.txt</t>
        </is>
      </c>
    </row>
    <row r="449">
      <c r="A449" t="inlineStr">
        <is>
          <t>micro</t>
        </is>
      </c>
      <c r="B449" t="inlineStr">
        <is>
          <t>Kennett, MO Micro Area</t>
        </is>
      </c>
      <c r="C449" t="inlineStr">
        <is>
          <t>28380</t>
        </is>
      </c>
      <c r="D449" s="7" t="n">
        <v>68.40000000000001</v>
      </c>
      <c r="E449" t="n">
        <v>68.36833602584814</v>
      </c>
      <c r="F449" s="7" t="n">
        <v>31.6</v>
      </c>
      <c r="G449" s="6" t="n">
        <v>6190</v>
      </c>
      <c r="H449" s="6" t="n">
        <v>4232</v>
      </c>
      <c r="I449" s="6" t="n">
        <v>1958</v>
      </c>
      <c r="J449" t="inlineStr">
        <is>
          <t>https://www2.census.gov/programs-surveys/susb/datasets/2022/msa_3digitnaics_2022.txt</t>
        </is>
      </c>
    </row>
    <row r="450">
      <c r="A450" t="inlineStr">
        <is>
          <t>micro</t>
        </is>
      </c>
      <c r="B450" t="inlineStr">
        <is>
          <t>Hobbs, NM Micro Area</t>
        </is>
      </c>
      <c r="C450" t="inlineStr">
        <is>
          <t>26020</t>
        </is>
      </c>
      <c r="D450" s="7" t="n">
        <v>68.3</v>
      </c>
      <c r="E450" t="n">
        <v>68.27114535538048</v>
      </c>
      <c r="F450" s="7" t="n">
        <v>31.7</v>
      </c>
      <c r="G450" s="6" t="n">
        <v>23102</v>
      </c>
      <c r="H450" s="6" t="n">
        <v>15772</v>
      </c>
      <c r="I450" s="6" t="n">
        <v>7330</v>
      </c>
      <c r="J450" t="inlineStr">
        <is>
          <t>https://www2.census.gov/programs-surveys/susb/datasets/2022/msa_3digitnaics_2022.txt</t>
        </is>
      </c>
    </row>
    <row r="451">
      <c r="A451" t="inlineStr">
        <is>
          <t>micro</t>
        </is>
      </c>
      <c r="B451" t="inlineStr">
        <is>
          <t>Shelton, WA Micro Area</t>
        </is>
      </c>
      <c r="C451" t="inlineStr">
        <is>
          <t>43220</t>
        </is>
      </c>
      <c r="D451" s="7" t="n">
        <v>68.09999999999999</v>
      </c>
      <c r="E451" t="n">
        <v>68.14524240595453</v>
      </c>
      <c r="F451" s="7" t="n">
        <v>31.9</v>
      </c>
      <c r="G451" s="6" t="n">
        <v>9942</v>
      </c>
      <c r="H451" s="6" t="n">
        <v>6775</v>
      </c>
      <c r="I451" s="6" t="n">
        <v>3167</v>
      </c>
      <c r="J451" t="inlineStr">
        <is>
          <t>https://www2.census.gov/programs-surveys/susb/datasets/2022/msa_3digitnaics_2022.txt</t>
        </is>
      </c>
    </row>
    <row r="452">
      <c r="A452" t="inlineStr">
        <is>
          <t>micro</t>
        </is>
      </c>
      <c r="B452" t="inlineStr">
        <is>
          <t>Carlsbad-Artesia, NM Micro Area</t>
        </is>
      </c>
      <c r="C452" t="inlineStr">
        <is>
          <t>16100</t>
        </is>
      </c>
      <c r="D452" s="7" t="n">
        <v>68</v>
      </c>
      <c r="E452" t="n">
        <v>68.01889291074424</v>
      </c>
      <c r="F452" s="7" t="n">
        <v>32</v>
      </c>
      <c r="G452" s="6" t="n">
        <v>22654</v>
      </c>
      <c r="H452" s="6" t="n">
        <v>15409</v>
      </c>
      <c r="I452" s="6" t="n">
        <v>7245</v>
      </c>
      <c r="J452" t="inlineStr">
        <is>
          <t>https://www2.census.gov/programs-surveys/susb/datasets/2022/msa_3digitnaics_2022.txt</t>
        </is>
      </c>
    </row>
    <row r="453">
      <c r="A453" t="inlineStr">
        <is>
          <t>micro</t>
        </is>
      </c>
      <c r="B453" t="inlineStr">
        <is>
          <t>Ozark, AL Micro Area</t>
        </is>
      </c>
      <c r="C453" t="inlineStr">
        <is>
          <t>37120</t>
        </is>
      </c>
      <c r="D453" s="7" t="n">
        <v>67.90000000000001</v>
      </c>
      <c r="E453" t="n">
        <v>67.86024036674513</v>
      </c>
      <c r="F453" s="7" t="n">
        <v>32.1</v>
      </c>
      <c r="G453" s="6" t="n">
        <v>8071</v>
      </c>
      <c r="H453" s="6" t="n">
        <v>5477</v>
      </c>
      <c r="I453" s="6" t="n">
        <v>2594</v>
      </c>
      <c r="J453" t="inlineStr">
        <is>
          <t>https://www2.census.gov/programs-surveys/susb/datasets/2022/msa_3digitnaics_2022.txt</t>
        </is>
      </c>
    </row>
    <row r="454">
      <c r="A454" t="inlineStr">
        <is>
          <t>micro</t>
        </is>
      </c>
      <c r="B454" t="inlineStr">
        <is>
          <t>Cody, WY Micro Area</t>
        </is>
      </c>
      <c r="C454" t="inlineStr">
        <is>
          <t>17650</t>
        </is>
      </c>
      <c r="D454" s="7" t="n">
        <v>67.7</v>
      </c>
      <c r="E454" t="n">
        <v>67.68440145102781</v>
      </c>
      <c r="F454" s="7" t="n">
        <v>32.3</v>
      </c>
      <c r="G454" s="6" t="n">
        <v>9924</v>
      </c>
      <c r="H454" s="6" t="n">
        <v>6717</v>
      </c>
      <c r="I454" s="6" t="n">
        <v>3207</v>
      </c>
      <c r="J454" t="inlineStr">
        <is>
          <t>https://www2.census.gov/programs-surveys/susb/datasets/2022/msa_3digitnaics_2022.txt</t>
        </is>
      </c>
    </row>
    <row r="455">
      <c r="A455" t="inlineStr">
        <is>
          <t>micro</t>
        </is>
      </c>
      <c r="B455" t="inlineStr">
        <is>
          <t>Clewiston, FL Micro Area</t>
        </is>
      </c>
      <c r="C455" t="inlineStr">
        <is>
          <t>17500</t>
        </is>
      </c>
      <c r="D455" s="7" t="n">
        <v>67.7</v>
      </c>
      <c r="E455" t="n">
        <v>67.68373895144691</v>
      </c>
      <c r="F455" s="7" t="n">
        <v>32.3</v>
      </c>
      <c r="G455" s="6" t="n">
        <v>8259</v>
      </c>
      <c r="H455" s="6" t="n">
        <v>5590</v>
      </c>
      <c r="I455" s="6" t="n">
        <v>2669</v>
      </c>
      <c r="J455" t="inlineStr">
        <is>
          <t>https://www2.census.gov/programs-surveys/susb/datasets/2022/msa_3digitnaics_2022.txt</t>
        </is>
      </c>
    </row>
    <row r="456">
      <c r="A456" t="inlineStr">
        <is>
          <t>micro</t>
        </is>
      </c>
      <c r="B456" t="inlineStr">
        <is>
          <t>Montrose, CO Micro Area</t>
        </is>
      </c>
      <c r="C456" t="inlineStr">
        <is>
          <t>33940</t>
        </is>
      </c>
      <c r="D456" s="7" t="n">
        <v>67.59999999999999</v>
      </c>
      <c r="E456" t="n">
        <v>67.63264734705307</v>
      </c>
      <c r="F456" s="7" t="n">
        <v>32.4</v>
      </c>
      <c r="G456" s="6" t="n">
        <v>14286</v>
      </c>
      <c r="H456" s="6" t="n">
        <v>9662</v>
      </c>
      <c r="I456" s="6" t="n">
        <v>4624</v>
      </c>
      <c r="J456" t="inlineStr">
        <is>
          <t>https://www2.census.gov/programs-surveys/susb/datasets/2022/msa_3digitnaics_2022.txt</t>
        </is>
      </c>
    </row>
    <row r="457">
      <c r="A457" t="inlineStr">
        <is>
          <t>micro</t>
        </is>
      </c>
      <c r="B457" t="inlineStr">
        <is>
          <t>Morgan City, LA Micro Area</t>
        </is>
      </c>
      <c r="C457" t="inlineStr">
        <is>
          <t>34020</t>
        </is>
      </c>
      <c r="D457" s="7" t="n">
        <v>67.59999999999999</v>
      </c>
      <c r="E457" t="n">
        <v>67.60081646163182</v>
      </c>
      <c r="F457" s="7" t="n">
        <v>32.4</v>
      </c>
      <c r="G457" s="6" t="n">
        <v>18127</v>
      </c>
      <c r="H457" s="6" t="n">
        <v>12254</v>
      </c>
      <c r="I457" s="6" t="n">
        <v>5873</v>
      </c>
      <c r="J457" t="inlineStr">
        <is>
          <t>https://www2.census.gov/programs-surveys/susb/datasets/2022/msa_3digitnaics_2022.txt</t>
        </is>
      </c>
    </row>
    <row r="458">
      <c r="A458" t="inlineStr">
        <is>
          <t>micro</t>
        </is>
      </c>
      <c r="B458" t="inlineStr">
        <is>
          <t>Moscow, ID Micro Area</t>
        </is>
      </c>
      <c r="C458" t="inlineStr">
        <is>
          <t>34140</t>
        </is>
      </c>
      <c r="D458" s="7" t="n">
        <v>67.59999999999999</v>
      </c>
      <c r="E458" t="n">
        <v>67.55747691098448</v>
      </c>
      <c r="F458" s="7" t="n">
        <v>32.4</v>
      </c>
      <c r="G458" s="6" t="n">
        <v>10178</v>
      </c>
      <c r="H458" s="6" t="n">
        <v>6876</v>
      </c>
      <c r="I458" s="6" t="n">
        <v>3302</v>
      </c>
      <c r="J458" t="inlineStr">
        <is>
          <t>https://www2.census.gov/programs-surveys/susb/datasets/2022/msa_3digitnaics_2022.txt</t>
        </is>
      </c>
    </row>
    <row r="459">
      <c r="A459" t="inlineStr">
        <is>
          <t>micro</t>
        </is>
      </c>
      <c r="B459" t="inlineStr">
        <is>
          <t>Crescent City, CA Micro Area</t>
        </is>
      </c>
      <c r="C459" t="inlineStr">
        <is>
          <t>18860</t>
        </is>
      </c>
      <c r="D459" s="7" t="n">
        <v>67.40000000000001</v>
      </c>
      <c r="E459" t="n">
        <v>67.40586740586741</v>
      </c>
      <c r="F459" s="7" t="n">
        <v>32.6</v>
      </c>
      <c r="G459" s="6" t="n">
        <v>4329</v>
      </c>
      <c r="H459" s="6" t="n">
        <v>2918</v>
      </c>
      <c r="I459" s="6" t="n">
        <v>1411</v>
      </c>
      <c r="J459" t="inlineStr">
        <is>
          <t>https://www2.census.gov/programs-surveys/susb/datasets/2022/msa_3digitnaics_2022.txt</t>
        </is>
      </c>
    </row>
    <row r="460">
      <c r="A460" t="inlineStr">
        <is>
          <t>micro</t>
        </is>
      </c>
      <c r="B460" t="inlineStr">
        <is>
          <t>Alamosa, CO Micro Area</t>
        </is>
      </c>
      <c r="C460" t="inlineStr">
        <is>
          <t>10480</t>
        </is>
      </c>
      <c r="D460" s="7" t="n">
        <v>67.40000000000001</v>
      </c>
      <c r="E460" t="n">
        <v>67.39624786810688</v>
      </c>
      <c r="F460" s="7" t="n">
        <v>32.6</v>
      </c>
      <c r="G460" s="6" t="n">
        <v>7036</v>
      </c>
      <c r="H460" s="6" t="n">
        <v>4742</v>
      </c>
      <c r="I460" s="6" t="n">
        <v>2294</v>
      </c>
      <c r="J460" t="inlineStr">
        <is>
          <t>https://www2.census.gov/programs-surveys/susb/datasets/2022/msa_3digitnaics_2022.txt</t>
        </is>
      </c>
    </row>
    <row r="461">
      <c r="A461" t="inlineStr">
        <is>
          <t>micro</t>
        </is>
      </c>
      <c r="B461" t="inlineStr">
        <is>
          <t>Murrells Inlet, SC Micro Area</t>
        </is>
      </c>
      <c r="C461" t="inlineStr">
        <is>
          <t>34680</t>
        </is>
      </c>
      <c r="D461" s="7" t="n">
        <v>67.2</v>
      </c>
      <c r="E461" t="n">
        <v>67.15173777903362</v>
      </c>
      <c r="F461" s="7" t="n">
        <v>32.8</v>
      </c>
      <c r="G461" s="6" t="n">
        <v>21234</v>
      </c>
      <c r="H461" s="6" t="n">
        <v>14259</v>
      </c>
      <c r="I461" s="6" t="n">
        <v>6975</v>
      </c>
      <c r="J461" t="inlineStr">
        <is>
          <t>https://www2.census.gov/programs-surveys/susb/datasets/2022/msa_3digitnaics_2022.txt</t>
        </is>
      </c>
    </row>
    <row r="462">
      <c r="A462" t="inlineStr">
        <is>
          <t>micro</t>
        </is>
      </c>
      <c r="B462" t="inlineStr">
        <is>
          <t>Mineral Wells, TX Micro Area</t>
        </is>
      </c>
      <c r="C462" t="inlineStr">
        <is>
          <t>33420</t>
        </is>
      </c>
      <c r="D462" s="7" t="n">
        <v>67.09999999999999</v>
      </c>
      <c r="E462" t="n">
        <v>67.083685545224</v>
      </c>
      <c r="F462" s="7" t="n">
        <v>32.9</v>
      </c>
      <c r="G462" s="6" t="n">
        <v>5915</v>
      </c>
      <c r="H462" s="6" t="n">
        <v>3968</v>
      </c>
      <c r="I462" s="6" t="n">
        <v>1947</v>
      </c>
      <c r="J462" t="inlineStr">
        <is>
          <t>https://www2.census.gov/programs-surveys/susb/datasets/2022/msa_3digitnaics_2022.txt</t>
        </is>
      </c>
    </row>
    <row r="463">
      <c r="A463" t="inlineStr">
        <is>
          <t>micro</t>
        </is>
      </c>
      <c r="B463" t="inlineStr">
        <is>
          <t>Morehead City, NC Micro Area</t>
        </is>
      </c>
      <c r="C463" t="inlineStr">
        <is>
          <t>33980</t>
        </is>
      </c>
      <c r="D463" s="7" t="n">
        <v>67.09999999999999</v>
      </c>
      <c r="E463" t="n">
        <v>67.07357621241628</v>
      </c>
      <c r="F463" s="7" t="n">
        <v>32.9</v>
      </c>
      <c r="G463" s="6" t="n">
        <v>21053</v>
      </c>
      <c r="H463" s="6" t="n">
        <v>14121</v>
      </c>
      <c r="I463" s="6" t="n">
        <v>6932</v>
      </c>
      <c r="J463" t="inlineStr">
        <is>
          <t>https://www2.census.gov/programs-surveys/susb/datasets/2022/msa_3digitnaics_2022.txt</t>
        </is>
      </c>
    </row>
    <row r="464">
      <c r="A464" t="inlineStr">
        <is>
          <t>micro</t>
        </is>
      </c>
      <c r="B464" t="inlineStr">
        <is>
          <t>Williston, ND Micro Area</t>
        </is>
      </c>
      <c r="C464" t="inlineStr">
        <is>
          <t>48780</t>
        </is>
      </c>
      <c r="D464" s="7" t="n">
        <v>66.90000000000001</v>
      </c>
      <c r="E464" t="n">
        <v>66.8885774351787</v>
      </c>
      <c r="F464" s="7" t="n">
        <v>33.1</v>
      </c>
      <c r="G464" s="6" t="n">
        <v>19978</v>
      </c>
      <c r="H464" s="6" t="n">
        <v>13363</v>
      </c>
      <c r="I464" s="6" t="n">
        <v>6615</v>
      </c>
      <c r="J464" t="inlineStr">
        <is>
          <t>https://www2.census.gov/programs-surveys/susb/datasets/2022/msa_3digitnaics_2022.txt</t>
        </is>
      </c>
    </row>
    <row r="465">
      <c r="A465" t="inlineStr">
        <is>
          <t>micro</t>
        </is>
      </c>
      <c r="B465" t="inlineStr">
        <is>
          <t>Butte-Silver Bow, MT Micro Area</t>
        </is>
      </c>
      <c r="C465" t="inlineStr">
        <is>
          <t>15580</t>
        </is>
      </c>
      <c r="D465" s="7" t="n">
        <v>66.90000000000001</v>
      </c>
      <c r="E465" t="n">
        <v>66.86571734803246</v>
      </c>
      <c r="F465" s="7" t="n">
        <v>33.1</v>
      </c>
      <c r="G465" s="6" t="n">
        <v>13062</v>
      </c>
      <c r="H465" s="6" t="n">
        <v>8734</v>
      </c>
      <c r="I465" s="6" t="n">
        <v>4328</v>
      </c>
      <c r="J465" t="inlineStr">
        <is>
          <t>https://www2.census.gov/programs-surveys/susb/datasets/2022/msa_3digitnaics_2022.txt</t>
        </is>
      </c>
    </row>
    <row r="466">
      <c r="A466" t="inlineStr">
        <is>
          <t>micro</t>
        </is>
      </c>
      <c r="B466" t="inlineStr">
        <is>
          <t>Pampa, TX Micro Area</t>
        </is>
      </c>
      <c r="C466" t="inlineStr">
        <is>
          <t>37420</t>
        </is>
      </c>
      <c r="D466" s="7" t="n">
        <v>66.8</v>
      </c>
      <c r="E466" t="n">
        <v>66.79282540727333</v>
      </c>
      <c r="F466" s="7" t="n">
        <v>33.2</v>
      </c>
      <c r="G466" s="6" t="n">
        <v>6077</v>
      </c>
      <c r="H466" s="6" t="n">
        <v>4059</v>
      </c>
      <c r="I466" s="6" t="n">
        <v>2018</v>
      </c>
      <c r="J466" t="inlineStr">
        <is>
          <t>https://www2.census.gov/programs-surveys/susb/datasets/2022/msa_3digitnaics_2022.txt</t>
        </is>
      </c>
    </row>
    <row r="467">
      <c r="A467" t="inlineStr">
        <is>
          <t>micro</t>
        </is>
      </c>
      <c r="B467" t="inlineStr">
        <is>
          <t>Baker City, OR Micro Area</t>
        </is>
      </c>
      <c r="C467" t="inlineStr">
        <is>
          <t>12520</t>
        </is>
      </c>
      <c r="D467" s="7" t="n">
        <v>66.8</v>
      </c>
      <c r="E467" t="n">
        <v>66.76483914816492</v>
      </c>
      <c r="F467" s="7" t="n">
        <v>33.2</v>
      </c>
      <c r="G467" s="6" t="n">
        <v>4414</v>
      </c>
      <c r="H467" s="6" t="n">
        <v>2947</v>
      </c>
      <c r="I467" s="6" t="n">
        <v>1467</v>
      </c>
      <c r="J467" t="inlineStr">
        <is>
          <t>https://www2.census.gov/programs-surveys/susb/datasets/2022/msa_3digitnaics_2022.txt</t>
        </is>
      </c>
    </row>
    <row r="468">
      <c r="A468" t="inlineStr">
        <is>
          <t>micro</t>
        </is>
      </c>
      <c r="B468" t="inlineStr">
        <is>
          <t>Newport, OR Micro Area</t>
        </is>
      </c>
      <c r="C468" t="inlineStr">
        <is>
          <t>35440</t>
        </is>
      </c>
      <c r="D468" s="7" t="n">
        <v>66.59999999999999</v>
      </c>
      <c r="E468" t="n">
        <v>66.63454257589316</v>
      </c>
      <c r="F468" s="7" t="n">
        <v>33.4</v>
      </c>
      <c r="G468" s="6" t="n">
        <v>14527</v>
      </c>
      <c r="H468" s="6" t="n">
        <v>9680</v>
      </c>
      <c r="I468" s="6" t="n">
        <v>4847</v>
      </c>
      <c r="J468" t="inlineStr">
        <is>
          <t>https://www2.census.gov/programs-surveys/susb/datasets/2022/msa_3digitnaics_2022.txt</t>
        </is>
      </c>
    </row>
    <row r="469">
      <c r="A469" t="inlineStr">
        <is>
          <t>micro</t>
        </is>
      </c>
      <c r="B469" t="inlineStr">
        <is>
          <t>Pierre, SD Micro Area</t>
        </is>
      </c>
      <c r="C469" t="inlineStr">
        <is>
          <t>38180</t>
        </is>
      </c>
      <c r="D469" s="7" t="n">
        <v>66.40000000000001</v>
      </c>
      <c r="E469" t="n">
        <v>66.42935377875136</v>
      </c>
      <c r="F469" s="7" t="n">
        <v>33.6</v>
      </c>
      <c r="G469" s="6" t="n">
        <v>7304</v>
      </c>
      <c r="H469" s="6" t="n">
        <v>4852</v>
      </c>
      <c r="I469" s="6" t="n">
        <v>2452</v>
      </c>
      <c r="J469" t="inlineStr">
        <is>
          <t>https://www2.census.gov/programs-surveys/susb/datasets/2022/msa_3digitnaics_2022.txt</t>
        </is>
      </c>
    </row>
    <row r="470">
      <c r="A470" t="inlineStr">
        <is>
          <t>micro</t>
        </is>
      </c>
      <c r="B470" t="inlineStr">
        <is>
          <t>Coos Bay-North Bend, OR Micro Area</t>
        </is>
      </c>
      <c r="C470" t="inlineStr">
        <is>
          <t>18300</t>
        </is>
      </c>
      <c r="D470" s="7" t="n">
        <v>66.40000000000001</v>
      </c>
      <c r="E470" t="n">
        <v>66.37397513885216</v>
      </c>
      <c r="F470" s="7" t="n">
        <v>33.6</v>
      </c>
      <c r="G470" s="6" t="n">
        <v>18905</v>
      </c>
      <c r="H470" s="6" t="n">
        <v>12548</v>
      </c>
      <c r="I470" s="6" t="n">
        <v>6357</v>
      </c>
      <c r="J470" t="inlineStr">
        <is>
          <t>https://www2.census.gov/programs-surveys/susb/datasets/2022/msa_3digitnaics_2022.txt</t>
        </is>
      </c>
    </row>
    <row r="471">
      <c r="A471" t="inlineStr">
        <is>
          <t>micro</t>
        </is>
      </c>
      <c r="B471" t="inlineStr">
        <is>
          <t>Astoria, OR Micro Area</t>
        </is>
      </c>
      <c r="C471" t="inlineStr">
        <is>
          <t>11820</t>
        </is>
      </c>
      <c r="D471" s="7" t="n">
        <v>66.40000000000001</v>
      </c>
      <c r="E471" t="n">
        <v>66.36745607333843</v>
      </c>
      <c r="F471" s="7" t="n">
        <v>33.6</v>
      </c>
      <c r="G471" s="6" t="n">
        <v>15708</v>
      </c>
      <c r="H471" s="6" t="n">
        <v>10425</v>
      </c>
      <c r="I471" s="6" t="n">
        <v>5283</v>
      </c>
      <c r="J471" t="inlineStr">
        <is>
          <t>https://www2.census.gov/programs-surveys/susb/datasets/2022/msa_3digitnaics_2022.txt</t>
        </is>
      </c>
    </row>
    <row r="472">
      <c r="A472" t="inlineStr">
        <is>
          <t>micro</t>
        </is>
      </c>
      <c r="B472" t="inlineStr">
        <is>
          <t>Watertown, SD Micro Area</t>
        </is>
      </c>
      <c r="C472" t="inlineStr">
        <is>
          <t>47980</t>
        </is>
      </c>
      <c r="D472" s="7" t="n">
        <v>66.09999999999999</v>
      </c>
      <c r="E472" t="n">
        <v>66.05935127674258</v>
      </c>
      <c r="F472" s="7" t="n">
        <v>33.9</v>
      </c>
      <c r="G472" s="6" t="n">
        <v>14490</v>
      </c>
      <c r="H472" s="6" t="n">
        <v>9572</v>
      </c>
      <c r="I472" s="6" t="n">
        <v>4918</v>
      </c>
      <c r="J472" t="inlineStr">
        <is>
          <t>https://www2.census.gov/programs-surveys/susb/datasets/2022/msa_3digitnaics_2022.txt</t>
        </is>
      </c>
    </row>
    <row r="473">
      <c r="A473" t="inlineStr">
        <is>
          <t>micro</t>
        </is>
      </c>
      <c r="B473" t="inlineStr">
        <is>
          <t>Sterling, CO Micro Area</t>
        </is>
      </c>
      <c r="C473" t="inlineStr">
        <is>
          <t>44540</t>
        </is>
      </c>
      <c r="D473" s="7" t="n">
        <v>66</v>
      </c>
      <c r="E473" t="n">
        <v>66.04283634851321</v>
      </c>
      <c r="F473" s="7" t="n">
        <v>34</v>
      </c>
      <c r="G473" s="6" t="n">
        <v>4809</v>
      </c>
      <c r="H473" s="6" t="n">
        <v>3176</v>
      </c>
      <c r="I473" s="6" t="n">
        <v>1633</v>
      </c>
      <c r="J473" t="inlineStr">
        <is>
          <t>https://www2.census.gov/programs-surveys/susb/datasets/2022/msa_3digitnaics_2022.txt</t>
        </is>
      </c>
    </row>
    <row r="474">
      <c r="A474" t="inlineStr">
        <is>
          <t>micro</t>
        </is>
      </c>
      <c r="B474" t="inlineStr">
        <is>
          <t>New Iberia, LA Micro Area</t>
        </is>
      </c>
      <c r="C474" t="inlineStr">
        <is>
          <t>35340</t>
        </is>
      </c>
      <c r="D474" s="7" t="n">
        <v>66</v>
      </c>
      <c r="E474" t="n">
        <v>66.00790513833992</v>
      </c>
      <c r="F474" s="7" t="n">
        <v>34</v>
      </c>
      <c r="G474" s="6" t="n">
        <v>19228</v>
      </c>
      <c r="H474" s="6" t="n">
        <v>12692</v>
      </c>
      <c r="I474" s="6" t="n">
        <v>6536</v>
      </c>
      <c r="J474" t="inlineStr">
        <is>
          <t>https://www2.census.gov/programs-surveys/susb/datasets/2022/msa_3digitnaics_2022.txt</t>
        </is>
      </c>
    </row>
    <row r="475">
      <c r="A475" t="inlineStr">
        <is>
          <t>micro</t>
        </is>
      </c>
      <c r="B475" t="inlineStr">
        <is>
          <t>DeRidder, LA Micro Area</t>
        </is>
      </c>
      <c r="C475" t="inlineStr">
        <is>
          <t>19760</t>
        </is>
      </c>
      <c r="D475" s="7" t="n">
        <v>65.90000000000001</v>
      </c>
      <c r="E475" t="n">
        <v>65.86232420429312</v>
      </c>
      <c r="F475" s="7" t="n">
        <v>34.1</v>
      </c>
      <c r="G475" s="6" t="n">
        <v>6755</v>
      </c>
      <c r="H475" s="6" t="n">
        <v>4449</v>
      </c>
      <c r="I475" s="6" t="n">
        <v>2306</v>
      </c>
      <c r="J475" t="inlineStr">
        <is>
          <t>https://www2.census.gov/programs-surveys/susb/datasets/2022/msa_3digitnaics_2022.txt</t>
        </is>
      </c>
    </row>
    <row r="476">
      <c r="A476" t="inlineStr">
        <is>
          <t>micro</t>
        </is>
      </c>
      <c r="B476" t="inlineStr">
        <is>
          <t>Sonora, CA Micro Area</t>
        </is>
      </c>
      <c r="C476" t="inlineStr">
        <is>
          <t>43760</t>
        </is>
      </c>
      <c r="D476" s="7" t="n">
        <v>65.90000000000001</v>
      </c>
      <c r="E476" t="n">
        <v>65.86206896551724</v>
      </c>
      <c r="F476" s="7" t="n">
        <v>34.1</v>
      </c>
      <c r="G476" s="6" t="n">
        <v>12470</v>
      </c>
      <c r="H476" s="6" t="n">
        <v>8213</v>
      </c>
      <c r="I476" s="6" t="n">
        <v>4257</v>
      </c>
      <c r="J476" t="inlineStr">
        <is>
          <t>https://www2.census.gov/programs-surveys/susb/datasets/2022/msa_3digitnaics_2022.txt</t>
        </is>
      </c>
    </row>
    <row r="477">
      <c r="A477" t="inlineStr">
        <is>
          <t>micro</t>
        </is>
      </c>
      <c r="B477" t="inlineStr">
        <is>
          <t>Snyder, TX Micro Area</t>
        </is>
      </c>
      <c r="C477" t="inlineStr">
        <is>
          <t>43660</t>
        </is>
      </c>
      <c r="D477" s="7" t="n">
        <v>65.90000000000001</v>
      </c>
      <c r="E477" t="n">
        <v>65.85051546391753</v>
      </c>
      <c r="F477" s="7" t="n">
        <v>34.1</v>
      </c>
      <c r="G477" s="6" t="n">
        <v>4656</v>
      </c>
      <c r="H477" s="6" t="n">
        <v>3066</v>
      </c>
      <c r="I477" s="6" t="n">
        <v>1590</v>
      </c>
      <c r="J477" t="inlineStr">
        <is>
          <t>https://www2.census.gov/programs-surveys/susb/datasets/2022/msa_3digitnaics_2022.txt</t>
        </is>
      </c>
    </row>
    <row r="478">
      <c r="A478" t="inlineStr">
        <is>
          <t>micro</t>
        </is>
      </c>
      <c r="B478" t="inlineStr">
        <is>
          <t>Silver City, NM Micro Area</t>
        </is>
      </c>
      <c r="C478" t="inlineStr">
        <is>
          <t>43500</t>
        </is>
      </c>
      <c r="D478" s="7" t="n">
        <v>65.5</v>
      </c>
      <c r="E478" t="n">
        <v>65.52132701421802</v>
      </c>
      <c r="F478" s="7" t="n">
        <v>34.5</v>
      </c>
      <c r="G478" s="6" t="n">
        <v>5908</v>
      </c>
      <c r="H478" s="6" t="n">
        <v>3871</v>
      </c>
      <c r="I478" s="6" t="n">
        <v>2037</v>
      </c>
      <c r="J478" t="inlineStr">
        <is>
          <t>https://www2.census.gov/programs-surveys/susb/datasets/2022/msa_3digitnaics_2022.txt</t>
        </is>
      </c>
    </row>
    <row r="479">
      <c r="A479" t="inlineStr">
        <is>
          <t>micro</t>
        </is>
      </c>
      <c r="B479" t="inlineStr">
        <is>
          <t>Granbury, TX Micro Area</t>
        </is>
      </c>
      <c r="C479" t="inlineStr">
        <is>
          <t>24180</t>
        </is>
      </c>
      <c r="D479" s="7" t="n">
        <v>65.2</v>
      </c>
      <c r="E479" t="n">
        <v>65.17362518578571</v>
      </c>
      <c r="F479" s="7" t="n">
        <v>34.8</v>
      </c>
      <c r="G479" s="6" t="n">
        <v>14802</v>
      </c>
      <c r="H479" s="6" t="n">
        <v>9647</v>
      </c>
      <c r="I479" s="6" t="n">
        <v>5155</v>
      </c>
      <c r="J479" t="inlineStr">
        <is>
          <t>https://www2.census.gov/programs-surveys/susb/datasets/2022/msa_3digitnaics_2022.txt</t>
        </is>
      </c>
    </row>
    <row r="480">
      <c r="A480" t="inlineStr">
        <is>
          <t>micro</t>
        </is>
      </c>
      <c r="B480" t="inlineStr">
        <is>
          <t>Miami, OK Micro Area</t>
        </is>
      </c>
      <c r="C480" t="inlineStr">
        <is>
          <t>33060</t>
        </is>
      </c>
      <c r="D480" s="7" t="n">
        <v>65.09999999999999</v>
      </c>
      <c r="E480" t="n">
        <v>65.05486554925841</v>
      </c>
      <c r="F480" s="7" t="n">
        <v>34.9</v>
      </c>
      <c r="G480" s="6" t="n">
        <v>8293</v>
      </c>
      <c r="H480" s="6" t="n">
        <v>5395</v>
      </c>
      <c r="I480" s="6" t="n">
        <v>2898</v>
      </c>
      <c r="J480" t="inlineStr">
        <is>
          <t>https://www2.census.gov/programs-surveys/susb/datasets/2022/msa_3digitnaics_2022.txt</t>
        </is>
      </c>
    </row>
    <row r="481">
      <c r="A481" t="inlineStr">
        <is>
          <t>micro</t>
        </is>
      </c>
      <c r="B481" t="inlineStr">
        <is>
          <t>Juneau, AK Micro Area</t>
        </is>
      </c>
      <c r="C481" t="inlineStr">
        <is>
          <t>27940</t>
        </is>
      </c>
      <c r="D481" s="7" t="n">
        <v>65</v>
      </c>
      <c r="E481" t="n">
        <v>64.98289213037998</v>
      </c>
      <c r="F481" s="7" t="n">
        <v>35</v>
      </c>
      <c r="G481" s="6" t="n">
        <v>11106</v>
      </c>
      <c r="H481" s="6" t="n">
        <v>7217</v>
      </c>
      <c r="I481" s="6" t="n">
        <v>3889</v>
      </c>
      <c r="J481" t="inlineStr">
        <is>
          <t>https://www2.census.gov/programs-surveys/susb/datasets/2022/msa_3digitnaics_2022.txt</t>
        </is>
      </c>
    </row>
    <row r="482">
      <c r="A482" t="inlineStr">
        <is>
          <t>micro</t>
        </is>
      </c>
      <c r="B482" t="inlineStr">
        <is>
          <t>Show Low, AZ Micro Area</t>
        </is>
      </c>
      <c r="C482" t="inlineStr">
        <is>
          <t>43320</t>
        </is>
      </c>
      <c r="D482" s="7" t="n">
        <v>65</v>
      </c>
      <c r="E482" t="n">
        <v>64.98277841561423</v>
      </c>
      <c r="F482" s="7" t="n">
        <v>35</v>
      </c>
      <c r="G482" s="6" t="n">
        <v>20033</v>
      </c>
      <c r="H482" s="6" t="n">
        <v>13018</v>
      </c>
      <c r="I482" s="6" t="n">
        <v>7015</v>
      </c>
      <c r="J482" t="inlineStr">
        <is>
          <t>https://www2.census.gov/programs-surveys/susb/datasets/2022/msa_3digitnaics_2022.txt</t>
        </is>
      </c>
    </row>
    <row r="483">
      <c r="A483" t="inlineStr">
        <is>
          <t>micro</t>
        </is>
      </c>
      <c r="B483" t="inlineStr">
        <is>
          <t>Easton, MD Micro Area</t>
        </is>
      </c>
      <c r="C483" t="inlineStr">
        <is>
          <t>20660</t>
        </is>
      </c>
      <c r="D483" s="7" t="n">
        <v>64.90000000000001</v>
      </c>
      <c r="E483" t="n">
        <v>64.88025358065273</v>
      </c>
      <c r="F483" s="7" t="n">
        <v>35.1</v>
      </c>
      <c r="G483" s="6" t="n">
        <v>17036</v>
      </c>
      <c r="H483" s="6" t="n">
        <v>11053</v>
      </c>
      <c r="I483" s="6" t="n">
        <v>5983</v>
      </c>
      <c r="J483" t="inlineStr">
        <is>
          <t>https://www2.census.gov/programs-surveys/susb/datasets/2022/msa_3digitnaics_2022.txt</t>
        </is>
      </c>
    </row>
    <row r="484">
      <c r="A484" t="inlineStr">
        <is>
          <t>micro</t>
        </is>
      </c>
      <c r="B484" t="inlineStr">
        <is>
          <t>Alpena, MI Micro Area</t>
        </is>
      </c>
      <c r="C484" t="inlineStr">
        <is>
          <t>10980</t>
        </is>
      </c>
      <c r="D484" s="7" t="n">
        <v>64.8</v>
      </c>
      <c r="E484" t="n">
        <v>64.78442564468453</v>
      </c>
      <c r="F484" s="7" t="n">
        <v>35.2</v>
      </c>
      <c r="G484" s="6" t="n">
        <v>9811</v>
      </c>
      <c r="H484" s="6" t="n">
        <v>6356</v>
      </c>
      <c r="I484" s="6" t="n">
        <v>3455</v>
      </c>
      <c r="J484" t="inlineStr">
        <is>
          <t>https://www2.census.gov/programs-surveys/susb/datasets/2022/msa_3digitnaics_2022.txt</t>
        </is>
      </c>
    </row>
    <row r="485">
      <c r="A485" t="inlineStr">
        <is>
          <t>micro</t>
        </is>
      </c>
      <c r="B485" t="inlineStr">
        <is>
          <t>Whitewater-Elkhorn, WI Micro Area</t>
        </is>
      </c>
      <c r="C485" t="inlineStr">
        <is>
          <t>48580</t>
        </is>
      </c>
      <c r="D485" s="7" t="n">
        <v>64.7</v>
      </c>
      <c r="E485" t="n">
        <v>64.71933358741221</v>
      </c>
      <c r="F485" s="7" t="n">
        <v>35.3</v>
      </c>
      <c r="G485" s="6" t="n">
        <v>36734</v>
      </c>
      <c r="H485" s="6" t="n">
        <v>23774</v>
      </c>
      <c r="I485" s="6" t="n">
        <v>12960</v>
      </c>
      <c r="J485" t="inlineStr">
        <is>
          <t>https://www2.census.gov/programs-surveys/susb/datasets/2022/msa_3digitnaics_2022.txt</t>
        </is>
      </c>
    </row>
    <row r="486">
      <c r="A486" t="inlineStr">
        <is>
          <t>micro</t>
        </is>
      </c>
      <c r="B486" t="inlineStr">
        <is>
          <t>Natchez, MS-LA Micro Area</t>
        </is>
      </c>
      <c r="C486" t="inlineStr">
        <is>
          <t>35020</t>
        </is>
      </c>
      <c r="D486" s="7" t="n">
        <v>64.7</v>
      </c>
      <c r="E486" t="n">
        <v>64.69941348973607</v>
      </c>
      <c r="F486" s="7" t="n">
        <v>35.3</v>
      </c>
      <c r="G486" s="6" t="n">
        <v>13640</v>
      </c>
      <c r="H486" s="6" t="n">
        <v>8825</v>
      </c>
      <c r="I486" s="6" t="n">
        <v>4815</v>
      </c>
      <c r="J486" t="inlineStr">
        <is>
          <t>https://www2.census.gov/programs-surveys/susb/datasets/2022/msa_3digitnaics_2022.txt</t>
        </is>
      </c>
    </row>
    <row r="487">
      <c r="A487" t="inlineStr">
        <is>
          <t>micro</t>
        </is>
      </c>
      <c r="B487" t="inlineStr">
        <is>
          <t>Rifle, CO Micro Area</t>
        </is>
      </c>
      <c r="C487" t="inlineStr">
        <is>
          <t>40090</t>
        </is>
      </c>
      <c r="D487" s="7" t="n">
        <v>64.7</v>
      </c>
      <c r="E487" t="n">
        <v>64.66255479661535</v>
      </c>
      <c r="F487" s="7" t="n">
        <v>35.3</v>
      </c>
      <c r="G487" s="6" t="n">
        <v>39236</v>
      </c>
      <c r="H487" s="6" t="n">
        <v>25371</v>
      </c>
      <c r="I487" s="6" t="n">
        <v>13865</v>
      </c>
      <c r="J487" t="inlineStr">
        <is>
          <t>https://www2.census.gov/programs-surveys/susb/datasets/2022/msa_3digitnaics_2022.txt</t>
        </is>
      </c>
    </row>
    <row r="488">
      <c r="A488" t="inlineStr">
        <is>
          <t>micro</t>
        </is>
      </c>
      <c r="B488" t="inlineStr">
        <is>
          <t>Greenfield, MA Micro Area</t>
        </is>
      </c>
      <c r="C488" t="inlineStr">
        <is>
          <t>24640</t>
        </is>
      </c>
      <c r="D488" s="7" t="n">
        <v>64.59999999999999</v>
      </c>
      <c r="E488" t="n">
        <v>64.57036114570361</v>
      </c>
      <c r="F488" s="7" t="n">
        <v>35.4</v>
      </c>
      <c r="G488" s="6" t="n">
        <v>19272</v>
      </c>
      <c r="H488" s="6" t="n">
        <v>12444</v>
      </c>
      <c r="I488" s="6" t="n">
        <v>6828</v>
      </c>
      <c r="J488" t="inlineStr">
        <is>
          <t>https://www2.census.gov/programs-surveys/susb/datasets/2022/msa_3digitnaics_2022.txt</t>
        </is>
      </c>
    </row>
    <row r="489">
      <c r="A489" t="inlineStr">
        <is>
          <t>micro</t>
        </is>
      </c>
      <c r="B489" t="inlineStr">
        <is>
          <t>Somerset, PA Micro Area</t>
        </is>
      </c>
      <c r="C489" t="inlineStr">
        <is>
          <t>43740</t>
        </is>
      </c>
      <c r="D489" s="7" t="n">
        <v>64.40000000000001</v>
      </c>
      <c r="E489" t="n">
        <v>64.44374541260355</v>
      </c>
      <c r="F489" s="7" t="n">
        <v>35.6</v>
      </c>
      <c r="G489" s="6" t="n">
        <v>19074</v>
      </c>
      <c r="H489" s="6" t="n">
        <v>12292</v>
      </c>
      <c r="I489" s="6" t="n">
        <v>6782</v>
      </c>
      <c r="J489" t="inlineStr">
        <is>
          <t>https://www2.census.gov/programs-surveys/susb/datasets/2022/msa_3digitnaics_2022.txt</t>
        </is>
      </c>
    </row>
    <row r="490">
      <c r="A490" t="inlineStr">
        <is>
          <t>micro</t>
        </is>
      </c>
      <c r="B490" t="inlineStr">
        <is>
          <t>Kalispell, MT Micro Area</t>
        </is>
      </c>
      <c r="C490" t="inlineStr">
        <is>
          <t>28060</t>
        </is>
      </c>
      <c r="D490" s="7" t="n">
        <v>64.40000000000001</v>
      </c>
      <c r="E490" t="n">
        <v>64.43858172803566</v>
      </c>
      <c r="F490" s="7" t="n">
        <v>35.6</v>
      </c>
      <c r="G490" s="6" t="n">
        <v>43969</v>
      </c>
      <c r="H490" s="6" t="n">
        <v>28333</v>
      </c>
      <c r="I490" s="6" t="n">
        <v>15636</v>
      </c>
      <c r="J490" t="inlineStr">
        <is>
          <t>https://www2.census.gov/programs-surveys/susb/datasets/2022/msa_3digitnaics_2022.txt</t>
        </is>
      </c>
    </row>
    <row r="491">
      <c r="A491" t="inlineStr">
        <is>
          <t>micro</t>
        </is>
      </c>
      <c r="B491" t="inlineStr">
        <is>
          <t>Laconia, NH Micro Area</t>
        </is>
      </c>
      <c r="C491" t="inlineStr">
        <is>
          <t>29060</t>
        </is>
      </c>
      <c r="D491" s="7" t="n">
        <v>64.3</v>
      </c>
      <c r="E491" t="n">
        <v>64.28367579908675</v>
      </c>
      <c r="F491" s="7" t="n">
        <v>35.7</v>
      </c>
      <c r="G491" s="6" t="n">
        <v>21024</v>
      </c>
      <c r="H491" s="6" t="n">
        <v>13515</v>
      </c>
      <c r="I491" s="6" t="n">
        <v>7509</v>
      </c>
      <c r="J491" t="inlineStr">
        <is>
          <t>https://www2.census.gov/programs-surveys/susb/datasets/2022/msa_3digitnaics_2022.txt</t>
        </is>
      </c>
    </row>
    <row r="492">
      <c r="A492" t="inlineStr">
        <is>
          <t>micro</t>
        </is>
      </c>
      <c r="B492" t="inlineStr">
        <is>
          <t>Moses Lake, WA Micro Area</t>
        </is>
      </c>
      <c r="C492" t="inlineStr">
        <is>
          <t>34180</t>
        </is>
      </c>
      <c r="D492" s="7" t="n">
        <v>64.3</v>
      </c>
      <c r="E492" t="n">
        <v>64.27283900040968</v>
      </c>
      <c r="F492" s="7" t="n">
        <v>35.7</v>
      </c>
      <c r="G492" s="6" t="n">
        <v>24410</v>
      </c>
      <c r="H492" s="6" t="n">
        <v>15689</v>
      </c>
      <c r="I492" s="6" t="n">
        <v>8721</v>
      </c>
      <c r="J492" t="inlineStr">
        <is>
          <t>https://www2.census.gov/programs-surveys/susb/datasets/2022/msa_3digitnaics_2022.txt</t>
        </is>
      </c>
    </row>
    <row r="493">
      <c r="A493" t="inlineStr">
        <is>
          <t>micro</t>
        </is>
      </c>
      <c r="B493" t="inlineStr">
        <is>
          <t>Marquette, MI Micro Area</t>
        </is>
      </c>
      <c r="C493" t="inlineStr">
        <is>
          <t>32100</t>
        </is>
      </c>
      <c r="D493" s="7" t="n">
        <v>64.3</v>
      </c>
      <c r="E493" t="n">
        <v>64.26518312471025</v>
      </c>
      <c r="F493" s="7" t="n">
        <v>35.7</v>
      </c>
      <c r="G493" s="6" t="n">
        <v>21570</v>
      </c>
      <c r="H493" s="6" t="n">
        <v>13862</v>
      </c>
      <c r="I493" s="6" t="n">
        <v>7708</v>
      </c>
      <c r="J493" t="inlineStr">
        <is>
          <t>https://www2.census.gov/programs-surveys/susb/datasets/2022/msa_3digitnaics_2022.txt</t>
        </is>
      </c>
    </row>
    <row r="494">
      <c r="A494" t="inlineStr">
        <is>
          <t>micro</t>
        </is>
      </c>
      <c r="B494" t="inlineStr">
        <is>
          <t>Washington, IN Micro Area</t>
        </is>
      </c>
      <c r="C494" t="inlineStr">
        <is>
          <t>47780</t>
        </is>
      </c>
      <c r="D494" s="7" t="n">
        <v>64.2</v>
      </c>
      <c r="E494" t="n">
        <v>64.22026061370323</v>
      </c>
      <c r="F494" s="7" t="n">
        <v>35.8</v>
      </c>
      <c r="G494" s="6" t="n">
        <v>11895</v>
      </c>
      <c r="H494" s="6" t="n">
        <v>7639</v>
      </c>
      <c r="I494" s="6" t="n">
        <v>4256</v>
      </c>
      <c r="J494" t="inlineStr">
        <is>
          <t>https://www2.census.gov/programs-surveys/susb/datasets/2022/msa_3digitnaics_2022.txt</t>
        </is>
      </c>
    </row>
    <row r="495">
      <c r="A495" t="inlineStr">
        <is>
          <t>micro</t>
        </is>
      </c>
      <c r="B495" t="inlineStr">
        <is>
          <t>Cedar City, UT Micro Area</t>
        </is>
      </c>
      <c r="C495" t="inlineStr">
        <is>
          <t>16260</t>
        </is>
      </c>
      <c r="D495" s="7" t="n">
        <v>64.2</v>
      </c>
      <c r="E495" t="n">
        <v>64.16525183927561</v>
      </c>
      <c r="F495" s="7" t="n">
        <v>35.8</v>
      </c>
      <c r="G495" s="6" t="n">
        <v>17670</v>
      </c>
      <c r="H495" s="6" t="n">
        <v>11338</v>
      </c>
      <c r="I495" s="6" t="n">
        <v>6332</v>
      </c>
      <c r="J495" t="inlineStr">
        <is>
          <t>https://www2.census.gov/programs-surveys/susb/datasets/2022/msa_3digitnaics_2022.txt</t>
        </is>
      </c>
    </row>
    <row r="496">
      <c r="A496" t="inlineStr">
        <is>
          <t>micro</t>
        </is>
      </c>
      <c r="B496" t="inlineStr">
        <is>
          <t>El Campo, TX Micro Area</t>
        </is>
      </c>
      <c r="C496" t="inlineStr">
        <is>
          <t>20900</t>
        </is>
      </c>
      <c r="D496" s="7" t="n">
        <v>64.09999999999999</v>
      </c>
      <c r="E496" t="n">
        <v>64.07330877728866</v>
      </c>
      <c r="F496" s="7" t="n">
        <v>35.9</v>
      </c>
      <c r="G496" s="6" t="n">
        <v>11131</v>
      </c>
      <c r="H496" s="6" t="n">
        <v>7132</v>
      </c>
      <c r="I496" s="6" t="n">
        <v>3999</v>
      </c>
      <c r="J496" t="inlineStr">
        <is>
          <t>https://www2.census.gov/programs-surveys/susb/datasets/2022/msa_3digitnaics_2022.txt</t>
        </is>
      </c>
    </row>
    <row r="497">
      <c r="A497" t="inlineStr">
        <is>
          <t>micro</t>
        </is>
      </c>
      <c r="B497" t="inlineStr">
        <is>
          <t>Ruston, LA Micro Area</t>
        </is>
      </c>
      <c r="C497" t="inlineStr">
        <is>
          <t>40820</t>
        </is>
      </c>
      <c r="D497" s="7" t="n">
        <v>64.09999999999999</v>
      </c>
      <c r="E497" t="n">
        <v>64.05313883823912</v>
      </c>
      <c r="F497" s="7" t="n">
        <v>35.9</v>
      </c>
      <c r="G497" s="6" t="n">
        <v>15356</v>
      </c>
      <c r="H497" s="6" t="n">
        <v>9836</v>
      </c>
      <c r="I497" s="6" t="n">
        <v>5520</v>
      </c>
      <c r="J497" t="inlineStr">
        <is>
          <t>https://www2.census.gov/programs-surveys/susb/datasets/2022/msa_3digitnaics_2022.txt</t>
        </is>
      </c>
    </row>
    <row r="498">
      <c r="A498" t="inlineStr">
        <is>
          <t>micro</t>
        </is>
      </c>
      <c r="B498" t="inlineStr">
        <is>
          <t>Wabash, IN Micro Area</t>
        </is>
      </c>
      <c r="C498" t="inlineStr">
        <is>
          <t>47340</t>
        </is>
      </c>
      <c r="D498" s="7" t="n">
        <v>64</v>
      </c>
      <c r="E498" t="n">
        <v>64.04066073697585</v>
      </c>
      <c r="F498" s="7" t="n">
        <v>36</v>
      </c>
      <c r="G498" s="6" t="n">
        <v>10231</v>
      </c>
      <c r="H498" s="6" t="n">
        <v>6552</v>
      </c>
      <c r="I498" s="6" t="n">
        <v>3679</v>
      </c>
      <c r="J498" t="inlineStr">
        <is>
          <t>https://www2.census.gov/programs-surveys/susb/datasets/2022/msa_3digitnaics_2022.txt</t>
        </is>
      </c>
    </row>
    <row r="499">
      <c r="A499" t="inlineStr">
        <is>
          <t>micro</t>
        </is>
      </c>
      <c r="B499" t="inlineStr">
        <is>
          <t>Grand Rapids, MN Micro Area</t>
        </is>
      </c>
      <c r="C499" t="inlineStr">
        <is>
          <t>24330</t>
        </is>
      </c>
      <c r="D499" s="7" t="n">
        <v>63.9</v>
      </c>
      <c r="E499" t="n">
        <v>63.8724822050583</v>
      </c>
      <c r="F499" s="7" t="n">
        <v>36.1</v>
      </c>
      <c r="G499" s="6" t="n">
        <v>13206</v>
      </c>
      <c r="H499" s="6" t="n">
        <v>8435</v>
      </c>
      <c r="I499" s="6" t="n">
        <v>4771</v>
      </c>
      <c r="J499" t="inlineStr">
        <is>
          <t>https://www2.census.gov/programs-surveys/susb/datasets/2022/msa_3digitnaics_2022.txt</t>
        </is>
      </c>
    </row>
    <row r="500">
      <c r="A500" t="inlineStr">
        <is>
          <t>micro</t>
        </is>
      </c>
      <c r="B500" t="inlineStr">
        <is>
          <t>Brainerd, MN Micro Area</t>
        </is>
      </c>
      <c r="C500" t="inlineStr">
        <is>
          <t>14660</t>
        </is>
      </c>
      <c r="D500" s="7" t="n">
        <v>63.9</v>
      </c>
      <c r="E500" t="n">
        <v>63.85874926020912</v>
      </c>
      <c r="F500" s="7" t="n">
        <v>36.1</v>
      </c>
      <c r="G500" s="6" t="n">
        <v>35483</v>
      </c>
      <c r="H500" s="6" t="n">
        <v>22659</v>
      </c>
      <c r="I500" s="6" t="n">
        <v>12824</v>
      </c>
      <c r="J500" t="inlineStr">
        <is>
          <t>https://www2.census.gov/programs-surveys/susb/datasets/2022/msa_3digitnaics_2022.txt</t>
        </is>
      </c>
    </row>
    <row r="501">
      <c r="A501" t="inlineStr">
        <is>
          <t>micro</t>
        </is>
      </c>
      <c r="B501" t="inlineStr">
        <is>
          <t>Lake of the Woods, VA Micro Area</t>
        </is>
      </c>
      <c r="C501" t="inlineStr">
        <is>
          <t>29470</t>
        </is>
      </c>
      <c r="D501" s="7" t="n">
        <v>63.9</v>
      </c>
      <c r="E501" t="n">
        <v>63.85022271714922</v>
      </c>
      <c r="F501" s="7" t="n">
        <v>36.1</v>
      </c>
      <c r="G501" s="6" t="n">
        <v>7184</v>
      </c>
      <c r="H501" s="6" t="n">
        <v>4587</v>
      </c>
      <c r="I501" s="6" t="n">
        <v>2597</v>
      </c>
      <c r="J501" t="inlineStr">
        <is>
          <t>https://www2.census.gov/programs-surveys/susb/datasets/2022/msa_3digitnaics_2022.txt</t>
        </is>
      </c>
    </row>
    <row r="502">
      <c r="A502" t="inlineStr">
        <is>
          <t>micro</t>
        </is>
      </c>
      <c r="B502" t="inlineStr">
        <is>
          <t>Oxford, MS Micro Area</t>
        </is>
      </c>
      <c r="C502" t="inlineStr">
        <is>
          <t>37060</t>
        </is>
      </c>
      <c r="D502" s="7" t="n">
        <v>63.8</v>
      </c>
      <c r="E502" t="n">
        <v>63.81854005478399</v>
      </c>
      <c r="F502" s="7" t="n">
        <v>36.2</v>
      </c>
      <c r="G502" s="6" t="n">
        <v>20809</v>
      </c>
      <c r="H502" s="6" t="n">
        <v>13280</v>
      </c>
      <c r="I502" s="6" t="n">
        <v>7529</v>
      </c>
      <c r="J502" t="inlineStr">
        <is>
          <t>https://www2.census.gov/programs-surveys/susb/datasets/2022/msa_3digitnaics_2022.txt</t>
        </is>
      </c>
    </row>
    <row r="503">
      <c r="A503" t="inlineStr">
        <is>
          <t>micro</t>
        </is>
      </c>
      <c r="B503" t="inlineStr">
        <is>
          <t>Gallup, NM Micro Area</t>
        </is>
      </c>
      <c r="C503" t="inlineStr">
        <is>
          <t>23700</t>
        </is>
      </c>
      <c r="D503" s="7" t="n">
        <v>63.8</v>
      </c>
      <c r="E503" t="n">
        <v>63.76131848088072</v>
      </c>
      <c r="F503" s="7" t="n">
        <v>36.2</v>
      </c>
      <c r="G503" s="6" t="n">
        <v>15351</v>
      </c>
      <c r="H503" s="6" t="n">
        <v>9788</v>
      </c>
      <c r="I503" s="6" t="n">
        <v>5563</v>
      </c>
      <c r="J503" t="inlineStr">
        <is>
          <t>https://www2.census.gov/programs-surveys/susb/datasets/2022/msa_3digitnaics_2022.txt</t>
        </is>
      </c>
    </row>
    <row r="504">
      <c r="A504" t="inlineStr">
        <is>
          <t>micro</t>
        </is>
      </c>
      <c r="B504" t="inlineStr">
        <is>
          <t>Picayune, MS Micro Area</t>
        </is>
      </c>
      <c r="C504" t="inlineStr">
        <is>
          <t>38100</t>
        </is>
      </c>
      <c r="D504" s="7" t="n">
        <v>63.7</v>
      </c>
      <c r="E504" t="n">
        <v>63.68765515684947</v>
      </c>
      <c r="F504" s="7" t="n">
        <v>36.3</v>
      </c>
      <c r="G504" s="6" t="n">
        <v>8862</v>
      </c>
      <c r="H504" s="6" t="n">
        <v>5644</v>
      </c>
      <c r="I504" s="6" t="n">
        <v>3218</v>
      </c>
      <c r="J504" t="inlineStr">
        <is>
          <t>https://www2.census.gov/programs-surveys/susb/datasets/2022/msa_3digitnaics_2022.txt</t>
        </is>
      </c>
    </row>
    <row r="505">
      <c r="A505" t="inlineStr">
        <is>
          <t>micro</t>
        </is>
      </c>
      <c r="B505" t="inlineStr">
        <is>
          <t>Auburn, NY Micro Area</t>
        </is>
      </c>
      <c r="C505" t="inlineStr">
        <is>
          <t>12180</t>
        </is>
      </c>
      <c r="D505" s="7" t="n">
        <v>63.7</v>
      </c>
      <c r="E505" t="n">
        <v>63.67932395619058</v>
      </c>
      <c r="F505" s="7" t="n">
        <v>36.3</v>
      </c>
      <c r="G505" s="6" t="n">
        <v>17987</v>
      </c>
      <c r="H505" s="6" t="n">
        <v>11454</v>
      </c>
      <c r="I505" s="6" t="n">
        <v>6533</v>
      </c>
      <c r="J505" t="inlineStr">
        <is>
          <t>https://www2.census.gov/programs-surveys/susb/datasets/2022/msa_3digitnaics_2022.txt</t>
        </is>
      </c>
    </row>
    <row r="506">
      <c r="A506" t="inlineStr">
        <is>
          <t>micro</t>
        </is>
      </c>
      <c r="B506" t="inlineStr">
        <is>
          <t>Cadillac, MI Micro Area</t>
        </is>
      </c>
      <c r="C506" t="inlineStr">
        <is>
          <t>15620</t>
        </is>
      </c>
      <c r="D506" s="7" t="n">
        <v>63.6</v>
      </c>
      <c r="E506" t="n">
        <v>63.64096721103937</v>
      </c>
      <c r="F506" s="7" t="n">
        <v>36.4</v>
      </c>
      <c r="G506" s="6" t="n">
        <v>15798</v>
      </c>
      <c r="H506" s="6" t="n">
        <v>10054</v>
      </c>
      <c r="I506" s="6" t="n">
        <v>5744</v>
      </c>
      <c r="J506" t="inlineStr">
        <is>
          <t>https://www2.census.gov/programs-surveys/susb/datasets/2022/msa_3digitnaics_2022.txt</t>
        </is>
      </c>
    </row>
    <row r="507">
      <c r="A507" t="inlineStr">
        <is>
          <t>micro</t>
        </is>
      </c>
      <c r="B507" t="inlineStr">
        <is>
          <t>Lawrenceburg, TN Micro Area</t>
        </is>
      </c>
      <c r="C507" t="inlineStr">
        <is>
          <t>29980</t>
        </is>
      </c>
      <c r="D507" s="7" t="n">
        <v>63.6</v>
      </c>
      <c r="E507" t="n">
        <v>63.55297838692672</v>
      </c>
      <c r="F507" s="7" t="n">
        <v>36.4</v>
      </c>
      <c r="G507" s="6" t="n">
        <v>9485</v>
      </c>
      <c r="H507" s="6" t="n">
        <v>6028</v>
      </c>
      <c r="I507" s="6" t="n">
        <v>3457</v>
      </c>
      <c r="J507" t="inlineStr">
        <is>
          <t>https://www2.census.gov/programs-surveys/susb/datasets/2022/msa_3digitnaics_2022.txt</t>
        </is>
      </c>
    </row>
    <row r="508">
      <c r="A508" t="inlineStr">
        <is>
          <t>micro</t>
        </is>
      </c>
      <c r="B508" t="inlineStr">
        <is>
          <t>Vermillion, SD Micro Area</t>
        </is>
      </c>
      <c r="C508" t="inlineStr">
        <is>
          <t>46820</t>
        </is>
      </c>
      <c r="D508" s="7" t="n">
        <v>63.6</v>
      </c>
      <c r="E508" t="n">
        <v>63.5518980621184</v>
      </c>
      <c r="F508" s="7" t="n">
        <v>36.4</v>
      </c>
      <c r="G508" s="6" t="n">
        <v>3767</v>
      </c>
      <c r="H508" s="6" t="n">
        <v>2394</v>
      </c>
      <c r="I508" s="6" t="n">
        <v>1373</v>
      </c>
      <c r="J508" t="inlineStr">
        <is>
          <t>https://www2.census.gov/programs-surveys/susb/datasets/2022/msa_3digitnaics_2022.txt</t>
        </is>
      </c>
    </row>
    <row r="509">
      <c r="A509" t="inlineStr">
        <is>
          <t>micro</t>
        </is>
      </c>
      <c r="B509" t="inlineStr">
        <is>
          <t>St. Marys, PA Micro Area</t>
        </is>
      </c>
      <c r="C509" t="inlineStr">
        <is>
          <t>41260</t>
        </is>
      </c>
      <c r="D509" s="7" t="n">
        <v>63.5</v>
      </c>
      <c r="E509" t="n">
        <v>63.51884820806564</v>
      </c>
      <c r="F509" s="7" t="n">
        <v>36.5</v>
      </c>
      <c r="G509" s="6" t="n">
        <v>12919</v>
      </c>
      <c r="H509" s="6" t="n">
        <v>8206</v>
      </c>
      <c r="I509" s="6" t="n">
        <v>4713</v>
      </c>
      <c r="J509" t="inlineStr">
        <is>
          <t>https://www2.census.gov/programs-surveys/susb/datasets/2022/msa_3digitnaics_2022.txt</t>
        </is>
      </c>
    </row>
    <row r="510">
      <c r="A510" t="inlineStr">
        <is>
          <t>micro</t>
        </is>
      </c>
      <c r="B510" t="inlineStr">
        <is>
          <t>New Philadelphia-Dover, OH Micro Area</t>
        </is>
      </c>
      <c r="C510" t="inlineStr">
        <is>
          <t>35420</t>
        </is>
      </c>
      <c r="D510" s="7" t="n">
        <v>63.5</v>
      </c>
      <c r="E510" t="n">
        <v>63.45240823810615</v>
      </c>
      <c r="F510" s="7" t="n">
        <v>36.5</v>
      </c>
      <c r="G510" s="6" t="n">
        <v>30541</v>
      </c>
      <c r="H510" s="6" t="n">
        <v>19379</v>
      </c>
      <c r="I510" s="6" t="n">
        <v>11162</v>
      </c>
      <c r="J510" t="inlineStr">
        <is>
          <t>https://www2.census.gov/programs-surveys/susb/datasets/2022/msa_3digitnaics_2022.txt</t>
        </is>
      </c>
    </row>
    <row r="511">
      <c r="A511" t="inlineStr">
        <is>
          <t>micro</t>
        </is>
      </c>
      <c r="B511" t="inlineStr">
        <is>
          <t>Willmar, MN Micro Area</t>
        </is>
      </c>
      <c r="C511" t="inlineStr">
        <is>
          <t>48820</t>
        </is>
      </c>
      <c r="D511" s="7" t="n">
        <v>63.3</v>
      </c>
      <c r="E511" t="n">
        <v>63.32911525888432</v>
      </c>
      <c r="F511" s="7" t="n">
        <v>36.7</v>
      </c>
      <c r="G511" s="6" t="n">
        <v>18966</v>
      </c>
      <c r="H511" s="6" t="n">
        <v>12011</v>
      </c>
      <c r="I511" s="6" t="n">
        <v>6955</v>
      </c>
      <c r="J511" t="inlineStr">
        <is>
          <t>https://www2.census.gov/programs-surveys/susb/datasets/2022/msa_3digitnaics_2022.txt</t>
        </is>
      </c>
    </row>
    <row r="512">
      <c r="A512" t="inlineStr">
        <is>
          <t>micro</t>
        </is>
      </c>
      <c r="B512" t="inlineStr">
        <is>
          <t>Barre, VT Micro Area</t>
        </is>
      </c>
      <c r="C512" t="inlineStr">
        <is>
          <t>12740</t>
        </is>
      </c>
      <c r="D512" s="7" t="n">
        <v>63.3</v>
      </c>
      <c r="E512" t="n">
        <v>63.31210673944356</v>
      </c>
      <c r="F512" s="7" t="n">
        <v>36.7</v>
      </c>
      <c r="G512" s="6" t="n">
        <v>26382</v>
      </c>
      <c r="H512" s="6" t="n">
        <v>16703</v>
      </c>
      <c r="I512" s="6" t="n">
        <v>9679</v>
      </c>
      <c r="J512" t="inlineStr">
        <is>
          <t>https://www2.census.gov/programs-surveys/susb/datasets/2022/msa_3digitnaics_2022.txt</t>
        </is>
      </c>
    </row>
    <row r="513">
      <c r="A513" t="inlineStr">
        <is>
          <t>micro</t>
        </is>
      </c>
      <c r="B513" t="inlineStr">
        <is>
          <t>Salem, OH Micro Area</t>
        </is>
      </c>
      <c r="C513" t="inlineStr">
        <is>
          <t>41400</t>
        </is>
      </c>
      <c r="D513" s="7" t="n">
        <v>63.2</v>
      </c>
      <c r="E513" t="n">
        <v>63.16569232001282</v>
      </c>
      <c r="F513" s="7" t="n">
        <v>36.8</v>
      </c>
      <c r="G513" s="6" t="n">
        <v>24974</v>
      </c>
      <c r="H513" s="6" t="n">
        <v>15775</v>
      </c>
      <c r="I513" s="6" t="n">
        <v>9199</v>
      </c>
      <c r="J513" t="inlineStr">
        <is>
          <t>https://www2.census.gov/programs-surveys/susb/datasets/2022/msa_3digitnaics_2022.txt</t>
        </is>
      </c>
    </row>
    <row r="514">
      <c r="A514" t="inlineStr">
        <is>
          <t>micro</t>
        </is>
      </c>
      <c r="B514" t="inlineStr">
        <is>
          <t>Bradford, PA Micro Area</t>
        </is>
      </c>
      <c r="C514" t="inlineStr">
        <is>
          <t>14620</t>
        </is>
      </c>
      <c r="D514" s="7" t="n">
        <v>63.1</v>
      </c>
      <c r="E514" t="n">
        <v>63.09300236792684</v>
      </c>
      <c r="F514" s="7" t="n">
        <v>36.9</v>
      </c>
      <c r="G514" s="6" t="n">
        <v>12247</v>
      </c>
      <c r="H514" s="6" t="n">
        <v>7727</v>
      </c>
      <c r="I514" s="6" t="n">
        <v>4520</v>
      </c>
      <c r="J514" t="inlineStr">
        <is>
          <t>https://www2.census.gov/programs-surveys/susb/datasets/2022/msa_3digitnaics_2022.txt</t>
        </is>
      </c>
    </row>
    <row r="515">
      <c r="A515" t="inlineStr">
        <is>
          <t>micro</t>
        </is>
      </c>
      <c r="B515" t="inlineStr">
        <is>
          <t>Atchison, KS Micro Area</t>
        </is>
      </c>
      <c r="C515" t="inlineStr">
        <is>
          <t>11860</t>
        </is>
      </c>
      <c r="D515" s="7" t="n">
        <v>63.1</v>
      </c>
      <c r="E515" t="n">
        <v>63.06829173921455</v>
      </c>
      <c r="F515" s="7" t="n">
        <v>36.9</v>
      </c>
      <c r="G515" s="6" t="n">
        <v>5169</v>
      </c>
      <c r="H515" s="6" t="n">
        <v>3260</v>
      </c>
      <c r="I515" s="6" t="n">
        <v>1909</v>
      </c>
      <c r="J515" t="inlineStr">
        <is>
          <t>https://www2.census.gov/programs-surveys/susb/datasets/2022/msa_3digitnaics_2022.txt</t>
        </is>
      </c>
    </row>
    <row r="516">
      <c r="A516" t="inlineStr">
        <is>
          <t>micro</t>
        </is>
      </c>
      <c r="B516" t="inlineStr">
        <is>
          <t>Hays, KS Micro Area</t>
        </is>
      </c>
      <c r="C516" t="inlineStr">
        <is>
          <t>25700</t>
        </is>
      </c>
      <c r="D516" s="7" t="n">
        <v>63.1</v>
      </c>
      <c r="E516" t="n">
        <v>63.05949457339776</v>
      </c>
      <c r="F516" s="7" t="n">
        <v>36.9</v>
      </c>
      <c r="G516" s="6" t="n">
        <v>12623</v>
      </c>
      <c r="H516" s="6" t="n">
        <v>7960</v>
      </c>
      <c r="I516" s="6" t="n">
        <v>4663</v>
      </c>
      <c r="J516" t="inlineStr">
        <is>
          <t>https://www2.census.gov/programs-surveys/susb/datasets/2022/msa_3digitnaics_2022.txt</t>
        </is>
      </c>
    </row>
    <row r="517">
      <c r="A517" t="inlineStr">
        <is>
          <t>micro</t>
        </is>
      </c>
      <c r="B517" t="inlineStr">
        <is>
          <t>Uvalde, TX Micro Area</t>
        </is>
      </c>
      <c r="C517" t="inlineStr">
        <is>
          <t>46620</t>
        </is>
      </c>
      <c r="D517" s="7" t="n">
        <v>62.9</v>
      </c>
      <c r="E517" t="n">
        <v>62.90919442072303</v>
      </c>
      <c r="F517" s="7" t="n">
        <v>37.1</v>
      </c>
      <c r="G517" s="6" t="n">
        <v>7026</v>
      </c>
      <c r="H517" s="6" t="n">
        <v>4420</v>
      </c>
      <c r="I517" s="6" t="n">
        <v>2606</v>
      </c>
      <c r="J517" t="inlineStr">
        <is>
          <t>https://www2.census.gov/programs-surveys/susb/datasets/2022/msa_3digitnaics_2022.txt</t>
        </is>
      </c>
    </row>
    <row r="518">
      <c r="A518" t="inlineStr">
        <is>
          <t>micro</t>
        </is>
      </c>
      <c r="B518" t="inlineStr">
        <is>
          <t>Gardnerville Ranchos, NV-CA Micro Area</t>
        </is>
      </c>
      <c r="C518" t="inlineStr">
        <is>
          <t>23820</t>
        </is>
      </c>
      <c r="D518" s="7" t="n">
        <v>62.9</v>
      </c>
      <c r="E518" t="n">
        <v>62.90173410404624</v>
      </c>
      <c r="F518" s="7" t="n">
        <v>37.1</v>
      </c>
      <c r="G518" s="6" t="n">
        <v>17300</v>
      </c>
      <c r="H518" s="6" t="n">
        <v>10882</v>
      </c>
      <c r="I518" s="6" t="n">
        <v>6418</v>
      </c>
      <c r="J518" t="inlineStr">
        <is>
          <t>https://www2.census.gov/programs-surveys/susb/datasets/2022/msa_3digitnaics_2022.txt</t>
        </is>
      </c>
    </row>
    <row r="519">
      <c r="A519" t="inlineStr">
        <is>
          <t>micro</t>
        </is>
      </c>
      <c r="B519" t="inlineStr">
        <is>
          <t>Scottsbluff, NE Micro Area</t>
        </is>
      </c>
      <c r="C519" t="inlineStr">
        <is>
          <t>42420</t>
        </is>
      </c>
      <c r="D519" s="7" t="n">
        <v>62.8</v>
      </c>
      <c r="E519" t="n">
        <v>62.78652736628723</v>
      </c>
      <c r="F519" s="7" t="n">
        <v>37.2</v>
      </c>
      <c r="G519" s="6" t="n">
        <v>12826</v>
      </c>
      <c r="H519" s="6" t="n">
        <v>8053</v>
      </c>
      <c r="I519" s="6" t="n">
        <v>4773</v>
      </c>
      <c r="J519" t="inlineStr">
        <is>
          <t>https://www2.census.gov/programs-surveys/susb/datasets/2022/msa_3digitnaics_2022.txt</t>
        </is>
      </c>
    </row>
    <row r="520">
      <c r="A520" t="inlineStr">
        <is>
          <t>micro</t>
        </is>
      </c>
      <c r="B520" t="inlineStr">
        <is>
          <t>Bemidji, MN Micro Area</t>
        </is>
      </c>
      <c r="C520" t="inlineStr">
        <is>
          <t>13420</t>
        </is>
      </c>
      <c r="D520" s="7" t="n">
        <v>62.6</v>
      </c>
      <c r="E520" t="n">
        <v>62.58785140562249</v>
      </c>
      <c r="F520" s="7" t="n">
        <v>37.4</v>
      </c>
      <c r="G520" s="6" t="n">
        <v>15936</v>
      </c>
      <c r="H520" s="6" t="n">
        <v>9974</v>
      </c>
      <c r="I520" s="6" t="n">
        <v>5962</v>
      </c>
      <c r="J520" t="inlineStr">
        <is>
          <t>https://www2.census.gov/programs-surveys/susb/datasets/2022/msa_3digitnaics_2022.txt</t>
        </is>
      </c>
    </row>
    <row r="521">
      <c r="A521" t="inlineStr">
        <is>
          <t>micro</t>
        </is>
      </c>
      <c r="B521" t="inlineStr">
        <is>
          <t>Athens, TX Micro Area</t>
        </is>
      </c>
      <c r="C521" t="inlineStr">
        <is>
          <t>11980</t>
        </is>
      </c>
      <c r="D521" s="7" t="n">
        <v>62.5</v>
      </c>
      <c r="E521" t="n">
        <v>62.50488472059399</v>
      </c>
      <c r="F521" s="7" t="n">
        <v>37.5</v>
      </c>
      <c r="G521" s="6" t="n">
        <v>15354</v>
      </c>
      <c r="H521" s="6" t="n">
        <v>9597</v>
      </c>
      <c r="I521" s="6" t="n">
        <v>5757</v>
      </c>
      <c r="J521" t="inlineStr">
        <is>
          <t>https://www2.census.gov/programs-surveys/susb/datasets/2022/msa_3digitnaics_2022.txt</t>
        </is>
      </c>
    </row>
    <row r="522">
      <c r="A522" t="inlineStr">
        <is>
          <t>micro</t>
        </is>
      </c>
      <c r="B522" t="inlineStr">
        <is>
          <t>McPherson, KS Micro Area</t>
        </is>
      </c>
      <c r="C522" t="inlineStr">
        <is>
          <t>32700</t>
        </is>
      </c>
      <c r="D522" s="7" t="n">
        <v>62.3</v>
      </c>
      <c r="E522" t="n">
        <v>62.34444826400825</v>
      </c>
      <c r="F522" s="7" t="n">
        <v>37.7</v>
      </c>
      <c r="G522" s="6" t="n">
        <v>14545</v>
      </c>
      <c r="H522" s="6" t="n">
        <v>9068</v>
      </c>
      <c r="I522" s="6" t="n">
        <v>5477</v>
      </c>
      <c r="J522" t="inlineStr">
        <is>
          <t>https://www2.census.gov/programs-surveys/susb/datasets/2022/msa_3digitnaics_2022.txt</t>
        </is>
      </c>
    </row>
    <row r="523">
      <c r="A523" t="inlineStr">
        <is>
          <t>micro</t>
        </is>
      </c>
      <c r="B523" t="inlineStr">
        <is>
          <t>Fergus Falls, MN Micro Area</t>
        </is>
      </c>
      <c r="C523" t="inlineStr">
        <is>
          <t>22260</t>
        </is>
      </c>
      <c r="D523" s="7" t="n">
        <v>62.3</v>
      </c>
      <c r="E523" t="n">
        <v>62.25516718969808</v>
      </c>
      <c r="F523" s="7" t="n">
        <v>37.7</v>
      </c>
      <c r="G523" s="6" t="n">
        <v>18482</v>
      </c>
      <c r="H523" s="6" t="n">
        <v>11506</v>
      </c>
      <c r="I523" s="6" t="n">
        <v>6976</v>
      </c>
      <c r="J523" t="inlineStr">
        <is>
          <t>https://www2.census.gov/programs-surveys/susb/datasets/2022/msa_3digitnaics_2022.txt</t>
        </is>
      </c>
    </row>
    <row r="524">
      <c r="A524" t="inlineStr">
        <is>
          <t>micro</t>
        </is>
      </c>
      <c r="B524" t="inlineStr">
        <is>
          <t>Heber, UT Micro Area</t>
        </is>
      </c>
      <c r="C524" t="inlineStr">
        <is>
          <t>25720</t>
        </is>
      </c>
      <c r="D524" s="7" t="n">
        <v>62.2</v>
      </c>
      <c r="E524" t="n">
        <v>62.1934554128258</v>
      </c>
      <c r="F524" s="7" t="n">
        <v>37.8</v>
      </c>
      <c r="G524" s="6" t="n">
        <v>40247</v>
      </c>
      <c r="H524" s="6" t="n">
        <v>25031</v>
      </c>
      <c r="I524" s="6" t="n">
        <v>15216</v>
      </c>
      <c r="J524" t="inlineStr">
        <is>
          <t>https://www2.census.gov/programs-surveys/susb/datasets/2022/msa_3digitnaics_2022.txt</t>
        </is>
      </c>
    </row>
    <row r="525">
      <c r="A525" t="inlineStr">
        <is>
          <t>micro</t>
        </is>
      </c>
      <c r="B525" t="inlineStr">
        <is>
          <t>Jamestown, ND Micro Area</t>
        </is>
      </c>
      <c r="C525" t="inlineStr">
        <is>
          <t>27420</t>
        </is>
      </c>
      <c r="D525" s="7" t="n">
        <v>62.1</v>
      </c>
      <c r="E525" t="n">
        <v>62.14964095436646</v>
      </c>
      <c r="F525" s="7" t="n">
        <v>37.9</v>
      </c>
      <c r="G525" s="6" t="n">
        <v>8634</v>
      </c>
      <c r="H525" s="6" t="n">
        <v>5366</v>
      </c>
      <c r="I525" s="6" t="n">
        <v>3268</v>
      </c>
      <c r="J525" t="inlineStr">
        <is>
          <t>https://www2.census.gov/programs-surveys/susb/datasets/2022/msa_3digitnaics_2022.txt</t>
        </is>
      </c>
    </row>
    <row r="526">
      <c r="A526" t="inlineStr">
        <is>
          <t>micro</t>
        </is>
      </c>
      <c r="B526" t="inlineStr">
        <is>
          <t>Boone, NC Micro Area</t>
        </is>
      </c>
      <c r="C526" t="inlineStr">
        <is>
          <t>14380</t>
        </is>
      </c>
      <c r="D526" s="7" t="n">
        <v>62.1</v>
      </c>
      <c r="E526" t="n">
        <v>62.11094066999851</v>
      </c>
      <c r="F526" s="7" t="n">
        <v>37.9</v>
      </c>
      <c r="G526" s="6" t="n">
        <v>20209</v>
      </c>
      <c r="H526" s="6" t="n">
        <v>12552</v>
      </c>
      <c r="I526" s="6" t="n">
        <v>7657</v>
      </c>
      <c r="J526" t="inlineStr">
        <is>
          <t>https://www2.census.gov/programs-surveys/susb/datasets/2022/msa_3digitnaics_2022.txt</t>
        </is>
      </c>
    </row>
    <row r="527">
      <c r="A527" t="inlineStr">
        <is>
          <t>micro</t>
        </is>
      </c>
      <c r="B527" t="inlineStr">
        <is>
          <t>Huron, SD Micro Area</t>
        </is>
      </c>
      <c r="C527" t="inlineStr">
        <is>
          <t>26700</t>
        </is>
      </c>
      <c r="D527" s="7" t="n">
        <v>62</v>
      </c>
      <c r="E527" t="n">
        <v>62.02789076118535</v>
      </c>
      <c r="F527" s="7" t="n">
        <v>38</v>
      </c>
      <c r="G527" s="6" t="n">
        <v>6884</v>
      </c>
      <c r="H527" s="6" t="n">
        <v>4270</v>
      </c>
      <c r="I527" s="6" t="n">
        <v>2614</v>
      </c>
      <c r="J527" t="inlineStr">
        <is>
          <t>https://www2.census.gov/programs-surveys/susb/datasets/2022/msa_3digitnaics_2022.txt</t>
        </is>
      </c>
    </row>
    <row r="528">
      <c r="A528" t="inlineStr">
        <is>
          <t>micro</t>
        </is>
      </c>
      <c r="B528" t="inlineStr">
        <is>
          <t>Manitowoc, WI Micro Area</t>
        </is>
      </c>
      <c r="C528" t="inlineStr">
        <is>
          <t>31820</t>
        </is>
      </c>
      <c r="D528" s="7" t="n">
        <v>62</v>
      </c>
      <c r="E528" t="n">
        <v>62.00654530578851</v>
      </c>
      <c r="F528" s="7" t="n">
        <v>38</v>
      </c>
      <c r="G528" s="6" t="n">
        <v>29334</v>
      </c>
      <c r="H528" s="6" t="n">
        <v>18189</v>
      </c>
      <c r="I528" s="6" t="n">
        <v>11145</v>
      </c>
      <c r="J528" t="inlineStr">
        <is>
          <t>https://www2.census.gov/programs-surveys/susb/datasets/2022/msa_3digitnaics_2022.txt</t>
        </is>
      </c>
    </row>
    <row r="529">
      <c r="A529" t="inlineStr">
        <is>
          <t>micro</t>
        </is>
      </c>
      <c r="B529" t="inlineStr">
        <is>
          <t>Okeechobee, FL Micro Area</t>
        </is>
      </c>
      <c r="C529" t="inlineStr">
        <is>
          <t>36380</t>
        </is>
      </c>
      <c r="D529" s="7" t="n">
        <v>61.9</v>
      </c>
      <c r="E529" t="n">
        <v>61.8987019597862</v>
      </c>
      <c r="F529" s="7" t="n">
        <v>38.1</v>
      </c>
      <c r="G529" s="6" t="n">
        <v>7858</v>
      </c>
      <c r="H529" s="6" t="n">
        <v>4864</v>
      </c>
      <c r="I529" s="6" t="n">
        <v>2994</v>
      </c>
      <c r="J529" t="inlineStr">
        <is>
          <t>https://www2.census.gov/programs-surveys/susb/datasets/2022/msa_3digitnaics_2022.txt</t>
        </is>
      </c>
    </row>
    <row r="530">
      <c r="A530" t="inlineStr">
        <is>
          <t>micro</t>
        </is>
      </c>
      <c r="B530" t="inlineStr">
        <is>
          <t>Ponca City, OK Micro Area</t>
        </is>
      </c>
      <c r="C530" t="inlineStr">
        <is>
          <t>38620</t>
        </is>
      </c>
      <c r="D530" s="7" t="n">
        <v>61.8</v>
      </c>
      <c r="E530" t="n">
        <v>61.83261708791609</v>
      </c>
      <c r="F530" s="7" t="n">
        <v>38.2</v>
      </c>
      <c r="G530" s="6" t="n">
        <v>13729</v>
      </c>
      <c r="H530" s="6" t="n">
        <v>8489</v>
      </c>
      <c r="I530" s="6" t="n">
        <v>5240</v>
      </c>
      <c r="J530" t="inlineStr">
        <is>
          <t>https://www2.census.gov/programs-surveys/susb/datasets/2022/msa_3digitnaics_2022.txt</t>
        </is>
      </c>
    </row>
    <row r="531">
      <c r="A531" t="inlineStr">
        <is>
          <t>micro</t>
        </is>
      </c>
      <c r="B531" t="inlineStr">
        <is>
          <t>Town of Pecos, TX Micro Area</t>
        </is>
      </c>
      <c r="C531" t="inlineStr">
        <is>
          <t>45880</t>
        </is>
      </c>
      <c r="D531" s="7" t="n">
        <v>61.8</v>
      </c>
      <c r="E531" t="n">
        <v>61.75869120654396</v>
      </c>
      <c r="F531" s="7" t="n">
        <v>38.2</v>
      </c>
      <c r="G531" s="6" t="n">
        <v>5379</v>
      </c>
      <c r="H531" s="6" t="n">
        <v>3322</v>
      </c>
      <c r="I531" s="6" t="n">
        <v>2057</v>
      </c>
      <c r="J531" t="inlineStr">
        <is>
          <t>https://www2.census.gov/programs-surveys/susb/datasets/2022/msa_3digitnaics_2022.txt</t>
        </is>
      </c>
    </row>
    <row r="532">
      <c r="A532" t="inlineStr">
        <is>
          <t>micro</t>
        </is>
      </c>
      <c r="B532" t="inlineStr">
        <is>
          <t>Oskaloosa, IA Micro Area</t>
        </is>
      </c>
      <c r="C532" t="inlineStr">
        <is>
          <t>36820</t>
        </is>
      </c>
      <c r="D532" s="7" t="n">
        <v>61.6</v>
      </c>
      <c r="E532" t="n">
        <v>61.58339738662567</v>
      </c>
      <c r="F532" s="7" t="n">
        <v>38.4</v>
      </c>
      <c r="G532" s="6" t="n">
        <v>6505</v>
      </c>
      <c r="H532" s="6" t="n">
        <v>4006</v>
      </c>
      <c r="I532" s="6" t="n">
        <v>2499</v>
      </c>
      <c r="J532" t="inlineStr">
        <is>
          <t>https://www2.census.gov/programs-surveys/susb/datasets/2022/msa_3digitnaics_2022.txt</t>
        </is>
      </c>
    </row>
    <row r="533">
      <c r="A533" t="inlineStr">
        <is>
          <t>micro</t>
        </is>
      </c>
      <c r="B533" t="inlineStr">
        <is>
          <t>Kerrville, TX Micro Area</t>
        </is>
      </c>
      <c r="C533" t="inlineStr">
        <is>
          <t>28500</t>
        </is>
      </c>
      <c r="D533" s="7" t="n">
        <v>61.6</v>
      </c>
      <c r="E533" t="n">
        <v>61.57794567160736</v>
      </c>
      <c r="F533" s="7" t="n">
        <v>38.4</v>
      </c>
      <c r="G533" s="6" t="n">
        <v>17339</v>
      </c>
      <c r="H533" s="6" t="n">
        <v>10677</v>
      </c>
      <c r="I533" s="6" t="n">
        <v>6662</v>
      </c>
      <c r="J533" t="inlineStr">
        <is>
          <t>https://www2.census.gov/programs-surveys/susb/datasets/2022/msa_3digitnaics_2022.txt</t>
        </is>
      </c>
    </row>
    <row r="534">
      <c r="A534" t="inlineStr">
        <is>
          <t>micro</t>
        </is>
      </c>
      <c r="B534" t="inlineStr">
        <is>
          <t>Stephenville, TX Micro Area</t>
        </is>
      </c>
      <c r="C534" t="inlineStr">
        <is>
          <t>44500</t>
        </is>
      </c>
      <c r="D534" s="7" t="n">
        <v>61.6</v>
      </c>
      <c r="E534" t="n">
        <v>61.55241776445531</v>
      </c>
      <c r="F534" s="7" t="n">
        <v>38.4</v>
      </c>
      <c r="G534" s="6" t="n">
        <v>12677</v>
      </c>
      <c r="H534" s="6" t="n">
        <v>7803</v>
      </c>
      <c r="I534" s="6" t="n">
        <v>4874</v>
      </c>
      <c r="J534" t="inlineStr">
        <is>
          <t>https://www2.census.gov/programs-surveys/susb/datasets/2022/msa_3digitnaics_2022.txt</t>
        </is>
      </c>
    </row>
    <row r="535">
      <c r="A535" t="inlineStr">
        <is>
          <t>micro</t>
        </is>
      </c>
      <c r="B535" t="inlineStr">
        <is>
          <t>Petoskey, MI Micro Area</t>
        </is>
      </c>
      <c r="C535" t="inlineStr">
        <is>
          <t>37950</t>
        </is>
      </c>
      <c r="D535" s="7" t="n">
        <v>61.5</v>
      </c>
      <c r="E535" t="n">
        <v>61.51393406032778</v>
      </c>
      <c r="F535" s="7" t="n">
        <v>38.5</v>
      </c>
      <c r="G535" s="6" t="n">
        <v>15681</v>
      </c>
      <c r="H535" s="6" t="n">
        <v>9646</v>
      </c>
      <c r="I535" s="6" t="n">
        <v>6035</v>
      </c>
      <c r="J535" t="inlineStr">
        <is>
          <t>https://www2.census.gov/programs-surveys/susb/datasets/2022/msa_3digitnaics_2022.txt</t>
        </is>
      </c>
    </row>
    <row r="536">
      <c r="A536" t="inlineStr">
        <is>
          <t>micro</t>
        </is>
      </c>
      <c r="B536" t="inlineStr">
        <is>
          <t>Roseburg, OR Micro Area</t>
        </is>
      </c>
      <c r="C536" t="inlineStr">
        <is>
          <t>40700</t>
        </is>
      </c>
      <c r="D536" s="7" t="n">
        <v>61.5</v>
      </c>
      <c r="E536" t="n">
        <v>61.46746224128287</v>
      </c>
      <c r="F536" s="7" t="n">
        <v>38.5</v>
      </c>
      <c r="G536" s="6" t="n">
        <v>32178</v>
      </c>
      <c r="H536" s="6" t="n">
        <v>19779</v>
      </c>
      <c r="I536" s="6" t="n">
        <v>12399</v>
      </c>
      <c r="J536" t="inlineStr">
        <is>
          <t>https://www2.census.gov/programs-surveys/susb/datasets/2022/msa_3digitnaics_2022.txt</t>
        </is>
      </c>
    </row>
    <row r="537">
      <c r="A537" t="inlineStr">
        <is>
          <t>micro</t>
        </is>
      </c>
      <c r="B537" t="inlineStr">
        <is>
          <t>Warren, PA Micro Area</t>
        </is>
      </c>
      <c r="C537" t="inlineStr">
        <is>
          <t>47620</t>
        </is>
      </c>
      <c r="D537" s="7" t="n">
        <v>61.4</v>
      </c>
      <c r="E537" t="n">
        <v>61.36008744534666</v>
      </c>
      <c r="F537" s="7" t="n">
        <v>38.6</v>
      </c>
      <c r="G537" s="6" t="n">
        <v>12808</v>
      </c>
      <c r="H537" s="6" t="n">
        <v>7859</v>
      </c>
      <c r="I537" s="6" t="n">
        <v>4949</v>
      </c>
      <c r="J537" t="inlineStr">
        <is>
          <t>https://www2.census.gov/programs-surveys/susb/datasets/2022/msa_3digitnaics_2022.txt</t>
        </is>
      </c>
    </row>
    <row r="538">
      <c r="A538" t="inlineStr">
        <is>
          <t>micro</t>
        </is>
      </c>
      <c r="B538" t="inlineStr">
        <is>
          <t>Sweetwater, TX Micro Area</t>
        </is>
      </c>
      <c r="C538" t="inlineStr">
        <is>
          <t>45020</t>
        </is>
      </c>
      <c r="D538" s="7" t="n">
        <v>61.2</v>
      </c>
      <c r="E538" t="n">
        <v>61.22890523582865</v>
      </c>
      <c r="F538" s="7" t="n">
        <v>38.8</v>
      </c>
      <c r="G538" s="6" t="n">
        <v>4622</v>
      </c>
      <c r="H538" s="6" t="n">
        <v>2830</v>
      </c>
      <c r="I538" s="6" t="n">
        <v>1792</v>
      </c>
      <c r="J538" t="inlineStr">
        <is>
          <t>https://www2.census.gov/programs-surveys/susb/datasets/2022/msa_3digitnaics_2022.txt</t>
        </is>
      </c>
    </row>
    <row r="539">
      <c r="A539" t="inlineStr">
        <is>
          <t>micro</t>
        </is>
      </c>
      <c r="B539" t="inlineStr">
        <is>
          <t>Connersville, IN Micro Area</t>
        </is>
      </c>
      <c r="C539" t="inlineStr">
        <is>
          <t>18220</t>
        </is>
      </c>
      <c r="D539" s="7" t="n">
        <v>61.2</v>
      </c>
      <c r="E539" t="n">
        <v>61.17496807151979</v>
      </c>
      <c r="F539" s="7" t="n">
        <v>38.8</v>
      </c>
      <c r="G539" s="6" t="n">
        <v>4698</v>
      </c>
      <c r="H539" s="6" t="n">
        <v>2874</v>
      </c>
      <c r="I539" s="6" t="n">
        <v>1824</v>
      </c>
      <c r="J539" t="inlineStr">
        <is>
          <t>https://www2.census.gov/programs-surveys/susb/datasets/2022/msa_3digitnaics_2022.txt</t>
        </is>
      </c>
    </row>
    <row r="540">
      <c r="A540" t="inlineStr">
        <is>
          <t>micro</t>
        </is>
      </c>
      <c r="B540" t="inlineStr">
        <is>
          <t>Stillwater, OK Micro Area</t>
        </is>
      </c>
      <c r="C540" t="inlineStr">
        <is>
          <t>44660</t>
        </is>
      </c>
      <c r="D540" s="7" t="n">
        <v>61.2</v>
      </c>
      <c r="E540" t="n">
        <v>61.17136659436009</v>
      </c>
      <c r="F540" s="7" t="n">
        <v>38.8</v>
      </c>
      <c r="G540" s="6" t="n">
        <v>22128</v>
      </c>
      <c r="H540" s="6" t="n">
        <v>13536</v>
      </c>
      <c r="I540" s="6" t="n">
        <v>8592</v>
      </c>
      <c r="J540" t="inlineStr">
        <is>
          <t>https://www2.census.gov/programs-surveys/susb/datasets/2022/msa_3digitnaics_2022.txt</t>
        </is>
      </c>
    </row>
    <row r="541">
      <c r="A541" t="inlineStr">
        <is>
          <t>micro</t>
        </is>
      </c>
      <c r="B541" t="inlineStr">
        <is>
          <t>Breckenridge, CO Micro Area</t>
        </is>
      </c>
      <c r="C541" t="inlineStr">
        <is>
          <t>14720</t>
        </is>
      </c>
      <c r="D541" s="7" t="n">
        <v>61.1</v>
      </c>
      <c r="E541" t="n">
        <v>61.14871967371652</v>
      </c>
      <c r="F541" s="7" t="n">
        <v>38.9</v>
      </c>
      <c r="G541" s="6" t="n">
        <v>23783</v>
      </c>
      <c r="H541" s="6" t="n">
        <v>14543</v>
      </c>
      <c r="I541" s="6" t="n">
        <v>9240</v>
      </c>
      <c r="J541" t="inlineStr">
        <is>
          <t>https://www2.census.gov/programs-surveys/susb/datasets/2022/msa_3digitnaics_2022.txt</t>
        </is>
      </c>
    </row>
    <row r="542">
      <c r="A542" t="inlineStr">
        <is>
          <t>micro</t>
        </is>
      </c>
      <c r="B542" t="inlineStr">
        <is>
          <t>Waycross, GA Micro Area</t>
        </is>
      </c>
      <c r="C542" t="inlineStr">
        <is>
          <t>48180</t>
        </is>
      </c>
      <c r="D542" s="7" t="n">
        <v>61.1</v>
      </c>
      <c r="E542" t="n">
        <v>61.13018856557624</v>
      </c>
      <c r="F542" s="7" t="n">
        <v>38.9</v>
      </c>
      <c r="G542" s="6" t="n">
        <v>16599</v>
      </c>
      <c r="H542" s="6" t="n">
        <v>10147</v>
      </c>
      <c r="I542" s="6" t="n">
        <v>6452</v>
      </c>
      <c r="J542" t="inlineStr">
        <is>
          <t>https://www2.census.gov/programs-surveys/susb/datasets/2022/msa_3digitnaics_2022.txt</t>
        </is>
      </c>
    </row>
    <row r="543">
      <c r="A543" t="inlineStr">
        <is>
          <t>micro</t>
        </is>
      </c>
      <c r="B543" t="inlineStr">
        <is>
          <t>La Grande, OR Micro Area</t>
        </is>
      </c>
      <c r="C543" t="inlineStr">
        <is>
          <t>29260</t>
        </is>
      </c>
      <c r="D543" s="7" t="n">
        <v>60.8</v>
      </c>
      <c r="E543" t="n">
        <v>60.8361552487627</v>
      </c>
      <c r="F543" s="7" t="n">
        <v>39.2</v>
      </c>
      <c r="G543" s="6" t="n">
        <v>7678</v>
      </c>
      <c r="H543" s="6" t="n">
        <v>4671</v>
      </c>
      <c r="I543" s="6" t="n">
        <v>3007</v>
      </c>
      <c r="J543" t="inlineStr">
        <is>
          <t>https://www2.census.gov/programs-surveys/susb/datasets/2022/msa_3digitnaics_2022.txt</t>
        </is>
      </c>
    </row>
    <row r="544">
      <c r="A544" t="inlineStr">
        <is>
          <t>micro</t>
        </is>
      </c>
      <c r="B544" t="inlineStr">
        <is>
          <t>Magnolia, AR Micro Area</t>
        </is>
      </c>
      <c r="C544" t="inlineStr">
        <is>
          <t>31620</t>
        </is>
      </c>
      <c r="D544" s="7" t="n">
        <v>60.8</v>
      </c>
      <c r="E544" t="n">
        <v>60.79177233023387</v>
      </c>
      <c r="F544" s="7" t="n">
        <v>39.2</v>
      </c>
      <c r="G544" s="6" t="n">
        <v>7098</v>
      </c>
      <c r="H544" s="6" t="n">
        <v>4315</v>
      </c>
      <c r="I544" s="6" t="n">
        <v>2783</v>
      </c>
      <c r="J544" t="inlineStr">
        <is>
          <t>https://www2.census.gov/programs-surveys/susb/datasets/2022/msa_3digitnaics_2022.txt</t>
        </is>
      </c>
    </row>
    <row r="545">
      <c r="A545" t="inlineStr">
        <is>
          <t>micro</t>
        </is>
      </c>
      <c r="B545" t="inlineStr">
        <is>
          <t>Centralia, WA Micro Area</t>
        </is>
      </c>
      <c r="C545" t="inlineStr">
        <is>
          <t>16500</t>
        </is>
      </c>
      <c r="D545" s="7" t="n">
        <v>60.8</v>
      </c>
      <c r="E545" t="n">
        <v>60.78189863601113</v>
      </c>
      <c r="F545" s="7" t="n">
        <v>39.2</v>
      </c>
      <c r="G545" s="6" t="n">
        <v>21921</v>
      </c>
      <c r="H545" s="6" t="n">
        <v>13324</v>
      </c>
      <c r="I545" s="6" t="n">
        <v>8597</v>
      </c>
      <c r="J545" t="inlineStr">
        <is>
          <t>https://www2.census.gov/programs-surveys/susb/datasets/2022/msa_3digitnaics_2022.txt</t>
        </is>
      </c>
    </row>
    <row r="546">
      <c r="A546" t="inlineStr">
        <is>
          <t>micro</t>
        </is>
      </c>
      <c r="B546" t="inlineStr">
        <is>
          <t>Paris, TN Micro Area</t>
        </is>
      </c>
      <c r="C546" t="inlineStr">
        <is>
          <t>37540</t>
        </is>
      </c>
      <c r="D546" s="7" t="n">
        <v>60.7</v>
      </c>
      <c r="E546" t="n">
        <v>60.73612809963305</v>
      </c>
      <c r="F546" s="7" t="n">
        <v>39.3</v>
      </c>
      <c r="G546" s="6" t="n">
        <v>8993</v>
      </c>
      <c r="H546" s="6" t="n">
        <v>5462</v>
      </c>
      <c r="I546" s="6" t="n">
        <v>3531</v>
      </c>
      <c r="J546" t="inlineStr">
        <is>
          <t>https://www2.census.gov/programs-surveys/susb/datasets/2022/msa_3digitnaics_2022.txt</t>
        </is>
      </c>
    </row>
    <row r="547">
      <c r="A547" t="inlineStr">
        <is>
          <t>micro</t>
        </is>
      </c>
      <c r="B547" t="inlineStr">
        <is>
          <t>Platteville, WI Micro Area</t>
        </is>
      </c>
      <c r="C547" t="inlineStr">
        <is>
          <t>38420</t>
        </is>
      </c>
      <c r="D547" s="7" t="n">
        <v>60.7</v>
      </c>
      <c r="E547" t="n">
        <v>60.72476409483784</v>
      </c>
      <c r="F547" s="7" t="n">
        <v>39.3</v>
      </c>
      <c r="G547" s="6" t="n">
        <v>12611</v>
      </c>
      <c r="H547" s="6" t="n">
        <v>7658</v>
      </c>
      <c r="I547" s="6" t="n">
        <v>4953</v>
      </c>
      <c r="J547" t="inlineStr">
        <is>
          <t>https://www2.census.gov/programs-surveys/susb/datasets/2022/msa_3digitnaics_2022.txt</t>
        </is>
      </c>
    </row>
    <row r="548">
      <c r="A548" t="inlineStr">
        <is>
          <t>micro</t>
        </is>
      </c>
      <c r="B548" t="inlineStr">
        <is>
          <t>Fitzgerald, GA Micro Area</t>
        </is>
      </c>
      <c r="C548" t="inlineStr">
        <is>
          <t>22340</t>
        </is>
      </c>
      <c r="D548" s="7" t="n">
        <v>60.7</v>
      </c>
      <c r="E548" t="n">
        <v>60.69673961589996</v>
      </c>
      <c r="F548" s="7" t="n">
        <v>39.3</v>
      </c>
      <c r="G548" s="6" t="n">
        <v>4478</v>
      </c>
      <c r="H548" s="6" t="n">
        <v>2718</v>
      </c>
      <c r="I548" s="6" t="n">
        <v>1760</v>
      </c>
      <c r="J548" t="inlineStr">
        <is>
          <t>https://www2.census.gov/programs-surveys/susb/datasets/2022/msa_3digitnaics_2022.txt</t>
        </is>
      </c>
    </row>
    <row r="549">
      <c r="A549" t="inlineStr">
        <is>
          <t>micro</t>
        </is>
      </c>
      <c r="B549" t="inlineStr">
        <is>
          <t>Union City, TN Micro Area</t>
        </is>
      </c>
      <c r="C549" t="inlineStr">
        <is>
          <t>46460</t>
        </is>
      </c>
      <c r="D549" s="7" t="n">
        <v>60.7</v>
      </c>
      <c r="E549" t="n">
        <v>60.66755378132623</v>
      </c>
      <c r="F549" s="7" t="n">
        <v>39.3</v>
      </c>
      <c r="G549" s="6" t="n">
        <v>9018</v>
      </c>
      <c r="H549" s="6" t="n">
        <v>5471</v>
      </c>
      <c r="I549" s="6" t="n">
        <v>3547</v>
      </c>
      <c r="J549" t="inlineStr">
        <is>
          <t>https://www2.census.gov/programs-surveys/susb/datasets/2022/msa_3digitnaics_2022.txt</t>
        </is>
      </c>
    </row>
    <row r="550">
      <c r="A550" t="inlineStr">
        <is>
          <t>micro</t>
        </is>
      </c>
      <c r="B550" t="inlineStr">
        <is>
          <t>Olean, NY Micro Area</t>
        </is>
      </c>
      <c r="C550" t="inlineStr">
        <is>
          <t>36460</t>
        </is>
      </c>
      <c r="D550" s="7" t="n">
        <v>60.6</v>
      </c>
      <c r="E550" t="n">
        <v>60.60362980046124</v>
      </c>
      <c r="F550" s="7" t="n">
        <v>39.4</v>
      </c>
      <c r="G550" s="6" t="n">
        <v>19946</v>
      </c>
      <c r="H550" s="6" t="n">
        <v>12088</v>
      </c>
      <c r="I550" s="6" t="n">
        <v>7858</v>
      </c>
      <c r="J550" t="inlineStr">
        <is>
          <t>https://www2.census.gov/programs-surveys/susb/datasets/2022/msa_3digitnaics_2022.txt</t>
        </is>
      </c>
    </row>
    <row r="551">
      <c r="A551" t="inlineStr">
        <is>
          <t>micro</t>
        </is>
      </c>
      <c r="B551" t="inlineStr">
        <is>
          <t>Palatka, FL Micro Area</t>
        </is>
      </c>
      <c r="C551" t="inlineStr">
        <is>
          <t>37260</t>
        </is>
      </c>
      <c r="D551" s="7" t="n">
        <v>60.5</v>
      </c>
      <c r="E551" t="n">
        <v>60.50458368058186</v>
      </c>
      <c r="F551" s="7" t="n">
        <v>39.5</v>
      </c>
      <c r="G551" s="6" t="n">
        <v>13199</v>
      </c>
      <c r="H551" s="6" t="n">
        <v>7986</v>
      </c>
      <c r="I551" s="6" t="n">
        <v>5213</v>
      </c>
      <c r="J551" t="inlineStr">
        <is>
          <t>https://www2.census.gov/programs-surveys/susb/datasets/2022/msa_3digitnaics_2022.txt</t>
        </is>
      </c>
    </row>
    <row r="552">
      <c r="A552" t="inlineStr">
        <is>
          <t>micro</t>
        </is>
      </c>
      <c r="B552" t="inlineStr">
        <is>
          <t>Winnemucca, NV Micro Area</t>
        </is>
      </c>
      <c r="C552" t="inlineStr">
        <is>
          <t>49080</t>
        </is>
      </c>
      <c r="D552" s="7" t="n">
        <v>60.5</v>
      </c>
      <c r="E552" t="n">
        <v>60.45867323380021</v>
      </c>
      <c r="F552" s="7" t="n">
        <v>39.5</v>
      </c>
      <c r="G552" s="6" t="n">
        <v>6497</v>
      </c>
      <c r="H552" s="6" t="n">
        <v>3928</v>
      </c>
      <c r="I552" s="6" t="n">
        <v>2569</v>
      </c>
      <c r="J552" t="inlineStr">
        <is>
          <t>https://www2.census.gov/programs-surveys/susb/datasets/2022/msa_3digitnaics_2022.txt</t>
        </is>
      </c>
    </row>
    <row r="553">
      <c r="A553" t="inlineStr">
        <is>
          <t>micro</t>
        </is>
      </c>
      <c r="B553" t="inlineStr">
        <is>
          <t>Huntingdon, PA Micro Area</t>
        </is>
      </c>
      <c r="C553" t="inlineStr">
        <is>
          <t>26500</t>
        </is>
      </c>
      <c r="D553" s="7" t="n">
        <v>60.5</v>
      </c>
      <c r="E553" t="n">
        <v>60.45039435450394</v>
      </c>
      <c r="F553" s="7" t="n">
        <v>39.5</v>
      </c>
      <c r="G553" s="6" t="n">
        <v>9636</v>
      </c>
      <c r="H553" s="6" t="n">
        <v>5825</v>
      </c>
      <c r="I553" s="6" t="n">
        <v>3811</v>
      </c>
      <c r="J553" t="inlineStr">
        <is>
          <t>https://www2.census.gov/programs-surveys/susb/datasets/2022/msa_3digitnaics_2022.txt</t>
        </is>
      </c>
    </row>
    <row r="554">
      <c r="A554" t="inlineStr">
        <is>
          <t>micro</t>
        </is>
      </c>
      <c r="B554" t="inlineStr">
        <is>
          <t>Othello, WA Micro Area</t>
        </is>
      </c>
      <c r="C554" t="inlineStr">
        <is>
          <t>36830</t>
        </is>
      </c>
      <c r="D554" s="7" t="n">
        <v>60.4</v>
      </c>
      <c r="E554" t="n">
        <v>60.44743701129453</v>
      </c>
      <c r="F554" s="7" t="n">
        <v>39.6</v>
      </c>
      <c r="G554" s="6" t="n">
        <v>4604</v>
      </c>
      <c r="H554" s="6" t="n">
        <v>2783</v>
      </c>
      <c r="I554" s="6" t="n">
        <v>1821</v>
      </c>
      <c r="J554" t="inlineStr">
        <is>
          <t>https://www2.census.gov/programs-surveys/susb/datasets/2022/msa_3digitnaics_2022.txt</t>
        </is>
      </c>
    </row>
    <row r="555">
      <c r="A555" t="inlineStr">
        <is>
          <t>micro</t>
        </is>
      </c>
      <c r="B555" t="inlineStr">
        <is>
          <t>Opelousas, LA Micro Area</t>
        </is>
      </c>
      <c r="C555" t="inlineStr">
        <is>
          <t>36660</t>
        </is>
      </c>
      <c r="D555" s="7" t="n">
        <v>60.4</v>
      </c>
      <c r="E555" t="n">
        <v>60.43696486566283</v>
      </c>
      <c r="F555" s="7" t="n">
        <v>39.6</v>
      </c>
      <c r="G555" s="6" t="n">
        <v>20322</v>
      </c>
      <c r="H555" s="6" t="n">
        <v>12282</v>
      </c>
      <c r="I555" s="6" t="n">
        <v>8040</v>
      </c>
      <c r="J555" t="inlineStr">
        <is>
          <t>https://www2.census.gov/programs-surveys/susb/datasets/2022/msa_3digitnaics_2022.txt</t>
        </is>
      </c>
    </row>
    <row r="556">
      <c r="A556" t="inlineStr">
        <is>
          <t>micro</t>
        </is>
      </c>
      <c r="B556" t="inlineStr">
        <is>
          <t>Owosso, MI Micro Area</t>
        </is>
      </c>
      <c r="C556" t="inlineStr">
        <is>
          <t>37020</t>
        </is>
      </c>
      <c r="D556" s="7" t="n">
        <v>60.4</v>
      </c>
      <c r="E556" t="n">
        <v>60.39611196375064</v>
      </c>
      <c r="F556" s="7" t="n">
        <v>39.6</v>
      </c>
      <c r="G556" s="6" t="n">
        <v>13683</v>
      </c>
      <c r="H556" s="6" t="n">
        <v>8264</v>
      </c>
      <c r="I556" s="6" t="n">
        <v>5419</v>
      </c>
      <c r="J556" t="inlineStr">
        <is>
          <t>https://www2.census.gov/programs-surveys/susb/datasets/2022/msa_3digitnaics_2022.txt</t>
        </is>
      </c>
    </row>
    <row r="557">
      <c r="A557" t="inlineStr">
        <is>
          <t>micro</t>
        </is>
      </c>
      <c r="B557" t="inlineStr">
        <is>
          <t>Oil City, PA Micro Area</t>
        </is>
      </c>
      <c r="C557" t="inlineStr">
        <is>
          <t>36340</t>
        </is>
      </c>
      <c r="D557" s="7" t="n">
        <v>60.1</v>
      </c>
      <c r="E557" t="n">
        <v>60.09913258983891</v>
      </c>
      <c r="F557" s="7" t="n">
        <v>39.9</v>
      </c>
      <c r="G557" s="6" t="n">
        <v>14526</v>
      </c>
      <c r="H557" s="6" t="n">
        <v>8730</v>
      </c>
      <c r="I557" s="6" t="n">
        <v>5796</v>
      </c>
      <c r="J557" t="inlineStr">
        <is>
          <t>https://www2.census.gov/programs-surveys/susb/datasets/2022/msa_3digitnaics_2022.txt</t>
        </is>
      </c>
    </row>
    <row r="558">
      <c r="A558" t="inlineStr">
        <is>
          <t>micro</t>
        </is>
      </c>
      <c r="B558" t="inlineStr">
        <is>
          <t>Altus, OK Micro Area</t>
        </is>
      </c>
      <c r="C558" t="inlineStr">
        <is>
          <t>11060</t>
        </is>
      </c>
      <c r="D558" s="7" t="n">
        <v>60</v>
      </c>
      <c r="E558" t="n">
        <v>60.02197457228065</v>
      </c>
      <c r="F558" s="7" t="n">
        <v>40</v>
      </c>
      <c r="G558" s="6" t="n">
        <v>6371</v>
      </c>
      <c r="H558" s="6" t="n">
        <v>3824</v>
      </c>
      <c r="I558" s="6" t="n">
        <v>2547</v>
      </c>
      <c r="J558" t="inlineStr">
        <is>
          <t>https://www2.census.gov/programs-surveys/susb/datasets/2022/msa_3digitnaics_2022.txt</t>
        </is>
      </c>
    </row>
    <row r="559">
      <c r="A559" t="inlineStr">
        <is>
          <t>micro</t>
        </is>
      </c>
      <c r="B559" t="inlineStr">
        <is>
          <t>Mountain Home, ID Micro Area</t>
        </is>
      </c>
      <c r="C559" t="inlineStr">
        <is>
          <t>34300</t>
        </is>
      </c>
      <c r="D559" s="7" t="n">
        <v>60</v>
      </c>
      <c r="E559" t="n">
        <v>59.95967741935484</v>
      </c>
      <c r="F559" s="7" t="n">
        <v>40</v>
      </c>
      <c r="G559" s="6" t="n">
        <v>4960</v>
      </c>
      <c r="H559" s="6" t="n">
        <v>2974</v>
      </c>
      <c r="I559" s="6" t="n">
        <v>1986</v>
      </c>
      <c r="J559" t="inlineStr">
        <is>
          <t>https://www2.census.gov/programs-surveys/susb/datasets/2022/msa_3digitnaics_2022.txt</t>
        </is>
      </c>
    </row>
    <row r="560">
      <c r="A560" t="inlineStr">
        <is>
          <t>micro</t>
        </is>
      </c>
      <c r="B560" t="inlineStr">
        <is>
          <t>Huntsville, TX Micro Area</t>
        </is>
      </c>
      <c r="C560" t="inlineStr">
        <is>
          <t>26660</t>
        </is>
      </c>
      <c r="D560" s="7" t="n">
        <v>59.9</v>
      </c>
      <c r="E560" t="n">
        <v>59.94722955145119</v>
      </c>
      <c r="F560" s="7" t="n">
        <v>40.1</v>
      </c>
      <c r="G560" s="6" t="n">
        <v>13265</v>
      </c>
      <c r="H560" s="6" t="n">
        <v>7952</v>
      </c>
      <c r="I560" s="6" t="n">
        <v>5313</v>
      </c>
      <c r="J560" t="inlineStr">
        <is>
          <t>https://www2.census.gov/programs-surveys/susb/datasets/2022/msa_3digitnaics_2022.txt</t>
        </is>
      </c>
    </row>
    <row r="561">
      <c r="A561" t="inlineStr">
        <is>
          <t>micro</t>
        </is>
      </c>
      <c r="B561" t="inlineStr">
        <is>
          <t>Taylorville, IL Micro Area</t>
        </is>
      </c>
      <c r="C561" t="inlineStr">
        <is>
          <t>45380</t>
        </is>
      </c>
      <c r="D561" s="7" t="n">
        <v>59.8</v>
      </c>
      <c r="E561" t="n">
        <v>59.79494190020506</v>
      </c>
      <c r="F561" s="7" t="n">
        <v>40.2</v>
      </c>
      <c r="G561" s="6" t="n">
        <v>7315</v>
      </c>
      <c r="H561" s="6" t="n">
        <v>4374</v>
      </c>
      <c r="I561" s="6" t="n">
        <v>2941</v>
      </c>
      <c r="J561" t="inlineStr">
        <is>
          <t>https://www2.census.gov/programs-surveys/susb/datasets/2022/msa_3digitnaics_2022.txt</t>
        </is>
      </c>
    </row>
    <row r="562">
      <c r="A562" t="inlineStr">
        <is>
          <t>micro</t>
        </is>
      </c>
      <c r="B562" t="inlineStr">
        <is>
          <t>Peru, IN Micro Area</t>
        </is>
      </c>
      <c r="C562" t="inlineStr">
        <is>
          <t>37940</t>
        </is>
      </c>
      <c r="D562" s="7" t="n">
        <v>59.8</v>
      </c>
      <c r="E562" t="n">
        <v>59.76899300471775</v>
      </c>
      <c r="F562" s="7" t="n">
        <v>40.2</v>
      </c>
      <c r="G562" s="6" t="n">
        <v>6147</v>
      </c>
      <c r="H562" s="6" t="n">
        <v>3674</v>
      </c>
      <c r="I562" s="6" t="n">
        <v>2473</v>
      </c>
      <c r="J562" t="inlineStr">
        <is>
          <t>https://www2.census.gov/programs-surveys/susb/datasets/2022/msa_3digitnaics_2022.txt</t>
        </is>
      </c>
    </row>
    <row r="563">
      <c r="A563" t="inlineStr">
        <is>
          <t>micro</t>
        </is>
      </c>
      <c r="B563" t="inlineStr">
        <is>
          <t>Canton, IL Micro Area</t>
        </is>
      </c>
      <c r="C563" t="inlineStr">
        <is>
          <t>15900</t>
        </is>
      </c>
      <c r="D563" s="7" t="n">
        <v>59.7</v>
      </c>
      <c r="E563" t="n">
        <v>59.6794668359251</v>
      </c>
      <c r="F563" s="7" t="n">
        <v>40.3</v>
      </c>
      <c r="G563" s="6" t="n">
        <v>6302</v>
      </c>
      <c r="H563" s="6" t="n">
        <v>3761</v>
      </c>
      <c r="I563" s="6" t="n">
        <v>2541</v>
      </c>
      <c r="J563" t="inlineStr">
        <is>
          <t>https://www2.census.gov/programs-surveys/susb/datasets/2022/msa_3digitnaics_2022.txt</t>
        </is>
      </c>
    </row>
    <row r="564">
      <c r="A564" t="inlineStr">
        <is>
          <t>micro</t>
        </is>
      </c>
      <c r="B564" t="inlineStr">
        <is>
          <t>Fallon, NV Micro Area</t>
        </is>
      </c>
      <c r="C564" t="inlineStr">
        <is>
          <t>21980</t>
        </is>
      </c>
      <c r="D564" s="7" t="n">
        <v>59.7</v>
      </c>
      <c r="E564" t="n">
        <v>59.67370101081752</v>
      </c>
      <c r="F564" s="7" t="n">
        <v>40.3</v>
      </c>
      <c r="G564" s="6" t="n">
        <v>5639</v>
      </c>
      <c r="H564" s="6" t="n">
        <v>3365</v>
      </c>
      <c r="I564" s="6" t="n">
        <v>2274</v>
      </c>
      <c r="J564" t="inlineStr">
        <is>
          <t>https://www2.census.gov/programs-surveys/susb/datasets/2022/msa_3digitnaics_2022.txt</t>
        </is>
      </c>
    </row>
    <row r="565">
      <c r="A565" t="inlineStr">
        <is>
          <t>micro</t>
        </is>
      </c>
      <c r="B565" t="inlineStr">
        <is>
          <t>Bainbridge, GA Micro Area</t>
        </is>
      </c>
      <c r="C565" t="inlineStr">
        <is>
          <t>12460</t>
        </is>
      </c>
      <c r="D565" s="7" t="n">
        <v>59.6</v>
      </c>
      <c r="E565" t="n">
        <v>59.60663633930961</v>
      </c>
      <c r="F565" s="7" t="n">
        <v>40.4</v>
      </c>
      <c r="G565" s="6" t="n">
        <v>7474</v>
      </c>
      <c r="H565" s="6" t="n">
        <v>4455</v>
      </c>
      <c r="I565" s="6" t="n">
        <v>3019</v>
      </c>
      <c r="J565" t="inlineStr">
        <is>
          <t>https://www2.census.gov/programs-surveys/susb/datasets/2022/msa_3digitnaics_2022.txt</t>
        </is>
      </c>
    </row>
    <row r="566">
      <c r="A566" t="inlineStr">
        <is>
          <t>micro</t>
        </is>
      </c>
      <c r="B566" t="inlineStr">
        <is>
          <t>Rutland, VT Micro Area</t>
        </is>
      </c>
      <c r="C566" t="inlineStr">
        <is>
          <t>40860</t>
        </is>
      </c>
      <c r="D566" s="7" t="n">
        <v>59.6</v>
      </c>
      <c r="E566" t="n">
        <v>59.55294648904945</v>
      </c>
      <c r="F566" s="7" t="n">
        <v>40.4</v>
      </c>
      <c r="G566" s="6" t="n">
        <v>22145</v>
      </c>
      <c r="H566" s="6" t="n">
        <v>13188</v>
      </c>
      <c r="I566" s="6" t="n">
        <v>8957</v>
      </c>
      <c r="J566" t="inlineStr">
        <is>
          <t>https://www2.census.gov/programs-surveys/susb/datasets/2022/msa_3digitnaics_2022.txt</t>
        </is>
      </c>
    </row>
    <row r="567">
      <c r="A567" t="inlineStr">
        <is>
          <t>micro</t>
        </is>
      </c>
      <c r="B567" t="inlineStr">
        <is>
          <t>Enterprise, AL Micro Area</t>
        </is>
      </c>
      <c r="C567" t="inlineStr">
        <is>
          <t>21460</t>
        </is>
      </c>
      <c r="D567" s="7" t="n">
        <v>59.4</v>
      </c>
      <c r="E567" t="n">
        <v>59.44090240313879</v>
      </c>
      <c r="F567" s="7" t="n">
        <v>40.6</v>
      </c>
      <c r="G567" s="6" t="n">
        <v>14273</v>
      </c>
      <c r="H567" s="6" t="n">
        <v>8484</v>
      </c>
      <c r="I567" s="6" t="n">
        <v>5789</v>
      </c>
      <c r="J567" t="inlineStr">
        <is>
          <t>https://www2.census.gov/programs-surveys/susb/datasets/2022/msa_3digitnaics_2022.txt</t>
        </is>
      </c>
    </row>
    <row r="568">
      <c r="A568" t="inlineStr">
        <is>
          <t>micro</t>
        </is>
      </c>
      <c r="B568" t="inlineStr">
        <is>
          <t>The Dalles, OR Micro Area</t>
        </is>
      </c>
      <c r="C568" t="inlineStr">
        <is>
          <t>45520</t>
        </is>
      </c>
      <c r="D568" s="7" t="n">
        <v>59.4</v>
      </c>
      <c r="E568" t="n">
        <v>59.39498933901919</v>
      </c>
      <c r="F568" s="7" t="n">
        <v>40.6</v>
      </c>
      <c r="G568" s="6" t="n">
        <v>7504</v>
      </c>
      <c r="H568" s="6" t="n">
        <v>4457</v>
      </c>
      <c r="I568" s="6" t="n">
        <v>3047</v>
      </c>
      <c r="J568" t="inlineStr">
        <is>
          <t>https://www2.census.gov/programs-surveys/susb/datasets/2022/msa_3digitnaics_2022.txt</t>
        </is>
      </c>
    </row>
    <row r="569">
      <c r="A569" t="inlineStr">
        <is>
          <t>micro</t>
        </is>
      </c>
      <c r="B569" t="inlineStr">
        <is>
          <t>Spirit Lake, IA Micro Area</t>
        </is>
      </c>
      <c r="C569" t="inlineStr">
        <is>
          <t>44020</t>
        </is>
      </c>
      <c r="D569" s="7" t="n">
        <v>59.3</v>
      </c>
      <c r="E569" t="n">
        <v>59.34095860566449</v>
      </c>
      <c r="F569" s="7" t="n">
        <v>40.7</v>
      </c>
      <c r="G569" s="6" t="n">
        <v>7344</v>
      </c>
      <c r="H569" s="6" t="n">
        <v>4358</v>
      </c>
      <c r="I569" s="6" t="n">
        <v>2986</v>
      </c>
      <c r="J569" t="inlineStr">
        <is>
          <t>https://www2.census.gov/programs-surveys/susb/datasets/2022/msa_3digitnaics_2022.txt</t>
        </is>
      </c>
    </row>
    <row r="570">
      <c r="A570" t="inlineStr">
        <is>
          <t>micro</t>
        </is>
      </c>
      <c r="B570" t="inlineStr">
        <is>
          <t>Albert Lea, MN Micro Area</t>
        </is>
      </c>
      <c r="C570" t="inlineStr">
        <is>
          <t>10660</t>
        </is>
      </c>
      <c r="D570" s="7" t="n">
        <v>59.3</v>
      </c>
      <c r="E570" t="n">
        <v>59.33525206573206</v>
      </c>
      <c r="F570" s="7" t="n">
        <v>40.7</v>
      </c>
      <c r="G570" s="6" t="n">
        <v>10771</v>
      </c>
      <c r="H570" s="6" t="n">
        <v>6391</v>
      </c>
      <c r="I570" s="6" t="n">
        <v>4380</v>
      </c>
      <c r="J570" t="inlineStr">
        <is>
          <t>https://www2.census.gov/programs-surveys/susb/datasets/2022/msa_3digitnaics_2022.txt</t>
        </is>
      </c>
    </row>
    <row r="571">
      <c r="A571" t="inlineStr">
        <is>
          <t>micro</t>
        </is>
      </c>
      <c r="B571" t="inlineStr">
        <is>
          <t>Española, NM Micro Area</t>
        </is>
      </c>
      <c r="C571" t="inlineStr">
        <is>
          <t>21580</t>
        </is>
      </c>
      <c r="D571" s="7" t="n">
        <v>59.3</v>
      </c>
      <c r="E571" t="n">
        <v>59.32686822589846</v>
      </c>
      <c r="F571" s="7" t="n">
        <v>40.7</v>
      </c>
      <c r="G571" s="6" t="n">
        <v>5259</v>
      </c>
      <c r="H571" s="6" t="n">
        <v>3120</v>
      </c>
      <c r="I571" s="6" t="n">
        <v>2139</v>
      </c>
      <c r="J571" t="inlineStr">
        <is>
          <t>https://www2.census.gov/programs-surveys/susb/datasets/2022/msa_3digitnaics_2022.txt</t>
        </is>
      </c>
    </row>
    <row r="572">
      <c r="A572" t="inlineStr">
        <is>
          <t>micro</t>
        </is>
      </c>
      <c r="B572" t="inlineStr">
        <is>
          <t>Greenwood, MS Micro Area</t>
        </is>
      </c>
      <c r="C572" t="inlineStr">
        <is>
          <t>24900</t>
        </is>
      </c>
      <c r="D572" s="7" t="n">
        <v>59.3</v>
      </c>
      <c r="E572" t="n">
        <v>59.31708991077556</v>
      </c>
      <c r="F572" s="7" t="n">
        <v>40.7</v>
      </c>
      <c r="G572" s="6" t="n">
        <v>11656</v>
      </c>
      <c r="H572" s="6" t="n">
        <v>6914</v>
      </c>
      <c r="I572" s="6" t="n">
        <v>4742</v>
      </c>
      <c r="J572" t="inlineStr">
        <is>
          <t>https://www2.census.gov/programs-surveys/susb/datasets/2022/msa_3digitnaics_2022.txt</t>
        </is>
      </c>
    </row>
    <row r="573">
      <c r="A573" t="inlineStr">
        <is>
          <t>micro</t>
        </is>
      </c>
      <c r="B573" t="inlineStr">
        <is>
          <t>Fayetteville, TN Micro Area</t>
        </is>
      </c>
      <c r="C573" t="inlineStr">
        <is>
          <t>22190</t>
        </is>
      </c>
      <c r="D573" s="7" t="n">
        <v>59.3</v>
      </c>
      <c r="E573" t="n">
        <v>59.27698032961191</v>
      </c>
      <c r="F573" s="7" t="n">
        <v>40.7</v>
      </c>
      <c r="G573" s="6" t="n">
        <v>7524</v>
      </c>
      <c r="H573" s="6" t="n">
        <v>4460</v>
      </c>
      <c r="I573" s="6" t="n">
        <v>3064</v>
      </c>
      <c r="J573" t="inlineStr">
        <is>
          <t>https://www2.census.gov/programs-surveys/susb/datasets/2022/msa_3digitnaics_2022.txt</t>
        </is>
      </c>
    </row>
    <row r="574">
      <c r="A574" t="inlineStr">
        <is>
          <t>micro</t>
        </is>
      </c>
      <c r="B574" t="inlineStr">
        <is>
          <t>Decatur, IN Micro Area</t>
        </is>
      </c>
      <c r="C574" t="inlineStr">
        <is>
          <t>19540</t>
        </is>
      </c>
      <c r="D574" s="7" t="n">
        <v>59.3</v>
      </c>
      <c r="E574" t="n">
        <v>59.26289926289926</v>
      </c>
      <c r="F574" s="7" t="n">
        <v>40.7</v>
      </c>
      <c r="G574" s="6" t="n">
        <v>12210</v>
      </c>
      <c r="H574" s="6" t="n">
        <v>7236</v>
      </c>
      <c r="I574" s="6" t="n">
        <v>4974</v>
      </c>
      <c r="J574" t="inlineStr">
        <is>
          <t>https://www2.census.gov/programs-surveys/susb/datasets/2022/msa_3digitnaics_2022.txt</t>
        </is>
      </c>
    </row>
    <row r="575">
      <c r="A575" t="inlineStr">
        <is>
          <t>micro</t>
        </is>
      </c>
      <c r="B575" t="inlineStr">
        <is>
          <t>Hilo-Kailua, HI Micro Area</t>
        </is>
      </c>
      <c r="C575" t="inlineStr">
        <is>
          <t>25900</t>
        </is>
      </c>
      <c r="D575" s="7" t="n">
        <v>59.2</v>
      </c>
      <c r="E575" t="n">
        <v>59.22388964680916</v>
      </c>
      <c r="F575" s="7" t="n">
        <v>40.8</v>
      </c>
      <c r="G575" s="6" t="n">
        <v>52776</v>
      </c>
      <c r="H575" s="6" t="n">
        <v>31256</v>
      </c>
      <c r="I575" s="6" t="n">
        <v>21520</v>
      </c>
      <c r="J575" t="inlineStr">
        <is>
          <t>https://www2.census.gov/programs-surveys/susb/datasets/2022/msa_3digitnaics_2022.txt</t>
        </is>
      </c>
    </row>
    <row r="576">
      <c r="A576" t="inlineStr">
        <is>
          <t>micro</t>
        </is>
      </c>
      <c r="B576" t="inlineStr">
        <is>
          <t>Mitchell, SD Micro Area</t>
        </is>
      </c>
      <c r="C576" t="inlineStr">
        <is>
          <t>33580</t>
        </is>
      </c>
      <c r="D576" s="7" t="n">
        <v>59.2</v>
      </c>
      <c r="E576" t="n">
        <v>59.2175010517459</v>
      </c>
      <c r="F576" s="7" t="n">
        <v>40.8</v>
      </c>
      <c r="G576" s="6" t="n">
        <v>11885</v>
      </c>
      <c r="H576" s="6" t="n">
        <v>7038</v>
      </c>
      <c r="I576" s="6" t="n">
        <v>4847</v>
      </c>
      <c r="J576" t="inlineStr">
        <is>
          <t>https://www2.census.gov/programs-surveys/susb/datasets/2022/msa_3digitnaics_2022.txt</t>
        </is>
      </c>
    </row>
    <row r="577">
      <c r="A577" t="inlineStr">
        <is>
          <t>micro</t>
        </is>
      </c>
      <c r="B577" t="inlineStr">
        <is>
          <t>Kapaa, HI Micro Area</t>
        </is>
      </c>
      <c r="C577" t="inlineStr">
        <is>
          <t>28180</t>
        </is>
      </c>
      <c r="D577" s="7" t="n">
        <v>59.2</v>
      </c>
      <c r="E577" t="n">
        <v>59.21011551670309</v>
      </c>
      <c r="F577" s="7" t="n">
        <v>40.8</v>
      </c>
      <c r="G577" s="6" t="n">
        <v>25624</v>
      </c>
      <c r="H577" s="6" t="n">
        <v>15172</v>
      </c>
      <c r="I577" s="6" t="n">
        <v>10452</v>
      </c>
      <c r="J577" t="inlineStr">
        <is>
          <t>https://www2.census.gov/programs-surveys/susb/datasets/2022/msa_3digitnaics_2022.txt</t>
        </is>
      </c>
    </row>
    <row r="578">
      <c r="A578" t="inlineStr">
        <is>
          <t>micro</t>
        </is>
      </c>
      <c r="B578" t="inlineStr">
        <is>
          <t>McAlester, OK Micro Area</t>
        </is>
      </c>
      <c r="C578" t="inlineStr">
        <is>
          <t>32540</t>
        </is>
      </c>
      <c r="D578" s="7" t="n">
        <v>59.1</v>
      </c>
      <c r="E578" t="n">
        <v>59.1044776119403</v>
      </c>
      <c r="F578" s="7" t="n">
        <v>40.9</v>
      </c>
      <c r="G578" s="6" t="n">
        <v>10050</v>
      </c>
      <c r="H578" s="6" t="n">
        <v>5940</v>
      </c>
      <c r="I578" s="6" t="n">
        <v>4110</v>
      </c>
      <c r="J578" t="inlineStr">
        <is>
          <t>https://www2.census.gov/programs-surveys/susb/datasets/2022/msa_3digitnaics_2022.txt</t>
        </is>
      </c>
    </row>
    <row r="579">
      <c r="A579" t="inlineStr">
        <is>
          <t>micro</t>
        </is>
      </c>
      <c r="B579" t="inlineStr">
        <is>
          <t>Alexandria, MN Micro Area</t>
        </is>
      </c>
      <c r="C579" t="inlineStr">
        <is>
          <t>10820</t>
        </is>
      </c>
      <c r="D579" s="7" t="n">
        <v>59.1</v>
      </c>
      <c r="E579" t="n">
        <v>59.09141895681436</v>
      </c>
      <c r="F579" s="7" t="n">
        <v>40.9</v>
      </c>
      <c r="G579" s="6" t="n">
        <v>17830</v>
      </c>
      <c r="H579" s="6" t="n">
        <v>10536</v>
      </c>
      <c r="I579" s="6" t="n">
        <v>7294</v>
      </c>
      <c r="J579" t="inlineStr">
        <is>
          <t>https://www2.census.gov/programs-surveys/susb/datasets/2022/msa_3digitnaics_2022.txt</t>
        </is>
      </c>
    </row>
    <row r="580">
      <c r="A580" t="inlineStr">
        <is>
          <t>micro</t>
        </is>
      </c>
      <c r="B580" t="inlineStr">
        <is>
          <t>Safford, AZ Micro Area</t>
        </is>
      </c>
      <c r="C580" t="inlineStr">
        <is>
          <t>40940</t>
        </is>
      </c>
      <c r="D580" s="7" t="n">
        <v>59.1</v>
      </c>
      <c r="E580" t="n">
        <v>59.05752753977968</v>
      </c>
      <c r="F580" s="7" t="n">
        <v>40.9</v>
      </c>
      <c r="G580" s="6" t="n">
        <v>8170</v>
      </c>
      <c r="H580" s="6" t="n">
        <v>4825</v>
      </c>
      <c r="I580" s="6" t="n">
        <v>3345</v>
      </c>
      <c r="J580" t="inlineStr">
        <is>
          <t>https://www2.census.gov/programs-surveys/susb/datasets/2022/msa_3digitnaics_2022.txt</t>
        </is>
      </c>
    </row>
    <row r="581">
      <c r="A581" t="inlineStr">
        <is>
          <t>micro</t>
        </is>
      </c>
      <c r="B581" t="inlineStr">
        <is>
          <t>Price, UT Micro Area</t>
        </is>
      </c>
      <c r="C581" t="inlineStr">
        <is>
          <t>39220</t>
        </is>
      </c>
      <c r="D581" s="7" t="n">
        <v>59</v>
      </c>
      <c r="E581" t="n">
        <v>59.03780068728523</v>
      </c>
      <c r="F581" s="7" t="n">
        <v>41</v>
      </c>
      <c r="G581" s="6" t="n">
        <v>5820</v>
      </c>
      <c r="H581" s="6" t="n">
        <v>3436</v>
      </c>
      <c r="I581" s="6" t="n">
        <v>2384</v>
      </c>
      <c r="J581" t="inlineStr">
        <is>
          <t>https://www2.census.gov/programs-surveys/susb/datasets/2022/msa_3digitnaics_2022.txt</t>
        </is>
      </c>
    </row>
    <row r="582">
      <c r="A582" t="inlineStr">
        <is>
          <t>micro</t>
        </is>
      </c>
      <c r="B582" t="inlineStr">
        <is>
          <t>Roswell, NM Micro Area</t>
        </is>
      </c>
      <c r="C582" t="inlineStr">
        <is>
          <t>40740</t>
        </is>
      </c>
      <c r="D582" s="7" t="n">
        <v>59</v>
      </c>
      <c r="E582" t="n">
        <v>59.00892467078575</v>
      </c>
      <c r="F582" s="7" t="n">
        <v>41</v>
      </c>
      <c r="G582" s="6" t="n">
        <v>16023</v>
      </c>
      <c r="H582" s="6" t="n">
        <v>9455</v>
      </c>
      <c r="I582" s="6" t="n">
        <v>6568</v>
      </c>
      <c r="J582" t="inlineStr">
        <is>
          <t>https://www2.census.gov/programs-surveys/susb/datasets/2022/msa_3digitnaics_2022.txt</t>
        </is>
      </c>
    </row>
    <row r="583">
      <c r="A583" t="inlineStr">
        <is>
          <t>micro</t>
        </is>
      </c>
      <c r="B583" t="inlineStr">
        <is>
          <t>Jacksonville, TX Micro Area</t>
        </is>
      </c>
      <c r="C583" t="inlineStr">
        <is>
          <t>27380</t>
        </is>
      </c>
      <c r="D583" s="7" t="n">
        <v>59</v>
      </c>
      <c r="E583" t="n">
        <v>58.96760343481655</v>
      </c>
      <c r="F583" s="7" t="n">
        <v>41</v>
      </c>
      <c r="G583" s="6" t="n">
        <v>10248</v>
      </c>
      <c r="H583" s="6" t="n">
        <v>6043</v>
      </c>
      <c r="I583" s="6" t="n">
        <v>4205</v>
      </c>
      <c r="J583" t="inlineStr">
        <is>
          <t>https://www2.census.gov/programs-surveys/susb/datasets/2022/msa_3digitnaics_2022.txt</t>
        </is>
      </c>
    </row>
    <row r="584">
      <c r="A584" t="inlineStr">
        <is>
          <t>micro</t>
        </is>
      </c>
      <c r="B584" t="inlineStr">
        <is>
          <t>Fairmont, WV Micro Area</t>
        </is>
      </c>
      <c r="C584" t="inlineStr">
        <is>
          <t>21900</t>
        </is>
      </c>
      <c r="D584" s="7" t="n">
        <v>58.9</v>
      </c>
      <c r="E584" t="n">
        <v>58.85435359988515</v>
      </c>
      <c r="F584" s="7" t="n">
        <v>41.1</v>
      </c>
      <c r="G584" s="6" t="n">
        <v>13931</v>
      </c>
      <c r="H584" s="6" t="n">
        <v>8199</v>
      </c>
      <c r="I584" s="6" t="n">
        <v>5732</v>
      </c>
      <c r="J584" t="inlineStr">
        <is>
          <t>https://www2.census.gov/programs-surveys/susb/datasets/2022/msa_3digitnaics_2022.txt</t>
        </is>
      </c>
    </row>
    <row r="585">
      <c r="A585" t="inlineStr">
        <is>
          <t>micro</t>
        </is>
      </c>
      <c r="B585" t="inlineStr">
        <is>
          <t>Toccoa, GA Micro Area</t>
        </is>
      </c>
      <c r="C585" t="inlineStr">
        <is>
          <t>45740</t>
        </is>
      </c>
      <c r="D585" s="7" t="n">
        <v>58.8</v>
      </c>
      <c r="E585" t="n">
        <v>58.84415584415584</v>
      </c>
      <c r="F585" s="7" t="n">
        <v>41.2</v>
      </c>
      <c r="G585" s="6" t="n">
        <v>7700</v>
      </c>
      <c r="H585" s="6" t="n">
        <v>4531</v>
      </c>
      <c r="I585" s="6" t="n">
        <v>3169</v>
      </c>
      <c r="J585" t="inlineStr">
        <is>
          <t>https://www2.census.gov/programs-surveys/susb/datasets/2022/msa_3digitnaics_2022.txt</t>
        </is>
      </c>
    </row>
    <row r="586">
      <c r="A586" t="inlineStr">
        <is>
          <t>micro</t>
        </is>
      </c>
      <c r="B586" t="inlineStr">
        <is>
          <t>Jesup, GA Micro Area</t>
        </is>
      </c>
      <c r="C586" t="inlineStr">
        <is>
          <t>27700</t>
        </is>
      </c>
      <c r="D586" s="7" t="n">
        <v>58.8</v>
      </c>
      <c r="E586" t="n">
        <v>58.8124547429399</v>
      </c>
      <c r="F586" s="7" t="n">
        <v>41.2</v>
      </c>
      <c r="G586" s="6" t="n">
        <v>6905</v>
      </c>
      <c r="H586" s="6" t="n">
        <v>4061</v>
      </c>
      <c r="I586" s="6" t="n">
        <v>2844</v>
      </c>
      <c r="J586" t="inlineStr">
        <is>
          <t>https://www2.census.gov/programs-surveys/susb/datasets/2022/msa_3digitnaics_2022.txt</t>
        </is>
      </c>
    </row>
    <row r="587">
      <c r="A587" t="inlineStr">
        <is>
          <t>micro</t>
        </is>
      </c>
      <c r="B587" t="inlineStr">
        <is>
          <t>Lincoln, IL Micro Area</t>
        </is>
      </c>
      <c r="C587" t="inlineStr">
        <is>
          <t>30660</t>
        </is>
      </c>
      <c r="D587" s="7" t="n">
        <v>58.7</v>
      </c>
      <c r="E587" t="n">
        <v>58.69790894260715</v>
      </c>
      <c r="F587" s="7" t="n">
        <v>41.3</v>
      </c>
      <c r="G587" s="6" t="n">
        <v>6743</v>
      </c>
      <c r="H587" s="6" t="n">
        <v>3958</v>
      </c>
      <c r="I587" s="6" t="n">
        <v>2785</v>
      </c>
      <c r="J587" t="inlineStr">
        <is>
          <t>https://www2.census.gov/programs-surveys/susb/datasets/2022/msa_3digitnaics_2022.txt</t>
        </is>
      </c>
    </row>
    <row r="588">
      <c r="A588" t="inlineStr">
        <is>
          <t>micro</t>
        </is>
      </c>
      <c r="B588" t="inlineStr">
        <is>
          <t>Bogalusa, LA Micro Area</t>
        </is>
      </c>
      <c r="C588" t="inlineStr">
        <is>
          <t>14220</t>
        </is>
      </c>
      <c r="D588" s="7" t="n">
        <v>58.7</v>
      </c>
      <c r="E588" t="n">
        <v>58.68550523527185</v>
      </c>
      <c r="F588" s="7" t="n">
        <v>41.3</v>
      </c>
      <c r="G588" s="6" t="n">
        <v>7927</v>
      </c>
      <c r="H588" s="6" t="n">
        <v>4652</v>
      </c>
      <c r="I588" s="6" t="n">
        <v>3275</v>
      </c>
      <c r="J588" t="inlineStr">
        <is>
          <t>https://www2.census.gov/programs-surveys/susb/datasets/2022/msa_3digitnaics_2022.txt</t>
        </is>
      </c>
    </row>
    <row r="589">
      <c r="A589" t="inlineStr">
        <is>
          <t>micro</t>
        </is>
      </c>
      <c r="B589" t="inlineStr">
        <is>
          <t>Putnam, CT Micro Area</t>
        </is>
      </c>
      <c r="C589" t="inlineStr">
        <is>
          <t>39480</t>
        </is>
      </c>
      <c r="D589" s="7" t="n">
        <v>58.7</v>
      </c>
      <c r="E589" t="n">
        <v>58.68102861035423</v>
      </c>
      <c r="F589" s="7" t="n">
        <v>41.3</v>
      </c>
      <c r="G589" s="6" t="n">
        <v>23488</v>
      </c>
      <c r="H589" s="6" t="n">
        <v>13783</v>
      </c>
      <c r="I589" s="6" t="n">
        <v>9705</v>
      </c>
      <c r="J589" t="inlineStr">
        <is>
          <t>https://www2.census.gov/programs-surveys/susb/datasets/2022/msa_3digitnaics_2022.txt</t>
        </is>
      </c>
    </row>
    <row r="590">
      <c r="A590" t="inlineStr">
        <is>
          <t>micro</t>
        </is>
      </c>
      <c r="B590" t="inlineStr">
        <is>
          <t>Forest City, NC Micro Area</t>
        </is>
      </c>
      <c r="C590" t="inlineStr">
        <is>
          <t>22580</t>
        </is>
      </c>
      <c r="D590" s="7" t="n">
        <v>58.6</v>
      </c>
      <c r="E590" t="n">
        <v>58.64746399499061</v>
      </c>
      <c r="F590" s="7" t="n">
        <v>41.4</v>
      </c>
      <c r="G590" s="6" t="n">
        <v>15970</v>
      </c>
      <c r="H590" s="6" t="n">
        <v>9366</v>
      </c>
      <c r="I590" s="6" t="n">
        <v>6604</v>
      </c>
      <c r="J590" t="inlineStr">
        <is>
          <t>https://www2.census.gov/programs-surveys/susb/datasets/2022/msa_3digitnaics_2022.txt</t>
        </is>
      </c>
    </row>
    <row r="591">
      <c r="A591" t="inlineStr">
        <is>
          <t>micro</t>
        </is>
      </c>
      <c r="B591" t="inlineStr">
        <is>
          <t>Pullman, WA Micro Area</t>
        </is>
      </c>
      <c r="C591" t="inlineStr">
        <is>
          <t>39420</t>
        </is>
      </c>
      <c r="D591" s="7" t="n">
        <v>58.6</v>
      </c>
      <c r="E591" t="n">
        <v>58.55998591673269</v>
      </c>
      <c r="F591" s="7" t="n">
        <v>41.4</v>
      </c>
      <c r="G591" s="6" t="n">
        <v>11361</v>
      </c>
      <c r="H591" s="6" t="n">
        <v>6653</v>
      </c>
      <c r="I591" s="6" t="n">
        <v>4708</v>
      </c>
      <c r="J591" t="inlineStr">
        <is>
          <t>https://www2.census.gov/programs-surveys/susb/datasets/2022/msa_3digitnaics_2022.txt</t>
        </is>
      </c>
    </row>
    <row r="592">
      <c r="A592" t="inlineStr">
        <is>
          <t>micro</t>
        </is>
      </c>
      <c r="B592" t="inlineStr">
        <is>
          <t>Clovis, NM Micro Area</t>
        </is>
      </c>
      <c r="C592" t="inlineStr">
        <is>
          <t>17580</t>
        </is>
      </c>
      <c r="D592" s="7" t="n">
        <v>58.5</v>
      </c>
      <c r="E592" t="n">
        <v>58.52304621717708</v>
      </c>
      <c r="F592" s="7" t="n">
        <v>41.5</v>
      </c>
      <c r="G592" s="6" t="n">
        <v>16033</v>
      </c>
      <c r="H592" s="6" t="n">
        <v>9383</v>
      </c>
      <c r="I592" s="6" t="n">
        <v>6650</v>
      </c>
      <c r="J592" t="inlineStr">
        <is>
          <t>https://www2.census.gov/programs-surveys/susb/datasets/2022/msa_3digitnaics_2022.txt</t>
        </is>
      </c>
    </row>
    <row r="593">
      <c r="A593" t="inlineStr">
        <is>
          <t>micro</t>
        </is>
      </c>
      <c r="B593" t="inlineStr">
        <is>
          <t>Bennington, VT Micro Area</t>
        </is>
      </c>
      <c r="C593" t="inlineStr">
        <is>
          <t>13540</t>
        </is>
      </c>
      <c r="D593" s="7" t="n">
        <v>58.5</v>
      </c>
      <c r="E593" t="n">
        <v>58.5101236956672</v>
      </c>
      <c r="F593" s="7" t="n">
        <v>41.5</v>
      </c>
      <c r="G593" s="6" t="n">
        <v>14471</v>
      </c>
      <c r="H593" s="6" t="n">
        <v>8467</v>
      </c>
      <c r="I593" s="6" t="n">
        <v>6004</v>
      </c>
      <c r="J593" t="inlineStr">
        <is>
          <t>https://www2.census.gov/programs-surveys/susb/datasets/2022/msa_3digitnaics_2022.txt</t>
        </is>
      </c>
    </row>
    <row r="594">
      <c r="A594" t="inlineStr">
        <is>
          <t>micro</t>
        </is>
      </c>
      <c r="B594" t="inlineStr">
        <is>
          <t>Edwards, CO Micro Area</t>
        </is>
      </c>
      <c r="C594" t="inlineStr">
        <is>
          <t>20780</t>
        </is>
      </c>
      <c r="D594" s="7" t="n">
        <v>58.5</v>
      </c>
      <c r="E594" t="n">
        <v>58.45178969001542</v>
      </c>
      <c r="F594" s="7" t="n">
        <v>41.5</v>
      </c>
      <c r="G594" s="6" t="n">
        <v>35034</v>
      </c>
      <c r="H594" s="6" t="n">
        <v>20478</v>
      </c>
      <c r="I594" s="6" t="n">
        <v>14556</v>
      </c>
      <c r="J594" t="inlineStr">
        <is>
          <t>https://www2.census.gov/programs-surveys/susb/datasets/2022/msa_3digitnaics_2022.txt</t>
        </is>
      </c>
    </row>
    <row r="595">
      <c r="A595" t="inlineStr">
        <is>
          <t>micro</t>
        </is>
      </c>
      <c r="B595" t="inlineStr">
        <is>
          <t>Brenham, TX Micro Area</t>
        </is>
      </c>
      <c r="C595" t="inlineStr">
        <is>
          <t>14780</t>
        </is>
      </c>
      <c r="D595" s="7" t="n">
        <v>58.4</v>
      </c>
      <c r="E595" t="n">
        <v>58.37540501846131</v>
      </c>
      <c r="F595" s="7" t="n">
        <v>41.6</v>
      </c>
      <c r="G595" s="6" t="n">
        <v>13271</v>
      </c>
      <c r="H595" s="6" t="n">
        <v>7747</v>
      </c>
      <c r="I595" s="6" t="n">
        <v>5524</v>
      </c>
      <c r="J595" t="inlineStr">
        <is>
          <t>https://www2.census.gov/programs-surveys/susb/datasets/2022/msa_3digitnaics_2022.txt</t>
        </is>
      </c>
    </row>
    <row r="596">
      <c r="A596" t="inlineStr">
        <is>
          <t>micro</t>
        </is>
      </c>
      <c r="B596" t="inlineStr">
        <is>
          <t>Kearney, NE Micro Area</t>
        </is>
      </c>
      <c r="C596" t="inlineStr">
        <is>
          <t>28260</t>
        </is>
      </c>
      <c r="D596" s="7" t="n">
        <v>58.3</v>
      </c>
      <c r="E596" t="n">
        <v>58.33774268386992</v>
      </c>
      <c r="F596" s="7" t="n">
        <v>41.7</v>
      </c>
      <c r="G596" s="6" t="n">
        <v>24569</v>
      </c>
      <c r="H596" s="6" t="n">
        <v>14333</v>
      </c>
      <c r="I596" s="6" t="n">
        <v>10236</v>
      </c>
      <c r="J596" t="inlineStr">
        <is>
          <t>https://www2.census.gov/programs-surveys/susb/datasets/2022/msa_3digitnaics_2022.txt</t>
        </is>
      </c>
    </row>
    <row r="597">
      <c r="A597" t="inlineStr">
        <is>
          <t>micro</t>
        </is>
      </c>
      <c r="B597" t="inlineStr">
        <is>
          <t>Duncan, OK Micro Area</t>
        </is>
      </c>
      <c r="C597" t="inlineStr">
        <is>
          <t>20340</t>
        </is>
      </c>
      <c r="D597" s="7" t="n">
        <v>58.3</v>
      </c>
      <c r="E597" t="n">
        <v>58.3255524431995</v>
      </c>
      <c r="F597" s="7" t="n">
        <v>41.7</v>
      </c>
      <c r="G597" s="6" t="n">
        <v>12852</v>
      </c>
      <c r="H597" s="6" t="n">
        <v>7496</v>
      </c>
      <c r="I597" s="6" t="n">
        <v>5356</v>
      </c>
      <c r="J597" t="inlineStr">
        <is>
          <t>https://www2.census.gov/programs-surveys/susb/datasets/2022/msa_3digitnaics_2022.txt</t>
        </is>
      </c>
    </row>
    <row r="598">
      <c r="A598" t="inlineStr">
        <is>
          <t>micro</t>
        </is>
      </c>
      <c r="B598" t="inlineStr">
        <is>
          <t>Centralia, IL Micro Area</t>
        </is>
      </c>
      <c r="C598" t="inlineStr">
        <is>
          <t>16460</t>
        </is>
      </c>
      <c r="D598" s="7" t="n">
        <v>58.3</v>
      </c>
      <c r="E598" t="n">
        <v>58.25991189427313</v>
      </c>
      <c r="F598" s="7" t="n">
        <v>41.7</v>
      </c>
      <c r="G598" s="6" t="n">
        <v>10896</v>
      </c>
      <c r="H598" s="6" t="n">
        <v>6348</v>
      </c>
      <c r="I598" s="6" t="n">
        <v>4548</v>
      </c>
      <c r="J598" t="inlineStr">
        <is>
          <t>https://www2.census.gov/programs-surveys/susb/datasets/2022/msa_3digitnaics_2022.txt</t>
        </is>
      </c>
    </row>
    <row r="599">
      <c r="A599" t="inlineStr">
        <is>
          <t>micro</t>
        </is>
      </c>
      <c r="B599" t="inlineStr">
        <is>
          <t>Elkins, WV Micro Area</t>
        </is>
      </c>
      <c r="C599" t="inlineStr">
        <is>
          <t>21180</t>
        </is>
      </c>
      <c r="D599" s="7" t="n">
        <v>58.2</v>
      </c>
      <c r="E599" t="n">
        <v>58.17335660267597</v>
      </c>
      <c r="F599" s="7" t="n">
        <v>41.8</v>
      </c>
      <c r="G599" s="6" t="n">
        <v>8595</v>
      </c>
      <c r="H599" s="6" t="n">
        <v>5000</v>
      </c>
      <c r="I599" s="6" t="n">
        <v>3595</v>
      </c>
      <c r="J599" t="inlineStr">
        <is>
          <t>https://www2.census.gov/programs-surveys/susb/datasets/2022/msa_3digitnaics_2022.txt</t>
        </is>
      </c>
    </row>
    <row r="600">
      <c r="A600" t="inlineStr">
        <is>
          <t>micro</t>
        </is>
      </c>
      <c r="B600" t="inlineStr">
        <is>
          <t>Sikeston, MO Micro Area</t>
        </is>
      </c>
      <c r="C600" t="inlineStr">
        <is>
          <t>43460</t>
        </is>
      </c>
      <c r="D600" s="7" t="n">
        <v>58</v>
      </c>
      <c r="E600" t="n">
        <v>58.01270306583608</v>
      </c>
      <c r="F600" s="7" t="n">
        <v>42</v>
      </c>
      <c r="G600" s="6" t="n">
        <v>16374</v>
      </c>
      <c r="H600" s="6" t="n">
        <v>9499</v>
      </c>
      <c r="I600" s="6" t="n">
        <v>6875</v>
      </c>
      <c r="J600" t="inlineStr">
        <is>
          <t>https://www2.census.gov/programs-surveys/susb/datasets/2022/msa_3digitnaics_2022.txt</t>
        </is>
      </c>
    </row>
    <row r="601">
      <c r="A601" t="inlineStr">
        <is>
          <t>micro</t>
        </is>
      </c>
      <c r="B601" t="inlineStr">
        <is>
          <t>Big Spring, TX Micro Area</t>
        </is>
      </c>
      <c r="C601" t="inlineStr">
        <is>
          <t>13700</t>
        </is>
      </c>
      <c r="D601" s="7" t="n">
        <v>57.9</v>
      </c>
      <c r="E601" t="n">
        <v>57.92237442922374</v>
      </c>
      <c r="F601" s="7" t="n">
        <v>42.1</v>
      </c>
      <c r="G601" s="6" t="n">
        <v>8760</v>
      </c>
      <c r="H601" s="6" t="n">
        <v>5074</v>
      </c>
      <c r="I601" s="6" t="n">
        <v>3686</v>
      </c>
      <c r="J601" t="inlineStr">
        <is>
          <t>https://www2.census.gov/programs-surveys/susb/datasets/2022/msa_3digitnaics_2022.txt</t>
        </is>
      </c>
    </row>
    <row r="602">
      <c r="A602" t="inlineStr">
        <is>
          <t>micro</t>
        </is>
      </c>
      <c r="B602" t="inlineStr">
        <is>
          <t>Macomb, IL Micro Area</t>
        </is>
      </c>
      <c r="C602" t="inlineStr">
        <is>
          <t>31380</t>
        </is>
      </c>
      <c r="D602" s="7" t="n">
        <v>57.9</v>
      </c>
      <c r="E602" t="n">
        <v>57.89226616594296</v>
      </c>
      <c r="F602" s="7" t="n">
        <v>42.1</v>
      </c>
      <c r="G602" s="6" t="n">
        <v>8521</v>
      </c>
      <c r="H602" s="6" t="n">
        <v>4933</v>
      </c>
      <c r="I602" s="6" t="n">
        <v>3588</v>
      </c>
      <c r="J602" t="inlineStr">
        <is>
          <t>https://www2.census.gov/programs-surveys/susb/datasets/2022/msa_3digitnaics_2022.txt</t>
        </is>
      </c>
    </row>
    <row r="603">
      <c r="A603" t="inlineStr">
        <is>
          <t>micro</t>
        </is>
      </c>
      <c r="B603" t="inlineStr">
        <is>
          <t>Greenville, OH Micro Area</t>
        </is>
      </c>
      <c r="C603" t="inlineStr">
        <is>
          <t>24820</t>
        </is>
      </c>
      <c r="D603" s="7" t="n">
        <v>57.8</v>
      </c>
      <c r="E603" t="n">
        <v>57.83036953791234</v>
      </c>
      <c r="F603" s="7" t="n">
        <v>42.2</v>
      </c>
      <c r="G603" s="6" t="n">
        <v>15127</v>
      </c>
      <c r="H603" s="6" t="n">
        <v>8748</v>
      </c>
      <c r="I603" s="6" t="n">
        <v>6379</v>
      </c>
      <c r="J603" t="inlineStr">
        <is>
          <t>https://www2.census.gov/programs-surveys/susb/datasets/2022/msa_3digitnaics_2022.txt</t>
        </is>
      </c>
    </row>
    <row r="604">
      <c r="A604" t="inlineStr">
        <is>
          <t>micro</t>
        </is>
      </c>
      <c r="B604" t="inlineStr">
        <is>
          <t>Athens, OH Micro Area</t>
        </is>
      </c>
      <c r="C604" t="inlineStr">
        <is>
          <t>11900</t>
        </is>
      </c>
      <c r="D604" s="7" t="n">
        <v>57.7</v>
      </c>
      <c r="E604" t="n">
        <v>57.73905067645035</v>
      </c>
      <c r="F604" s="7" t="n">
        <v>42.3</v>
      </c>
      <c r="G604" s="6" t="n">
        <v>13083</v>
      </c>
      <c r="H604" s="6" t="n">
        <v>7554</v>
      </c>
      <c r="I604" s="6" t="n">
        <v>5529</v>
      </c>
      <c r="J604" t="inlineStr">
        <is>
          <t>https://www2.census.gov/programs-surveys/susb/datasets/2022/msa_3digitnaics_2022.txt</t>
        </is>
      </c>
    </row>
    <row r="605">
      <c r="A605" t="inlineStr">
        <is>
          <t>micro</t>
        </is>
      </c>
      <c r="B605" t="inlineStr">
        <is>
          <t>Sault Ste. Marie, MI Micro Area</t>
        </is>
      </c>
      <c r="C605" t="inlineStr">
        <is>
          <t>42300</t>
        </is>
      </c>
      <c r="D605" s="7" t="n">
        <v>57.4</v>
      </c>
      <c r="E605" t="n">
        <v>57.41603920162543</v>
      </c>
      <c r="F605" s="7" t="n">
        <v>42.6</v>
      </c>
      <c r="G605" s="6" t="n">
        <v>8367</v>
      </c>
      <c r="H605" s="6" t="n">
        <v>4804</v>
      </c>
      <c r="I605" s="6" t="n">
        <v>3563</v>
      </c>
      <c r="J605" t="inlineStr">
        <is>
          <t>https://www2.census.gov/programs-surveys/susb/datasets/2022/msa_3digitnaics_2022.txt</t>
        </is>
      </c>
    </row>
    <row r="606">
      <c r="A606" t="inlineStr">
        <is>
          <t>micro</t>
        </is>
      </c>
      <c r="B606" t="inlineStr">
        <is>
          <t>Nacogdoches, TX Micro Area</t>
        </is>
      </c>
      <c r="C606" t="inlineStr">
        <is>
          <t>34860</t>
        </is>
      </c>
      <c r="D606" s="7" t="n">
        <v>57.4</v>
      </c>
      <c r="E606" t="n">
        <v>57.39046973803072</v>
      </c>
      <c r="F606" s="7" t="n">
        <v>42.6</v>
      </c>
      <c r="G606" s="6" t="n">
        <v>17712</v>
      </c>
      <c r="H606" s="6" t="n">
        <v>10165</v>
      </c>
      <c r="I606" s="6" t="n">
        <v>7547</v>
      </c>
      <c r="J606" t="inlineStr">
        <is>
          <t>https://www2.census.gov/programs-surveys/susb/datasets/2022/msa_3digitnaics_2022.txt</t>
        </is>
      </c>
    </row>
    <row r="607">
      <c r="A607" t="inlineStr">
        <is>
          <t>micro</t>
        </is>
      </c>
      <c r="B607" t="inlineStr">
        <is>
          <t>Concord, NH Micro Area</t>
        </is>
      </c>
      <c r="C607" t="inlineStr">
        <is>
          <t>18180</t>
        </is>
      </c>
      <c r="D607" s="7" t="n">
        <v>57.4</v>
      </c>
      <c r="E607" t="n">
        <v>57.37577514045626</v>
      </c>
      <c r="F607" s="7" t="n">
        <v>42.6</v>
      </c>
      <c r="G607" s="6" t="n">
        <v>61763</v>
      </c>
      <c r="H607" s="6" t="n">
        <v>35437</v>
      </c>
      <c r="I607" s="6" t="n">
        <v>26326</v>
      </c>
      <c r="J607" t="inlineStr">
        <is>
          <t>https://www2.census.gov/programs-surveys/susb/datasets/2022/msa_3digitnaics_2022.txt</t>
        </is>
      </c>
    </row>
    <row r="608">
      <c r="A608" t="inlineStr">
        <is>
          <t>micro</t>
        </is>
      </c>
      <c r="B608" t="inlineStr">
        <is>
          <t>Alma, MI Micro Area</t>
        </is>
      </c>
      <c r="C608" t="inlineStr">
        <is>
          <t>10940</t>
        </is>
      </c>
      <c r="D608" s="7" t="n">
        <v>57.4</v>
      </c>
      <c r="E608" t="n">
        <v>57.37310114857355</v>
      </c>
      <c r="F608" s="7" t="n">
        <v>42.6</v>
      </c>
      <c r="G608" s="6" t="n">
        <v>10796</v>
      </c>
      <c r="H608" s="6" t="n">
        <v>6194</v>
      </c>
      <c r="I608" s="6" t="n">
        <v>4602</v>
      </c>
      <c r="J608" t="inlineStr">
        <is>
          <t>https://www2.census.gov/programs-surveys/susb/datasets/2022/msa_3digitnaics_2022.txt</t>
        </is>
      </c>
    </row>
    <row r="609">
      <c r="A609" t="inlineStr">
        <is>
          <t>micro</t>
        </is>
      </c>
      <c r="B609" t="inlineStr">
        <is>
          <t>Detroit Lakes, MN Micro Area</t>
        </is>
      </c>
      <c r="C609" t="inlineStr">
        <is>
          <t>19810</t>
        </is>
      </c>
      <c r="D609" s="7" t="n">
        <v>57.4</v>
      </c>
      <c r="E609" t="n">
        <v>57.36688890975678</v>
      </c>
      <c r="F609" s="7" t="n">
        <v>42.6</v>
      </c>
      <c r="G609" s="6" t="n">
        <v>10649</v>
      </c>
      <c r="H609" s="6" t="n">
        <v>6109</v>
      </c>
      <c r="I609" s="6" t="n">
        <v>4540</v>
      </c>
      <c r="J609" t="inlineStr">
        <is>
          <t>https://www2.census.gov/programs-surveys/susb/datasets/2022/msa_3digitnaics_2022.txt</t>
        </is>
      </c>
    </row>
    <row r="610">
      <c r="A610" t="inlineStr">
        <is>
          <t>micro</t>
        </is>
      </c>
      <c r="B610" t="inlineStr">
        <is>
          <t>Seaford, DE Micro Area</t>
        </is>
      </c>
      <c r="C610" t="inlineStr">
        <is>
          <t>42580</t>
        </is>
      </c>
      <c r="D610" s="7" t="n">
        <v>57.3</v>
      </c>
      <c r="E610" t="n">
        <v>57.26446701169354</v>
      </c>
      <c r="F610" s="7" t="n">
        <v>42.7</v>
      </c>
      <c r="G610" s="6" t="n">
        <v>76709</v>
      </c>
      <c r="H610" s="6" t="n">
        <v>43927</v>
      </c>
      <c r="I610" s="6" t="n">
        <v>32782</v>
      </c>
      <c r="J610" t="inlineStr">
        <is>
          <t>https://www2.census.gov/programs-surveys/susb/datasets/2022/msa_3digitnaics_2022.txt</t>
        </is>
      </c>
    </row>
    <row r="611">
      <c r="A611" t="inlineStr">
        <is>
          <t>micro</t>
        </is>
      </c>
      <c r="B611" t="inlineStr">
        <is>
          <t>Tiffin, OH Micro Area</t>
        </is>
      </c>
      <c r="C611" t="inlineStr">
        <is>
          <t>45660</t>
        </is>
      </c>
      <c r="D611" s="7" t="n">
        <v>57.3</v>
      </c>
      <c r="E611" t="n">
        <v>57.25270669291339</v>
      </c>
      <c r="F611" s="7" t="n">
        <v>42.7</v>
      </c>
      <c r="G611" s="6" t="n">
        <v>16256</v>
      </c>
      <c r="H611" s="6" t="n">
        <v>9307</v>
      </c>
      <c r="I611" s="6" t="n">
        <v>6949</v>
      </c>
      <c r="J611" t="inlineStr">
        <is>
          <t>https://www2.census.gov/programs-surveys/susb/datasets/2022/msa_3digitnaics_2022.txt</t>
        </is>
      </c>
    </row>
    <row r="612">
      <c r="A612" t="inlineStr">
        <is>
          <t>micro</t>
        </is>
      </c>
      <c r="B612" t="inlineStr">
        <is>
          <t>Sevierville, TN Micro Area</t>
        </is>
      </c>
      <c r="C612" t="inlineStr">
        <is>
          <t>42940</t>
        </is>
      </c>
      <c r="D612" s="7" t="n">
        <v>57.2</v>
      </c>
      <c r="E612" t="n">
        <v>57.23949855188889</v>
      </c>
      <c r="F612" s="7" t="n">
        <v>42.8</v>
      </c>
      <c r="G612" s="6" t="n">
        <v>47303</v>
      </c>
      <c r="H612" s="6" t="n">
        <v>27076</v>
      </c>
      <c r="I612" s="6" t="n">
        <v>20227</v>
      </c>
      <c r="J612" t="inlineStr">
        <is>
          <t>https://www2.census.gov/programs-surveys/susb/datasets/2022/msa_3digitnaics_2022.txt</t>
        </is>
      </c>
    </row>
    <row r="613">
      <c r="A613" t="inlineStr">
        <is>
          <t>micro</t>
        </is>
      </c>
      <c r="B613" t="inlineStr">
        <is>
          <t>Greenville, MS Micro Area</t>
        </is>
      </c>
      <c r="C613" t="inlineStr">
        <is>
          <t>24740</t>
        </is>
      </c>
      <c r="D613" s="7" t="n">
        <v>57.2</v>
      </c>
      <c r="E613" t="n">
        <v>57.22643896268185</v>
      </c>
      <c r="F613" s="7" t="n">
        <v>42.8</v>
      </c>
      <c r="G613" s="6" t="n">
        <v>12648</v>
      </c>
      <c r="H613" s="6" t="n">
        <v>7238</v>
      </c>
      <c r="I613" s="6" t="n">
        <v>5410</v>
      </c>
      <c r="J613" t="inlineStr">
        <is>
          <t>https://www2.census.gov/programs-surveys/susb/datasets/2022/msa_3digitnaics_2022.txt</t>
        </is>
      </c>
    </row>
    <row r="614">
      <c r="A614" t="inlineStr">
        <is>
          <t>micro</t>
        </is>
      </c>
      <c r="B614" t="inlineStr">
        <is>
          <t>North Platte, NE Micro Area</t>
        </is>
      </c>
      <c r="C614" t="inlineStr">
        <is>
          <t>35820</t>
        </is>
      </c>
      <c r="D614" s="7" t="n">
        <v>57.2</v>
      </c>
      <c r="E614" t="n">
        <v>57.20946599806457</v>
      </c>
      <c r="F614" s="7" t="n">
        <v>42.8</v>
      </c>
      <c r="G614" s="6" t="n">
        <v>11367</v>
      </c>
      <c r="H614" s="6" t="n">
        <v>6503</v>
      </c>
      <c r="I614" s="6" t="n">
        <v>4864</v>
      </c>
      <c r="J614" t="inlineStr">
        <is>
          <t>https://www2.census.gov/programs-surveys/susb/datasets/2022/msa_3digitnaics_2022.txt</t>
        </is>
      </c>
    </row>
    <row r="615">
      <c r="A615" t="inlineStr">
        <is>
          <t>micro</t>
        </is>
      </c>
      <c r="B615" t="inlineStr">
        <is>
          <t>Ludington, MI Micro Area</t>
        </is>
      </c>
      <c r="C615" t="inlineStr">
        <is>
          <t>31220</t>
        </is>
      </c>
      <c r="D615" s="7" t="n">
        <v>57.2</v>
      </c>
      <c r="E615" t="n">
        <v>57.1842927264614</v>
      </c>
      <c r="F615" s="7" t="n">
        <v>42.8</v>
      </c>
      <c r="G615" s="6" t="n">
        <v>8964</v>
      </c>
      <c r="H615" s="6" t="n">
        <v>5126</v>
      </c>
      <c r="I615" s="6" t="n">
        <v>3838</v>
      </c>
      <c r="J615" t="inlineStr">
        <is>
          <t>https://www2.census.gov/programs-surveys/susb/datasets/2022/msa_3digitnaics_2022.txt</t>
        </is>
      </c>
    </row>
    <row r="616">
      <c r="A616" t="inlineStr">
        <is>
          <t>micro</t>
        </is>
      </c>
      <c r="B616" t="inlineStr">
        <is>
          <t>Ottawa, IL Micro Area</t>
        </is>
      </c>
      <c r="C616" t="inlineStr">
        <is>
          <t>36837</t>
        </is>
      </c>
      <c r="D616" s="7" t="n">
        <v>57.2</v>
      </c>
      <c r="E616" t="n">
        <v>57.15573012939002</v>
      </c>
      <c r="F616" s="7" t="n">
        <v>42.8</v>
      </c>
      <c r="G616" s="6" t="n">
        <v>43280</v>
      </c>
      <c r="H616" s="6" t="n">
        <v>24737</v>
      </c>
      <c r="I616" s="6" t="n">
        <v>18543</v>
      </c>
      <c r="J616" t="inlineStr">
        <is>
          <t>https://www2.census.gov/programs-surveys/susb/datasets/2022/msa_3digitnaics_2022.txt</t>
        </is>
      </c>
    </row>
    <row r="617">
      <c r="A617" t="inlineStr">
        <is>
          <t>micro</t>
        </is>
      </c>
      <c r="B617" t="inlineStr">
        <is>
          <t>Waynesville, NC Micro Area</t>
        </is>
      </c>
      <c r="C617" t="inlineStr">
        <is>
          <t>48200</t>
        </is>
      </c>
      <c r="D617" s="7" t="n">
        <v>57.1</v>
      </c>
      <c r="E617" t="n">
        <v>57.08382526564345</v>
      </c>
      <c r="F617" s="7" t="n">
        <v>42.9</v>
      </c>
      <c r="G617" s="6" t="n">
        <v>15246</v>
      </c>
      <c r="H617" s="6" t="n">
        <v>8703</v>
      </c>
      <c r="I617" s="6" t="n">
        <v>6543</v>
      </c>
      <c r="J617" t="inlineStr">
        <is>
          <t>https://www2.census.gov/programs-surveys/susb/datasets/2022/msa_3digitnaics_2022.txt</t>
        </is>
      </c>
    </row>
    <row r="618">
      <c r="A618" t="inlineStr">
        <is>
          <t>micro</t>
        </is>
      </c>
      <c r="B618" t="inlineStr">
        <is>
          <t>Fairmont, MN Micro Area</t>
        </is>
      </c>
      <c r="C618" t="inlineStr">
        <is>
          <t>21860</t>
        </is>
      </c>
      <c r="D618" s="7" t="n">
        <v>57.1</v>
      </c>
      <c r="E618" t="n">
        <v>57.07290533188248</v>
      </c>
      <c r="F618" s="7" t="n">
        <v>42.9</v>
      </c>
      <c r="G618" s="6" t="n">
        <v>7352</v>
      </c>
      <c r="H618" s="6" t="n">
        <v>4196</v>
      </c>
      <c r="I618" s="6" t="n">
        <v>3156</v>
      </c>
      <c r="J618" t="inlineStr">
        <is>
          <t>https://www2.census.gov/programs-surveys/susb/datasets/2022/msa_3digitnaics_2022.txt</t>
        </is>
      </c>
    </row>
    <row r="619">
      <c r="A619" t="inlineStr">
        <is>
          <t>micro</t>
        </is>
      </c>
      <c r="B619" t="inlineStr">
        <is>
          <t>Lock Haven, PA Micro Area</t>
        </is>
      </c>
      <c r="C619" t="inlineStr">
        <is>
          <t>30820</t>
        </is>
      </c>
      <c r="D619" s="7" t="n">
        <v>57</v>
      </c>
      <c r="E619" t="n">
        <v>57.0313226136258</v>
      </c>
      <c r="F619" s="7" t="n">
        <v>43</v>
      </c>
      <c r="G619" s="6" t="n">
        <v>10759</v>
      </c>
      <c r="H619" s="6" t="n">
        <v>6136</v>
      </c>
      <c r="I619" s="6" t="n">
        <v>4623</v>
      </c>
      <c r="J619" t="inlineStr">
        <is>
          <t>https://www2.census.gov/programs-surveys/susb/datasets/2022/msa_3digitnaics_2022.txt</t>
        </is>
      </c>
    </row>
    <row r="620">
      <c r="A620" t="inlineStr">
        <is>
          <t>micro</t>
        </is>
      </c>
      <c r="B620" t="inlineStr">
        <is>
          <t>Cleveland, MS Micro Area</t>
        </is>
      </c>
      <c r="C620" t="inlineStr">
        <is>
          <t>17380</t>
        </is>
      </c>
      <c r="D620" s="7" t="n">
        <v>57</v>
      </c>
      <c r="E620" t="n">
        <v>56.95321562056966</v>
      </c>
      <c r="F620" s="7" t="n">
        <v>43</v>
      </c>
      <c r="G620" s="6" t="n">
        <v>7759</v>
      </c>
      <c r="H620" s="6" t="n">
        <v>4419</v>
      </c>
      <c r="I620" s="6" t="n">
        <v>3340</v>
      </c>
      <c r="J620" t="inlineStr">
        <is>
          <t>https://www2.census.gov/programs-surveys/susb/datasets/2022/msa_3digitnaics_2022.txt</t>
        </is>
      </c>
    </row>
    <row r="621">
      <c r="A621" t="inlineStr">
        <is>
          <t>micro</t>
        </is>
      </c>
      <c r="B621" t="inlineStr">
        <is>
          <t>Hillsdale, MI Micro Area</t>
        </is>
      </c>
      <c r="C621" t="inlineStr">
        <is>
          <t>25880</t>
        </is>
      </c>
      <c r="D621" s="7" t="n">
        <v>56.7</v>
      </c>
      <c r="E621" t="n">
        <v>56.70354397149822</v>
      </c>
      <c r="F621" s="7" t="n">
        <v>43.3</v>
      </c>
      <c r="G621" s="6" t="n">
        <v>10666</v>
      </c>
      <c r="H621" s="6" t="n">
        <v>6048</v>
      </c>
      <c r="I621" s="6" t="n">
        <v>4618</v>
      </c>
      <c r="J621" t="inlineStr">
        <is>
          <t>https://www2.census.gov/programs-surveys/susb/datasets/2022/msa_3digitnaics_2022.txt</t>
        </is>
      </c>
    </row>
    <row r="622">
      <c r="A622" t="inlineStr">
        <is>
          <t>micro</t>
        </is>
      </c>
      <c r="B622" t="inlineStr">
        <is>
          <t>Pontiac, IL Micro Area</t>
        </is>
      </c>
      <c r="C622" t="inlineStr">
        <is>
          <t>38700</t>
        </is>
      </c>
      <c r="D622" s="7" t="n">
        <v>56.6</v>
      </c>
      <c r="E622" t="n">
        <v>56.64276278543122</v>
      </c>
      <c r="F622" s="7" t="n">
        <v>43.4</v>
      </c>
      <c r="G622" s="6" t="n">
        <v>10598</v>
      </c>
      <c r="H622" s="6" t="n">
        <v>6003</v>
      </c>
      <c r="I622" s="6" t="n">
        <v>4595</v>
      </c>
      <c r="J622" t="inlineStr">
        <is>
          <t>https://www2.census.gov/programs-surveys/susb/datasets/2022/msa_3digitnaics_2022.txt</t>
        </is>
      </c>
    </row>
    <row r="623">
      <c r="A623" t="inlineStr">
        <is>
          <t>micro</t>
        </is>
      </c>
      <c r="B623" t="inlineStr">
        <is>
          <t>Indiana, PA Micro Area</t>
        </is>
      </c>
      <c r="C623" t="inlineStr">
        <is>
          <t>26860</t>
        </is>
      </c>
      <c r="D623" s="7" t="n">
        <v>56.6</v>
      </c>
      <c r="E623" t="n">
        <v>56.612868517323</v>
      </c>
      <c r="F623" s="7" t="n">
        <v>43.4</v>
      </c>
      <c r="G623" s="6" t="n">
        <v>23235</v>
      </c>
      <c r="H623" s="6" t="n">
        <v>13154</v>
      </c>
      <c r="I623" s="6" t="n">
        <v>10081</v>
      </c>
      <c r="J623" t="inlineStr">
        <is>
          <t>https://www2.census.gov/programs-surveys/susb/datasets/2022/msa_3digitnaics_2022.txt</t>
        </is>
      </c>
    </row>
    <row r="624">
      <c r="A624" t="inlineStr">
        <is>
          <t>micro</t>
        </is>
      </c>
      <c r="B624" t="inlineStr">
        <is>
          <t>Glasgow, KY Micro Area</t>
        </is>
      </c>
      <c r="C624" t="inlineStr">
        <is>
          <t>23980</t>
        </is>
      </c>
      <c r="D624" s="7" t="n">
        <v>56.6</v>
      </c>
      <c r="E624" t="n">
        <v>56.56973807634029</v>
      </c>
      <c r="F624" s="7" t="n">
        <v>43.4</v>
      </c>
      <c r="G624" s="6" t="n">
        <v>13859</v>
      </c>
      <c r="H624" s="6" t="n">
        <v>7840</v>
      </c>
      <c r="I624" s="6" t="n">
        <v>6019</v>
      </c>
      <c r="J624" t="inlineStr">
        <is>
          <t>https://www2.census.gov/programs-surveys/susb/datasets/2022/msa_3digitnaics_2022.txt</t>
        </is>
      </c>
    </row>
    <row r="625">
      <c r="A625" t="inlineStr">
        <is>
          <t>micro</t>
        </is>
      </c>
      <c r="B625" t="inlineStr">
        <is>
          <t>Cortland, NY Micro Area</t>
        </is>
      </c>
      <c r="C625" t="inlineStr">
        <is>
          <t>18660</t>
        </is>
      </c>
      <c r="D625" s="7" t="n">
        <v>56.5</v>
      </c>
      <c r="E625" t="n">
        <v>56.54036004645761</v>
      </c>
      <c r="F625" s="7" t="n">
        <v>43.5</v>
      </c>
      <c r="G625" s="6" t="n">
        <v>13776</v>
      </c>
      <c r="H625" s="6" t="n">
        <v>7789</v>
      </c>
      <c r="I625" s="6" t="n">
        <v>5987</v>
      </c>
      <c r="J625" t="inlineStr">
        <is>
          <t>https://www2.census.gov/programs-surveys/susb/datasets/2022/msa_3digitnaics_2022.txt</t>
        </is>
      </c>
    </row>
    <row r="626">
      <c r="A626" t="inlineStr">
        <is>
          <t>micro</t>
        </is>
      </c>
      <c r="B626" t="inlineStr">
        <is>
          <t>Hutchinson, KS Micro Area</t>
        </is>
      </c>
      <c r="C626" t="inlineStr">
        <is>
          <t>26740</t>
        </is>
      </c>
      <c r="D626" s="7" t="n">
        <v>56.5</v>
      </c>
      <c r="E626" t="n">
        <v>56.53231085757037</v>
      </c>
      <c r="F626" s="7" t="n">
        <v>43.5</v>
      </c>
      <c r="G626" s="6" t="n">
        <v>21386</v>
      </c>
      <c r="H626" s="6" t="n">
        <v>12090</v>
      </c>
      <c r="I626" s="6" t="n">
        <v>9296</v>
      </c>
      <c r="J626" t="inlineStr">
        <is>
          <t>https://www2.census.gov/programs-surveys/susb/datasets/2022/msa_3digitnaics_2022.txt</t>
        </is>
      </c>
    </row>
    <row r="627">
      <c r="A627" t="inlineStr">
        <is>
          <t>micro</t>
        </is>
      </c>
      <c r="B627" t="inlineStr">
        <is>
          <t>Corinth, MS Micro Area</t>
        </is>
      </c>
      <c r="C627" t="inlineStr">
        <is>
          <t>18420</t>
        </is>
      </c>
      <c r="D627" s="7" t="n">
        <v>56.5</v>
      </c>
      <c r="E627" t="n">
        <v>56.5297476515012</v>
      </c>
      <c r="F627" s="7" t="n">
        <v>43.5</v>
      </c>
      <c r="G627" s="6" t="n">
        <v>10858</v>
      </c>
      <c r="H627" s="6" t="n">
        <v>6138</v>
      </c>
      <c r="I627" s="6" t="n">
        <v>4720</v>
      </c>
      <c r="J627" t="inlineStr">
        <is>
          <t>https://www2.census.gov/programs-surveys/susb/datasets/2022/msa_3digitnaics_2022.txt</t>
        </is>
      </c>
    </row>
    <row r="628">
      <c r="A628" t="inlineStr">
        <is>
          <t>micro</t>
        </is>
      </c>
      <c r="B628" t="inlineStr">
        <is>
          <t>Bucyrus, OH Micro Area</t>
        </is>
      </c>
      <c r="C628" t="inlineStr">
        <is>
          <t>15340</t>
        </is>
      </c>
      <c r="D628" s="7" t="n">
        <v>56.5</v>
      </c>
      <c r="E628" t="n">
        <v>56.49187468587703</v>
      </c>
      <c r="F628" s="7" t="n">
        <v>43.5</v>
      </c>
      <c r="G628" s="6" t="n">
        <v>11938</v>
      </c>
      <c r="H628" s="6" t="n">
        <v>6744</v>
      </c>
      <c r="I628" s="6" t="n">
        <v>5194</v>
      </c>
      <c r="J628" t="inlineStr">
        <is>
          <t>https://www2.census.gov/programs-surveys/susb/datasets/2022/msa_3digitnaics_2022.txt</t>
        </is>
      </c>
    </row>
    <row r="629">
      <c r="A629" t="inlineStr">
        <is>
          <t>micro</t>
        </is>
      </c>
      <c r="B629" t="inlineStr">
        <is>
          <t>Aberdeen, SD Micro Area</t>
        </is>
      </c>
      <c r="C629" t="inlineStr">
        <is>
          <t>10100</t>
        </is>
      </c>
      <c r="D629" s="7" t="n">
        <v>56.4</v>
      </c>
      <c r="E629" t="n">
        <v>56.37428192664604</v>
      </c>
      <c r="F629" s="7" t="n">
        <v>43.6</v>
      </c>
      <c r="G629" s="6" t="n">
        <v>18104</v>
      </c>
      <c r="H629" s="6" t="n">
        <v>10206</v>
      </c>
      <c r="I629" s="6" t="n">
        <v>7898</v>
      </c>
      <c r="J629" t="inlineStr">
        <is>
          <t>https://www2.census.gov/programs-surveys/susb/datasets/2022/msa_3digitnaics_2022.txt</t>
        </is>
      </c>
    </row>
    <row r="630">
      <c r="A630" t="inlineStr">
        <is>
          <t>micro</t>
        </is>
      </c>
      <c r="B630" t="inlineStr">
        <is>
          <t>Adrian, MI Micro Area</t>
        </is>
      </c>
      <c r="C630" t="inlineStr">
        <is>
          <t>10300</t>
        </is>
      </c>
      <c r="D630" s="7" t="n">
        <v>56.3</v>
      </c>
      <c r="E630" t="n">
        <v>56.29324691249891</v>
      </c>
      <c r="F630" s="7" t="n">
        <v>43.7</v>
      </c>
      <c r="G630" s="6" t="n">
        <v>22834</v>
      </c>
      <c r="H630" s="6" t="n">
        <v>12854</v>
      </c>
      <c r="I630" s="6" t="n">
        <v>9980</v>
      </c>
      <c r="J630" t="inlineStr">
        <is>
          <t>https://www2.census.gov/programs-surveys/susb/datasets/2022/msa_3digitnaics_2022.txt</t>
        </is>
      </c>
    </row>
    <row r="631">
      <c r="A631" t="inlineStr">
        <is>
          <t>micro</t>
        </is>
      </c>
      <c r="B631" t="inlineStr">
        <is>
          <t>Marinette, WI-MI Micro Area</t>
        </is>
      </c>
      <c r="C631" t="inlineStr">
        <is>
          <t>31940</t>
        </is>
      </c>
      <c r="D631" s="7" t="n">
        <v>56.3</v>
      </c>
      <c r="E631" t="n">
        <v>56.25091889242832</v>
      </c>
      <c r="F631" s="7" t="n">
        <v>43.7</v>
      </c>
      <c r="G631" s="6" t="n">
        <v>20405</v>
      </c>
      <c r="H631" s="6" t="n">
        <v>11478</v>
      </c>
      <c r="I631" s="6" t="n">
        <v>8927</v>
      </c>
      <c r="J631" t="inlineStr">
        <is>
          <t>https://www2.census.gov/programs-surveys/susb/datasets/2022/msa_3digitnaics_2022.txt</t>
        </is>
      </c>
    </row>
    <row r="632">
      <c r="A632" t="inlineStr">
        <is>
          <t>micro</t>
        </is>
      </c>
      <c r="B632" t="inlineStr">
        <is>
          <t>Beatrice, NE Micro Area</t>
        </is>
      </c>
      <c r="C632" t="inlineStr">
        <is>
          <t>13100</t>
        </is>
      </c>
      <c r="D632" s="7" t="n">
        <v>55.8</v>
      </c>
      <c r="E632" t="n">
        <v>55.83059946316731</v>
      </c>
      <c r="F632" s="7" t="n">
        <v>44.2</v>
      </c>
      <c r="G632" s="6" t="n">
        <v>6706</v>
      </c>
      <c r="H632" s="6" t="n">
        <v>3744</v>
      </c>
      <c r="I632" s="6" t="n">
        <v>2962</v>
      </c>
      <c r="J632" t="inlineStr">
        <is>
          <t>https://www2.census.gov/programs-surveys/susb/datasets/2022/msa_3digitnaics_2022.txt</t>
        </is>
      </c>
    </row>
    <row r="633">
      <c r="A633" t="inlineStr">
        <is>
          <t>micro</t>
        </is>
      </c>
      <c r="B633" t="inlineStr">
        <is>
          <t>Portsmouth, OH Micro Area</t>
        </is>
      </c>
      <c r="C633" t="inlineStr">
        <is>
          <t>39020</t>
        </is>
      </c>
      <c r="D633" s="7" t="n">
        <v>55.8</v>
      </c>
      <c r="E633" t="n">
        <v>55.82387842198397</v>
      </c>
      <c r="F633" s="7" t="n">
        <v>44.2</v>
      </c>
      <c r="G633" s="6" t="n">
        <v>19214</v>
      </c>
      <c r="H633" s="6" t="n">
        <v>10726</v>
      </c>
      <c r="I633" s="6" t="n">
        <v>8488</v>
      </c>
      <c r="J633" t="inlineStr">
        <is>
          <t>https://www2.census.gov/programs-surveys/susb/datasets/2022/msa_3digitnaics_2022.txt</t>
        </is>
      </c>
    </row>
    <row r="634">
      <c r="A634" t="inlineStr">
        <is>
          <t>micro</t>
        </is>
      </c>
      <c r="B634" t="inlineStr">
        <is>
          <t>Shawnee, OK Micro Area</t>
        </is>
      </c>
      <c r="C634" t="inlineStr">
        <is>
          <t>43060</t>
        </is>
      </c>
      <c r="D634" s="7" t="n">
        <v>55.7</v>
      </c>
      <c r="E634" t="n">
        <v>55.6938850238008</v>
      </c>
      <c r="F634" s="7" t="n">
        <v>44.3</v>
      </c>
      <c r="G634" s="6" t="n">
        <v>16386</v>
      </c>
      <c r="H634" s="6" t="n">
        <v>9126</v>
      </c>
      <c r="I634" s="6" t="n">
        <v>7260</v>
      </c>
      <c r="J634" t="inlineStr">
        <is>
          <t>https://www2.census.gov/programs-surveys/susb/datasets/2022/msa_3digitnaics_2022.txt</t>
        </is>
      </c>
    </row>
    <row r="635">
      <c r="A635" t="inlineStr">
        <is>
          <t>micro</t>
        </is>
      </c>
      <c r="B635" t="inlineStr">
        <is>
          <t>Arkadelphia, AR Micro Area</t>
        </is>
      </c>
      <c r="C635" t="inlineStr">
        <is>
          <t>11660</t>
        </is>
      </c>
      <c r="D635" s="7" t="n">
        <v>55.6</v>
      </c>
      <c r="E635" t="n">
        <v>55.6152927120669</v>
      </c>
      <c r="F635" s="7" t="n">
        <v>44.4</v>
      </c>
      <c r="G635" s="6" t="n">
        <v>6696</v>
      </c>
      <c r="H635" s="6" t="n">
        <v>3724</v>
      </c>
      <c r="I635" s="6" t="n">
        <v>2972</v>
      </c>
      <c r="J635" t="inlineStr">
        <is>
          <t>https://www2.census.gov/programs-surveys/susb/datasets/2022/msa_3digitnaics_2022.txt</t>
        </is>
      </c>
    </row>
    <row r="636">
      <c r="A636" t="inlineStr">
        <is>
          <t>micro</t>
        </is>
      </c>
      <c r="B636" t="inlineStr">
        <is>
          <t>Batavia, NY Micro Area</t>
        </is>
      </c>
      <c r="C636" t="inlineStr">
        <is>
          <t>12860</t>
        </is>
      </c>
      <c r="D636" s="7" t="n">
        <v>55.6</v>
      </c>
      <c r="E636" t="n">
        <v>55.60303893637227</v>
      </c>
      <c r="F636" s="7" t="n">
        <v>44.4</v>
      </c>
      <c r="G636" s="6" t="n">
        <v>16848</v>
      </c>
      <c r="H636" s="6" t="n">
        <v>9368</v>
      </c>
      <c r="I636" s="6" t="n">
        <v>7480</v>
      </c>
      <c r="J636" t="inlineStr">
        <is>
          <t>https://www2.census.gov/programs-surveys/susb/datasets/2022/msa_3digitnaics_2022.txt</t>
        </is>
      </c>
    </row>
    <row r="637">
      <c r="A637" t="inlineStr">
        <is>
          <t>micro</t>
        </is>
      </c>
      <c r="B637" t="inlineStr">
        <is>
          <t>Farmington, MO Micro Area</t>
        </is>
      </c>
      <c r="C637" t="inlineStr">
        <is>
          <t>22100</t>
        </is>
      </c>
      <c r="D637" s="7" t="n">
        <v>55.5</v>
      </c>
      <c r="E637" t="n">
        <v>55.50113036925396</v>
      </c>
      <c r="F637" s="7" t="n">
        <v>44.5</v>
      </c>
      <c r="G637" s="6" t="n">
        <v>18578</v>
      </c>
      <c r="H637" s="6" t="n">
        <v>10311</v>
      </c>
      <c r="I637" s="6" t="n">
        <v>8267</v>
      </c>
      <c r="J637" t="inlineStr">
        <is>
          <t>https://www2.census.gov/programs-surveys/susb/datasets/2022/msa_3digitnaics_2022.txt</t>
        </is>
      </c>
    </row>
    <row r="638">
      <c r="A638" t="inlineStr">
        <is>
          <t>micro</t>
        </is>
      </c>
      <c r="B638" t="inlineStr">
        <is>
          <t>Bluefield, WV-VA Micro Area</t>
        </is>
      </c>
      <c r="C638" t="inlineStr">
        <is>
          <t>14140</t>
        </is>
      </c>
      <c r="D638" s="7" t="n">
        <v>55.4</v>
      </c>
      <c r="E638" t="n">
        <v>55.41539799913006</v>
      </c>
      <c r="F638" s="7" t="n">
        <v>44.6</v>
      </c>
      <c r="G638" s="6" t="n">
        <v>27588</v>
      </c>
      <c r="H638" s="6" t="n">
        <v>15288</v>
      </c>
      <c r="I638" s="6" t="n">
        <v>12300</v>
      </c>
      <c r="J638" t="inlineStr">
        <is>
          <t>https://www2.census.gov/programs-surveys/susb/datasets/2022/msa_3digitnaics_2022.txt</t>
        </is>
      </c>
    </row>
    <row r="639">
      <c r="A639" t="inlineStr">
        <is>
          <t>micro</t>
        </is>
      </c>
      <c r="B639" t="inlineStr">
        <is>
          <t>Arcadia, FL Micro Area</t>
        </is>
      </c>
      <c r="C639" t="inlineStr">
        <is>
          <t>11580</t>
        </is>
      </c>
      <c r="D639" s="7" t="n">
        <v>55.3</v>
      </c>
      <c r="E639" t="n">
        <v>55.31072473747633</v>
      </c>
      <c r="F639" s="7" t="n">
        <v>44.7</v>
      </c>
      <c r="G639" s="6" t="n">
        <v>5809</v>
      </c>
      <c r="H639" s="6" t="n">
        <v>3213</v>
      </c>
      <c r="I639" s="6" t="n">
        <v>2596</v>
      </c>
      <c r="J639" t="inlineStr">
        <is>
          <t>https://www2.census.gov/programs-surveys/susb/datasets/2022/msa_3digitnaics_2022.txt</t>
        </is>
      </c>
    </row>
    <row r="640">
      <c r="A640" t="inlineStr">
        <is>
          <t>micro</t>
        </is>
      </c>
      <c r="B640" t="inlineStr">
        <is>
          <t>Baraboo, WI Micro Area</t>
        </is>
      </c>
      <c r="C640" t="inlineStr">
        <is>
          <t>12660</t>
        </is>
      </c>
      <c r="D640" s="7" t="n">
        <v>55.3</v>
      </c>
      <c r="E640" t="n">
        <v>55.3100119114789</v>
      </c>
      <c r="F640" s="7" t="n">
        <v>44.7</v>
      </c>
      <c r="G640" s="6" t="n">
        <v>31902</v>
      </c>
      <c r="H640" s="6" t="n">
        <v>17645</v>
      </c>
      <c r="I640" s="6" t="n">
        <v>14257</v>
      </c>
      <c r="J640" t="inlineStr">
        <is>
          <t>https://www2.census.gov/programs-surveys/susb/datasets/2022/msa_3digitnaics_2022.txt</t>
        </is>
      </c>
    </row>
    <row r="641">
      <c r="A641" t="inlineStr">
        <is>
          <t>micro</t>
        </is>
      </c>
      <c r="B641" t="inlineStr">
        <is>
          <t>Mexico, MO Micro Area</t>
        </is>
      </c>
      <c r="C641" t="inlineStr">
        <is>
          <t>33020</t>
        </is>
      </c>
      <c r="D641" s="7" t="n">
        <v>55.3</v>
      </c>
      <c r="E641" t="n">
        <v>55.25949146638802</v>
      </c>
      <c r="F641" s="7" t="n">
        <v>44.7</v>
      </c>
      <c r="G641" s="6" t="n">
        <v>5742</v>
      </c>
      <c r="H641" s="6" t="n">
        <v>3173</v>
      </c>
      <c r="I641" s="6" t="n">
        <v>2569</v>
      </c>
      <c r="J641" t="inlineStr">
        <is>
          <t>https://www2.census.gov/programs-surveys/susb/datasets/2022/msa_3digitnaics_2022.txt</t>
        </is>
      </c>
    </row>
    <row r="642">
      <c r="A642" t="inlineStr">
        <is>
          <t>micro</t>
        </is>
      </c>
      <c r="B642" t="inlineStr">
        <is>
          <t>Dublin, GA Micro Area</t>
        </is>
      </c>
      <c r="C642" t="inlineStr">
        <is>
          <t>20140</t>
        </is>
      </c>
      <c r="D642" s="7" t="n">
        <v>55.2</v>
      </c>
      <c r="E642" t="n">
        <v>55.22736804265772</v>
      </c>
      <c r="F642" s="7" t="n">
        <v>44.8</v>
      </c>
      <c r="G642" s="6" t="n">
        <v>16691</v>
      </c>
      <c r="H642" s="6" t="n">
        <v>9218</v>
      </c>
      <c r="I642" s="6" t="n">
        <v>7473</v>
      </c>
      <c r="J642" t="inlineStr">
        <is>
          <t>https://www2.census.gov/programs-surveys/susb/datasets/2022/msa_3digitnaics_2022.txt</t>
        </is>
      </c>
    </row>
    <row r="643">
      <c r="A643" t="inlineStr">
        <is>
          <t>micro</t>
        </is>
      </c>
      <c r="B643" t="inlineStr">
        <is>
          <t>Paris, TX Micro Area</t>
        </is>
      </c>
      <c r="C643" t="inlineStr">
        <is>
          <t>37580</t>
        </is>
      </c>
      <c r="D643" s="7" t="n">
        <v>55.2</v>
      </c>
      <c r="E643" t="n">
        <v>55.21846421831906</v>
      </c>
      <c r="F643" s="7" t="n">
        <v>44.8</v>
      </c>
      <c r="G643" s="6" t="n">
        <v>20667</v>
      </c>
      <c r="H643" s="6" t="n">
        <v>11412</v>
      </c>
      <c r="I643" s="6" t="n">
        <v>9255</v>
      </c>
      <c r="J643" t="inlineStr">
        <is>
          <t>https://www2.census.gov/programs-surveys/susb/datasets/2022/msa_3digitnaics_2022.txt</t>
        </is>
      </c>
    </row>
    <row r="644">
      <c r="A644" t="inlineStr">
        <is>
          <t>micro</t>
        </is>
      </c>
      <c r="B644" t="inlineStr">
        <is>
          <t>McMinnville, TN Micro Area</t>
        </is>
      </c>
      <c r="C644" t="inlineStr">
        <is>
          <t>32660</t>
        </is>
      </c>
      <c r="D644" s="7" t="n">
        <v>55.2</v>
      </c>
      <c r="E644" t="n">
        <v>55.20494810776811</v>
      </c>
      <c r="F644" s="7" t="n">
        <v>44.8</v>
      </c>
      <c r="G644" s="6" t="n">
        <v>9539</v>
      </c>
      <c r="H644" s="6" t="n">
        <v>5266</v>
      </c>
      <c r="I644" s="6" t="n">
        <v>4273</v>
      </c>
      <c r="J644" t="inlineStr">
        <is>
          <t>https://www2.census.gov/programs-surveys/susb/datasets/2022/msa_3digitnaics_2022.txt</t>
        </is>
      </c>
    </row>
    <row r="645">
      <c r="A645" t="inlineStr">
        <is>
          <t>micro</t>
        </is>
      </c>
      <c r="B645" t="inlineStr">
        <is>
          <t>Lebanon-Claremont, NH-VT Micro Area</t>
        </is>
      </c>
      <c r="C645" t="inlineStr">
        <is>
          <t>30150</t>
        </is>
      </c>
      <c r="D645" s="7" t="n">
        <v>55.1</v>
      </c>
      <c r="E645" t="n">
        <v>55.1437528588801</v>
      </c>
      <c r="F645" s="7" t="n">
        <v>44.9</v>
      </c>
      <c r="G645" s="6" t="n">
        <v>89633</v>
      </c>
      <c r="H645" s="6" t="n">
        <v>49427</v>
      </c>
      <c r="I645" s="6" t="n">
        <v>40206</v>
      </c>
      <c r="J645" t="inlineStr">
        <is>
          <t>https://www2.census.gov/programs-surveys/susb/datasets/2022/msa_3digitnaics_2022.txt</t>
        </is>
      </c>
    </row>
    <row r="646">
      <c r="A646" t="inlineStr">
        <is>
          <t>micro</t>
        </is>
      </c>
      <c r="B646" t="inlineStr">
        <is>
          <t>Jamestown-Dunkirk, NY Micro Area</t>
        </is>
      </c>
      <c r="C646" t="inlineStr">
        <is>
          <t>27460</t>
        </is>
      </c>
      <c r="D646" s="7" t="n">
        <v>55.1</v>
      </c>
      <c r="E646" t="n">
        <v>55.06840156346431</v>
      </c>
      <c r="F646" s="7" t="n">
        <v>44.9</v>
      </c>
      <c r="G646" s="6" t="n">
        <v>38888</v>
      </c>
      <c r="H646" s="6" t="n">
        <v>21415</v>
      </c>
      <c r="I646" s="6" t="n">
        <v>17473</v>
      </c>
      <c r="J646" t="inlineStr">
        <is>
          <t>https://www2.census.gov/programs-surveys/susb/datasets/2022/msa_3digitnaics_2022.txt</t>
        </is>
      </c>
    </row>
    <row r="647">
      <c r="A647" t="inlineStr">
        <is>
          <t>micro</t>
        </is>
      </c>
      <c r="B647" t="inlineStr">
        <is>
          <t>Galesburg, IL Micro Area</t>
        </is>
      </c>
      <c r="C647" t="inlineStr">
        <is>
          <t>23660</t>
        </is>
      </c>
      <c r="D647" s="7" t="n">
        <v>55</v>
      </c>
      <c r="E647" t="n">
        <v>55.04858470637938</v>
      </c>
      <c r="F647" s="7" t="n">
        <v>45</v>
      </c>
      <c r="G647" s="6" t="n">
        <v>14202</v>
      </c>
      <c r="H647" s="6" t="n">
        <v>7818</v>
      </c>
      <c r="I647" s="6" t="n">
        <v>6384</v>
      </c>
      <c r="J647" t="inlineStr">
        <is>
          <t>https://www2.census.gov/programs-surveys/susb/datasets/2022/msa_3digitnaics_2022.txt</t>
        </is>
      </c>
    </row>
    <row r="648">
      <c r="A648" t="inlineStr">
        <is>
          <t>micro</t>
        </is>
      </c>
      <c r="B648" t="inlineStr">
        <is>
          <t>Wooster, OH Micro Area</t>
        </is>
      </c>
      <c r="C648" t="inlineStr">
        <is>
          <t>49300</t>
        </is>
      </c>
      <c r="D648" s="7" t="n">
        <v>55</v>
      </c>
      <c r="E648" t="n">
        <v>55.03355704697987</v>
      </c>
      <c r="F648" s="7" t="n">
        <v>45</v>
      </c>
      <c r="G648" s="6" t="n">
        <v>42167</v>
      </c>
      <c r="H648" s="6" t="n">
        <v>23206</v>
      </c>
      <c r="I648" s="6" t="n">
        <v>18961</v>
      </c>
      <c r="J648" t="inlineStr">
        <is>
          <t>https://www2.census.gov/programs-surveys/susb/datasets/2022/msa_3digitnaics_2022.txt</t>
        </is>
      </c>
    </row>
    <row r="649">
      <c r="A649" t="inlineStr">
        <is>
          <t>micro</t>
        </is>
      </c>
      <c r="B649" t="inlineStr">
        <is>
          <t>Lexington, NE Micro Area</t>
        </is>
      </c>
      <c r="C649" t="inlineStr">
        <is>
          <t>30420</t>
        </is>
      </c>
      <c r="D649" s="7" t="n">
        <v>54.9</v>
      </c>
      <c r="E649" t="n">
        <v>54.93916271396164</v>
      </c>
      <c r="F649" s="7" t="n">
        <v>45.1</v>
      </c>
      <c r="G649" s="6" t="n">
        <v>9698</v>
      </c>
      <c r="H649" s="6" t="n">
        <v>5328</v>
      </c>
      <c r="I649" s="6" t="n">
        <v>4370</v>
      </c>
      <c r="J649" t="inlineStr">
        <is>
          <t>https://www2.census.gov/programs-surveys/susb/datasets/2022/msa_3digitnaics_2022.txt</t>
        </is>
      </c>
    </row>
    <row r="650">
      <c r="A650" t="inlineStr">
        <is>
          <t>micro</t>
        </is>
      </c>
      <c r="B650" t="inlineStr">
        <is>
          <t>Cambridge, MD Micro Area</t>
        </is>
      </c>
      <c r="C650" t="inlineStr">
        <is>
          <t>15700</t>
        </is>
      </c>
      <c r="D650" s="7" t="n">
        <v>54.9</v>
      </c>
      <c r="E650" t="n">
        <v>54.92653414001729</v>
      </c>
      <c r="F650" s="7" t="n">
        <v>45.1</v>
      </c>
      <c r="G650" s="6" t="n">
        <v>9256</v>
      </c>
      <c r="H650" s="6" t="n">
        <v>5084</v>
      </c>
      <c r="I650" s="6" t="n">
        <v>4172</v>
      </c>
      <c r="J650" t="inlineStr">
        <is>
          <t>https://www2.census.gov/programs-surveys/susb/datasets/2022/msa_3digitnaics_2022.txt</t>
        </is>
      </c>
    </row>
    <row r="651">
      <c r="A651" t="inlineStr">
        <is>
          <t>micro</t>
        </is>
      </c>
      <c r="B651" t="inlineStr">
        <is>
          <t>New Ulm, MN Micro Area</t>
        </is>
      </c>
      <c r="C651" t="inlineStr">
        <is>
          <t>35580</t>
        </is>
      </c>
      <c r="D651" s="7" t="n">
        <v>54.7</v>
      </c>
      <c r="E651" t="n">
        <v>54.73676096508132</v>
      </c>
      <c r="F651" s="7" t="n">
        <v>45.3</v>
      </c>
      <c r="G651" s="6" t="n">
        <v>12973</v>
      </c>
      <c r="H651" s="6" t="n">
        <v>7101</v>
      </c>
      <c r="I651" s="6" t="n">
        <v>5872</v>
      </c>
      <c r="J651" t="inlineStr">
        <is>
          <t>https://www2.census.gov/programs-surveys/susb/datasets/2022/msa_3digitnaics_2022.txt</t>
        </is>
      </c>
    </row>
    <row r="652">
      <c r="A652" t="inlineStr">
        <is>
          <t>micro</t>
        </is>
      </c>
      <c r="B652" t="inlineStr">
        <is>
          <t>Monticello, IN Micro Area</t>
        </is>
      </c>
      <c r="C652" t="inlineStr">
        <is>
          <t>33900</t>
        </is>
      </c>
      <c r="D652" s="7" t="n">
        <v>54.6</v>
      </c>
      <c r="E652" t="n">
        <v>54.64212678936605</v>
      </c>
      <c r="F652" s="7" t="n">
        <v>45.4</v>
      </c>
      <c r="G652" s="6" t="n">
        <v>7335</v>
      </c>
      <c r="H652" s="6" t="n">
        <v>4008</v>
      </c>
      <c r="I652" s="6" t="n">
        <v>3327</v>
      </c>
      <c r="J652" t="inlineStr">
        <is>
          <t>https://www2.census.gov/programs-surveys/susb/datasets/2022/msa_3digitnaics_2022.txt</t>
        </is>
      </c>
    </row>
    <row r="653">
      <c r="A653" t="inlineStr">
        <is>
          <t>micro</t>
        </is>
      </c>
      <c r="B653" t="inlineStr">
        <is>
          <t>Alexander City, AL Micro Area</t>
        </is>
      </c>
      <c r="C653" t="inlineStr">
        <is>
          <t>10760</t>
        </is>
      </c>
      <c r="D653" s="7" t="n">
        <v>54.6</v>
      </c>
      <c r="E653" t="n">
        <v>54.62127824653283</v>
      </c>
      <c r="F653" s="7" t="n">
        <v>45.4</v>
      </c>
      <c r="G653" s="6" t="n">
        <v>10311</v>
      </c>
      <c r="H653" s="6" t="n">
        <v>5632</v>
      </c>
      <c r="I653" s="6" t="n">
        <v>4679</v>
      </c>
      <c r="J653" t="inlineStr">
        <is>
          <t>https://www2.census.gov/programs-surveys/susb/datasets/2022/msa_3digitnaics_2022.txt</t>
        </is>
      </c>
    </row>
    <row r="654">
      <c r="A654" t="inlineStr">
        <is>
          <t>micro</t>
        </is>
      </c>
      <c r="B654" t="inlineStr">
        <is>
          <t>Bay City, TX Micro Area</t>
        </is>
      </c>
      <c r="C654" t="inlineStr">
        <is>
          <t>13060</t>
        </is>
      </c>
      <c r="D654" s="7" t="n">
        <v>54.6</v>
      </c>
      <c r="E654" t="n">
        <v>54.61970393057683</v>
      </c>
      <c r="F654" s="7" t="n">
        <v>45.4</v>
      </c>
      <c r="G654" s="6" t="n">
        <v>7836</v>
      </c>
      <c r="H654" s="6" t="n">
        <v>4280</v>
      </c>
      <c r="I654" s="6" t="n">
        <v>3556</v>
      </c>
      <c r="J654" t="inlineStr">
        <is>
          <t>https://www2.census.gov/programs-surveys/susb/datasets/2022/msa_3digitnaics_2022.txt</t>
        </is>
      </c>
    </row>
    <row r="655">
      <c r="A655" t="inlineStr">
        <is>
          <t>micro</t>
        </is>
      </c>
      <c r="B655" t="inlineStr">
        <is>
          <t>Mountain Home, AR Micro Area</t>
        </is>
      </c>
      <c r="C655" t="inlineStr">
        <is>
          <t>34260</t>
        </is>
      </c>
      <c r="D655" s="7" t="n">
        <v>54.6</v>
      </c>
      <c r="E655" t="n">
        <v>54.57546175995505</v>
      </c>
      <c r="F655" s="7" t="n">
        <v>45.4</v>
      </c>
      <c r="G655" s="6" t="n">
        <v>14239</v>
      </c>
      <c r="H655" s="6" t="n">
        <v>7771</v>
      </c>
      <c r="I655" s="6" t="n">
        <v>6468</v>
      </c>
      <c r="J655" t="inlineStr">
        <is>
          <t>https://www2.census.gov/programs-surveys/susb/datasets/2022/msa_3digitnaics_2022.txt</t>
        </is>
      </c>
    </row>
    <row r="656">
      <c r="A656" t="inlineStr">
        <is>
          <t>micro</t>
        </is>
      </c>
      <c r="B656" t="inlineStr">
        <is>
          <t>Keene, NH Micro Area</t>
        </is>
      </c>
      <c r="C656" t="inlineStr">
        <is>
          <t>28300</t>
        </is>
      </c>
      <c r="D656" s="7" t="n">
        <v>54.5</v>
      </c>
      <c r="E656" t="n">
        <v>54.50739911137223</v>
      </c>
      <c r="F656" s="7" t="n">
        <v>45.5</v>
      </c>
      <c r="G656" s="6" t="n">
        <v>27233</v>
      </c>
      <c r="H656" s="6" t="n">
        <v>14844</v>
      </c>
      <c r="I656" s="6" t="n">
        <v>12389</v>
      </c>
      <c r="J656" t="inlineStr">
        <is>
          <t>https://www2.census.gov/programs-surveys/susb/datasets/2022/msa_3digitnaics_2022.txt</t>
        </is>
      </c>
    </row>
    <row r="657">
      <c r="A657" t="inlineStr">
        <is>
          <t>micro</t>
        </is>
      </c>
      <c r="B657" t="inlineStr">
        <is>
          <t>Coshocton, OH Micro Area</t>
        </is>
      </c>
      <c r="C657" t="inlineStr">
        <is>
          <t>18740</t>
        </is>
      </c>
      <c r="D657" s="7" t="n">
        <v>54.5</v>
      </c>
      <c r="E657" t="n">
        <v>54.50242869597708</v>
      </c>
      <c r="F657" s="7" t="n">
        <v>45.5</v>
      </c>
      <c r="G657" s="6" t="n">
        <v>8029</v>
      </c>
      <c r="H657" s="6" t="n">
        <v>4376</v>
      </c>
      <c r="I657" s="6" t="n">
        <v>3653</v>
      </c>
      <c r="J657" t="inlineStr">
        <is>
          <t>https://www2.census.gov/programs-surveys/susb/datasets/2022/msa_3digitnaics_2022.txt</t>
        </is>
      </c>
    </row>
    <row r="658">
      <c r="A658" t="inlineStr">
        <is>
          <t>micro</t>
        </is>
      </c>
      <c r="B658" t="inlineStr">
        <is>
          <t>Starkville, MS Micro Area</t>
        </is>
      </c>
      <c r="C658" t="inlineStr">
        <is>
          <t>44260</t>
        </is>
      </c>
      <c r="D658" s="7" t="n">
        <v>54.5</v>
      </c>
      <c r="E658" t="n">
        <v>54.49860724233983</v>
      </c>
      <c r="F658" s="7" t="n">
        <v>45.5</v>
      </c>
      <c r="G658" s="6" t="n">
        <v>14360</v>
      </c>
      <c r="H658" s="6" t="n">
        <v>7826</v>
      </c>
      <c r="I658" s="6" t="n">
        <v>6534</v>
      </c>
      <c r="J658" t="inlineStr">
        <is>
          <t>https://www2.census.gov/programs-surveys/susb/datasets/2022/msa_3digitnaics_2022.txt</t>
        </is>
      </c>
    </row>
    <row r="659">
      <c r="A659" t="inlineStr">
        <is>
          <t>micro</t>
        </is>
      </c>
      <c r="B659" t="inlineStr">
        <is>
          <t>Somerset, KY Micro Area</t>
        </is>
      </c>
      <c r="C659" t="inlineStr">
        <is>
          <t>43700</t>
        </is>
      </c>
      <c r="D659" s="7" t="n">
        <v>54.4</v>
      </c>
      <c r="E659" t="n">
        <v>54.40127627627628</v>
      </c>
      <c r="F659" s="7" t="n">
        <v>45.6</v>
      </c>
      <c r="G659" s="6" t="n">
        <v>21312</v>
      </c>
      <c r="H659" s="6" t="n">
        <v>11594</v>
      </c>
      <c r="I659" s="6" t="n">
        <v>9718</v>
      </c>
      <c r="J659" t="inlineStr">
        <is>
          <t>https://www2.census.gov/programs-surveys/susb/datasets/2022/msa_3digitnaics_2022.txt</t>
        </is>
      </c>
    </row>
    <row r="660">
      <c r="A660" t="inlineStr">
        <is>
          <t>micro</t>
        </is>
      </c>
      <c r="B660" t="inlineStr">
        <is>
          <t>New Castle, IN Micro Area</t>
        </is>
      </c>
      <c r="C660" t="inlineStr">
        <is>
          <t>35220</t>
        </is>
      </c>
      <c r="D660" s="7" t="n">
        <v>54.3</v>
      </c>
      <c r="E660" t="n">
        <v>54.34842501607127</v>
      </c>
      <c r="F660" s="7" t="n">
        <v>45.7</v>
      </c>
      <c r="G660" s="6" t="n">
        <v>10889</v>
      </c>
      <c r="H660" s="6" t="n">
        <v>5918</v>
      </c>
      <c r="I660" s="6" t="n">
        <v>4971</v>
      </c>
      <c r="J660" t="inlineStr">
        <is>
          <t>https://www2.census.gov/programs-surveys/susb/datasets/2022/msa_3digitnaics_2022.txt</t>
        </is>
      </c>
    </row>
    <row r="661">
      <c r="A661" t="inlineStr">
        <is>
          <t>micro</t>
        </is>
      </c>
      <c r="B661" t="inlineStr">
        <is>
          <t>Gillette, WY Micro Area</t>
        </is>
      </c>
      <c r="C661" t="inlineStr">
        <is>
          <t>23940</t>
        </is>
      </c>
      <c r="D661" s="7" t="n">
        <v>54.3</v>
      </c>
      <c r="E661" t="n">
        <v>54.32536949727182</v>
      </c>
      <c r="F661" s="7" t="n">
        <v>45.7</v>
      </c>
      <c r="G661" s="6" t="n">
        <v>18877</v>
      </c>
      <c r="H661" s="6" t="n">
        <v>10255</v>
      </c>
      <c r="I661" s="6" t="n">
        <v>8622</v>
      </c>
      <c r="J661" t="inlineStr">
        <is>
          <t>https://www2.census.gov/programs-surveys/susb/datasets/2022/msa_3digitnaics_2022.txt</t>
        </is>
      </c>
    </row>
    <row r="662">
      <c r="A662" t="inlineStr">
        <is>
          <t>micro</t>
        </is>
      </c>
      <c r="B662" t="inlineStr">
        <is>
          <t>Henderson, KY Micro Area</t>
        </is>
      </c>
      <c r="C662" t="inlineStr">
        <is>
          <t>25775</t>
        </is>
      </c>
      <c r="D662" s="7" t="n">
        <v>54.3</v>
      </c>
      <c r="E662" t="n">
        <v>54.29514802171358</v>
      </c>
      <c r="F662" s="7" t="n">
        <v>45.7</v>
      </c>
      <c r="G662" s="6" t="n">
        <v>17869</v>
      </c>
      <c r="H662" s="6" t="n">
        <v>9702</v>
      </c>
      <c r="I662" s="6" t="n">
        <v>8167</v>
      </c>
      <c r="J662" t="inlineStr">
        <is>
          <t>https://www2.census.gov/programs-surveys/susb/datasets/2022/msa_3digitnaics_2022.txt</t>
        </is>
      </c>
    </row>
    <row r="663">
      <c r="A663" t="inlineStr">
        <is>
          <t>micro</t>
        </is>
      </c>
      <c r="B663" t="inlineStr">
        <is>
          <t>Watertown-Fort Atkinson, WI Micro Area</t>
        </is>
      </c>
      <c r="C663" t="inlineStr">
        <is>
          <t>48020</t>
        </is>
      </c>
      <c r="D663" s="7" t="n">
        <v>54.3</v>
      </c>
      <c r="E663" t="n">
        <v>54.26975511234536</v>
      </c>
      <c r="F663" s="7" t="n">
        <v>45.7</v>
      </c>
      <c r="G663" s="6" t="n">
        <v>31688</v>
      </c>
      <c r="H663" s="6" t="n">
        <v>17197</v>
      </c>
      <c r="I663" s="6" t="n">
        <v>14491</v>
      </c>
      <c r="J663" t="inlineStr">
        <is>
          <t>https://www2.census.gov/programs-surveys/susb/datasets/2022/msa_3digitnaics_2022.txt</t>
        </is>
      </c>
    </row>
    <row r="664">
      <c r="A664" t="inlineStr">
        <is>
          <t>micro</t>
        </is>
      </c>
      <c r="B664" t="inlineStr">
        <is>
          <t>Borger, TX Micro Area</t>
        </is>
      </c>
      <c r="C664" t="inlineStr">
        <is>
          <t>14420</t>
        </is>
      </c>
      <c r="D664" s="7" t="n">
        <v>54.2</v>
      </c>
      <c r="E664" t="n">
        <v>54.18417366946779</v>
      </c>
      <c r="F664" s="7" t="n">
        <v>45.8</v>
      </c>
      <c r="G664" s="6" t="n">
        <v>5712</v>
      </c>
      <c r="H664" s="6" t="n">
        <v>3095</v>
      </c>
      <c r="I664" s="6" t="n">
        <v>2617</v>
      </c>
      <c r="J664" t="inlineStr">
        <is>
          <t>https://www2.census.gov/programs-surveys/susb/datasets/2022/msa_3digitnaics_2022.txt</t>
        </is>
      </c>
    </row>
    <row r="665">
      <c r="A665" t="inlineStr">
        <is>
          <t>micro</t>
        </is>
      </c>
      <c r="B665" t="inlineStr">
        <is>
          <t>Statesboro, GA Micro Area</t>
        </is>
      </c>
      <c r="C665" t="inlineStr">
        <is>
          <t>44340</t>
        </is>
      </c>
      <c r="D665" s="7" t="n">
        <v>54.1</v>
      </c>
      <c r="E665" t="n">
        <v>54.14512093411176</v>
      </c>
      <c r="F665" s="7" t="n">
        <v>45.9</v>
      </c>
      <c r="G665" s="6" t="n">
        <v>23980</v>
      </c>
      <c r="H665" s="6" t="n">
        <v>12984</v>
      </c>
      <c r="I665" s="6" t="n">
        <v>10996</v>
      </c>
      <c r="J665" t="inlineStr">
        <is>
          <t>https://www2.census.gov/programs-surveys/susb/datasets/2022/msa_3digitnaics_2022.txt</t>
        </is>
      </c>
    </row>
    <row r="666">
      <c r="A666" t="inlineStr">
        <is>
          <t>micro</t>
        </is>
      </c>
      <c r="B666" t="inlineStr">
        <is>
          <t>Gainesville, TX Micro Area</t>
        </is>
      </c>
      <c r="C666" t="inlineStr">
        <is>
          <t>23620</t>
        </is>
      </c>
      <c r="D666" s="7" t="n">
        <v>54.1</v>
      </c>
      <c r="E666" t="n">
        <v>54.11558669001752</v>
      </c>
      <c r="F666" s="7" t="n">
        <v>45.9</v>
      </c>
      <c r="G666" s="6" t="n">
        <v>14275</v>
      </c>
      <c r="H666" s="6" t="n">
        <v>7725</v>
      </c>
      <c r="I666" s="6" t="n">
        <v>6550</v>
      </c>
      <c r="J666" t="inlineStr">
        <is>
          <t>https://www2.census.gov/programs-surveys/susb/datasets/2022/msa_3digitnaics_2022.txt</t>
        </is>
      </c>
    </row>
    <row r="667">
      <c r="A667" t="inlineStr">
        <is>
          <t>micro</t>
        </is>
      </c>
      <c r="B667" t="inlineStr">
        <is>
          <t>Rolla, MO Micro Area</t>
        </is>
      </c>
      <c r="C667" t="inlineStr">
        <is>
          <t>40620</t>
        </is>
      </c>
      <c r="D667" s="7" t="n">
        <v>54.1</v>
      </c>
      <c r="E667" t="n">
        <v>54.11144081767227</v>
      </c>
      <c r="F667" s="7" t="n">
        <v>45.9</v>
      </c>
      <c r="G667" s="6" t="n">
        <v>15165</v>
      </c>
      <c r="H667" s="6" t="n">
        <v>8206</v>
      </c>
      <c r="I667" s="6" t="n">
        <v>6959</v>
      </c>
      <c r="J667" t="inlineStr">
        <is>
          <t>https://www2.census.gov/programs-surveys/susb/datasets/2022/msa_3digitnaics_2022.txt</t>
        </is>
      </c>
    </row>
    <row r="668">
      <c r="A668" t="inlineStr">
        <is>
          <t>micro</t>
        </is>
      </c>
      <c r="B668" t="inlineStr">
        <is>
          <t>Rice Lake, WI Micro Area</t>
        </is>
      </c>
      <c r="C668" t="inlineStr">
        <is>
          <t>39960</t>
        </is>
      </c>
      <c r="D668" s="7" t="n">
        <v>54</v>
      </c>
      <c r="E668" t="n">
        <v>54.01535708099994</v>
      </c>
      <c r="F668" s="7" t="n">
        <v>46</v>
      </c>
      <c r="G668" s="6" t="n">
        <v>17321</v>
      </c>
      <c r="H668" s="6" t="n">
        <v>9356</v>
      </c>
      <c r="I668" s="6" t="n">
        <v>7965</v>
      </c>
      <c r="J668" t="inlineStr">
        <is>
          <t>https://www2.census.gov/programs-surveys/susb/datasets/2022/msa_3digitnaics_2022.txt</t>
        </is>
      </c>
    </row>
    <row r="669">
      <c r="A669" t="inlineStr">
        <is>
          <t>micro</t>
        </is>
      </c>
      <c r="B669" t="inlineStr">
        <is>
          <t>Monticello, NY Micro Area</t>
        </is>
      </c>
      <c r="C669" t="inlineStr">
        <is>
          <t>33910</t>
        </is>
      </c>
      <c r="D669" s="7" t="n">
        <v>53.9</v>
      </c>
      <c r="E669" t="n">
        <v>53.93617021276596</v>
      </c>
      <c r="F669" s="7" t="n">
        <v>46.1</v>
      </c>
      <c r="G669" s="6" t="n">
        <v>21620</v>
      </c>
      <c r="H669" s="6" t="n">
        <v>11661</v>
      </c>
      <c r="I669" s="6" t="n">
        <v>9959</v>
      </c>
      <c r="J669" t="inlineStr">
        <is>
          <t>https://www2.census.gov/programs-surveys/susb/datasets/2022/msa_3digitnaics_2022.txt</t>
        </is>
      </c>
    </row>
    <row r="670">
      <c r="A670" t="inlineStr">
        <is>
          <t>micro</t>
        </is>
      </c>
      <c r="B670" t="inlineStr">
        <is>
          <t>Mayfield, KY Micro Area</t>
        </is>
      </c>
      <c r="C670" t="inlineStr">
        <is>
          <t>32460</t>
        </is>
      </c>
      <c r="D670" s="7" t="n">
        <v>53.9</v>
      </c>
      <c r="E670" t="n">
        <v>53.86419358277369</v>
      </c>
      <c r="F670" s="7" t="n">
        <v>46.1</v>
      </c>
      <c r="G670" s="6" t="n">
        <v>9381</v>
      </c>
      <c r="H670" s="6" t="n">
        <v>5053</v>
      </c>
      <c r="I670" s="6" t="n">
        <v>4328</v>
      </c>
      <c r="J670" t="inlineStr">
        <is>
          <t>https://www2.census.gov/programs-surveys/susb/datasets/2022/msa_3digitnaics_2022.txt</t>
        </is>
      </c>
    </row>
    <row r="671">
      <c r="A671" t="inlineStr">
        <is>
          <t>micro</t>
        </is>
      </c>
      <c r="B671" t="inlineStr">
        <is>
          <t>Americus, GA Micro Area</t>
        </is>
      </c>
      <c r="C671" t="inlineStr">
        <is>
          <t>11140</t>
        </is>
      </c>
      <c r="D671" s="7" t="n">
        <v>53.8</v>
      </c>
      <c r="E671" t="n">
        <v>53.82591306178297</v>
      </c>
      <c r="F671" s="7" t="n">
        <v>46.2</v>
      </c>
      <c r="G671" s="6" t="n">
        <v>9501</v>
      </c>
      <c r="H671" s="6" t="n">
        <v>5114</v>
      </c>
      <c r="I671" s="6" t="n">
        <v>4387</v>
      </c>
      <c r="J671" t="inlineStr">
        <is>
          <t>https://www2.census.gov/programs-surveys/susb/datasets/2022/msa_3digitnaics_2022.txt</t>
        </is>
      </c>
    </row>
    <row r="672">
      <c r="A672" t="inlineStr">
        <is>
          <t>micro</t>
        </is>
      </c>
      <c r="B672" t="inlineStr">
        <is>
          <t>Branson, MO Micro Area</t>
        </is>
      </c>
      <c r="C672" t="inlineStr">
        <is>
          <t>14700</t>
        </is>
      </c>
      <c r="D672" s="7" t="n">
        <v>53.7</v>
      </c>
      <c r="E672" t="n">
        <v>53.73666957135151</v>
      </c>
      <c r="F672" s="7" t="n">
        <v>46.3</v>
      </c>
      <c r="G672" s="6" t="n">
        <v>24099</v>
      </c>
      <c r="H672" s="6" t="n">
        <v>12950</v>
      </c>
      <c r="I672" s="6" t="n">
        <v>11149</v>
      </c>
      <c r="J672" t="inlineStr">
        <is>
          <t>https://www2.census.gov/programs-surveys/susb/datasets/2022/msa_3digitnaics_2022.txt</t>
        </is>
      </c>
    </row>
    <row r="673">
      <c r="A673" t="inlineStr">
        <is>
          <t>micro</t>
        </is>
      </c>
      <c r="B673" t="inlineStr">
        <is>
          <t>Columbus, MS Micro Area</t>
        </is>
      </c>
      <c r="C673" t="inlineStr">
        <is>
          <t>18060</t>
        </is>
      </c>
      <c r="D673" s="7" t="n">
        <v>53.7</v>
      </c>
      <c r="E673" t="n">
        <v>53.67915377153679</v>
      </c>
      <c r="F673" s="7" t="n">
        <v>46.3</v>
      </c>
      <c r="G673" s="6" t="n">
        <v>21649</v>
      </c>
      <c r="H673" s="6" t="n">
        <v>11621</v>
      </c>
      <c r="I673" s="6" t="n">
        <v>10028</v>
      </c>
      <c r="J673" t="inlineStr">
        <is>
          <t>https://www2.census.gov/programs-surveys/susb/datasets/2022/msa_3digitnaics_2022.txt</t>
        </is>
      </c>
    </row>
    <row r="674">
      <c r="A674" t="inlineStr">
        <is>
          <t>micro</t>
        </is>
      </c>
      <c r="B674" t="inlineStr">
        <is>
          <t>Le Mars, IA Micro Area</t>
        </is>
      </c>
      <c r="C674" t="inlineStr">
        <is>
          <t>30180</t>
        </is>
      </c>
      <c r="D674" s="7" t="n">
        <v>53.6</v>
      </c>
      <c r="E674" t="n">
        <v>53.58524248735495</v>
      </c>
      <c r="F674" s="7" t="n">
        <v>46.4</v>
      </c>
      <c r="G674" s="6" t="n">
        <v>10083</v>
      </c>
      <c r="H674" s="6" t="n">
        <v>5403</v>
      </c>
      <c r="I674" s="6" t="n">
        <v>4680</v>
      </c>
      <c r="J674" t="inlineStr">
        <is>
          <t>https://www2.census.gov/programs-surveys/susb/datasets/2022/msa_3digitnaics_2022.txt</t>
        </is>
      </c>
    </row>
    <row r="675">
      <c r="A675" t="inlineStr">
        <is>
          <t>micro</t>
        </is>
      </c>
      <c r="B675" t="inlineStr">
        <is>
          <t>Big Rapids, MI Micro Area</t>
        </is>
      </c>
      <c r="C675" t="inlineStr">
        <is>
          <t>13660</t>
        </is>
      </c>
      <c r="D675" s="7" t="n">
        <v>53.6</v>
      </c>
      <c r="E675" t="n">
        <v>53.55801104972376</v>
      </c>
      <c r="F675" s="7" t="n">
        <v>46.4</v>
      </c>
      <c r="G675" s="6" t="n">
        <v>9050</v>
      </c>
      <c r="H675" s="6" t="n">
        <v>4847</v>
      </c>
      <c r="I675" s="6" t="n">
        <v>4203</v>
      </c>
      <c r="J675" t="inlineStr">
        <is>
          <t>https://www2.census.gov/programs-surveys/susb/datasets/2022/msa_3digitnaics_2022.txt</t>
        </is>
      </c>
    </row>
    <row r="676">
      <c r="A676" t="inlineStr">
        <is>
          <t>micro</t>
        </is>
      </c>
      <c r="B676" t="inlineStr">
        <is>
          <t>Hermitage, PA Micro Area</t>
        </is>
      </c>
      <c r="C676" t="inlineStr">
        <is>
          <t>25850</t>
        </is>
      </c>
      <c r="D676" s="7" t="n">
        <v>53.5</v>
      </c>
      <c r="E676" t="n">
        <v>53.4723578823989</v>
      </c>
      <c r="F676" s="7" t="n">
        <v>46.5</v>
      </c>
      <c r="G676" s="6" t="n">
        <v>40952</v>
      </c>
      <c r="H676" s="6" t="n">
        <v>21898</v>
      </c>
      <c r="I676" s="6" t="n">
        <v>19054</v>
      </c>
      <c r="J676" t="inlineStr">
        <is>
          <t>https://www2.census.gov/programs-surveys/susb/datasets/2022/msa_3digitnaics_2022.txt</t>
        </is>
      </c>
    </row>
    <row r="677">
      <c r="A677" t="inlineStr">
        <is>
          <t>micro</t>
        </is>
      </c>
      <c r="B677" t="inlineStr">
        <is>
          <t>Menomonie, WI Micro Area</t>
        </is>
      </c>
      <c r="C677" t="inlineStr">
        <is>
          <t>32860</t>
        </is>
      </c>
      <c r="D677" s="7" t="n">
        <v>53.4</v>
      </c>
      <c r="E677" t="n">
        <v>53.37842190016103</v>
      </c>
      <c r="F677" s="7" t="n">
        <v>46.6</v>
      </c>
      <c r="G677" s="6" t="n">
        <v>15525</v>
      </c>
      <c r="H677" s="6" t="n">
        <v>8287</v>
      </c>
      <c r="I677" s="6" t="n">
        <v>7238</v>
      </c>
      <c r="J677" t="inlineStr">
        <is>
          <t>https://www2.census.gov/programs-surveys/susb/datasets/2022/msa_3digitnaics_2022.txt</t>
        </is>
      </c>
    </row>
    <row r="678">
      <c r="A678" t="inlineStr">
        <is>
          <t>micro</t>
        </is>
      </c>
      <c r="B678" t="inlineStr">
        <is>
          <t>Gloversville, NY Micro Area</t>
        </is>
      </c>
      <c r="C678" t="inlineStr">
        <is>
          <t>24100</t>
        </is>
      </c>
      <c r="D678" s="7" t="n">
        <v>53.3</v>
      </c>
      <c r="E678" t="n">
        <v>53.31833520809899</v>
      </c>
      <c r="F678" s="7" t="n">
        <v>46.7</v>
      </c>
      <c r="G678" s="6" t="n">
        <v>13335</v>
      </c>
      <c r="H678" s="6" t="n">
        <v>7110</v>
      </c>
      <c r="I678" s="6" t="n">
        <v>6225</v>
      </c>
      <c r="J678" t="inlineStr">
        <is>
          <t>https://www2.census.gov/programs-surveys/susb/datasets/2022/msa_3digitnaics_2022.txt</t>
        </is>
      </c>
    </row>
    <row r="679">
      <c r="A679" t="inlineStr">
        <is>
          <t>micro</t>
        </is>
      </c>
      <c r="B679" t="inlineStr">
        <is>
          <t>Burlington, IA-IL Micro Area</t>
        </is>
      </c>
      <c r="C679" t="inlineStr">
        <is>
          <t>15460</t>
        </is>
      </c>
      <c r="D679" s="7" t="n">
        <v>53.3</v>
      </c>
      <c r="E679" t="n">
        <v>53.30252786083174</v>
      </c>
      <c r="F679" s="7" t="n">
        <v>46.7</v>
      </c>
      <c r="G679" s="6" t="n">
        <v>18395</v>
      </c>
      <c r="H679" s="6" t="n">
        <v>9805</v>
      </c>
      <c r="I679" s="6" t="n">
        <v>8590</v>
      </c>
      <c r="J679" t="inlineStr">
        <is>
          <t>https://www2.census.gov/programs-surveys/susb/datasets/2022/msa_3digitnaics_2022.txt</t>
        </is>
      </c>
    </row>
    <row r="680">
      <c r="A680" t="inlineStr">
        <is>
          <t>micro</t>
        </is>
      </c>
      <c r="B680" t="inlineStr">
        <is>
          <t>Del Rio, TX Micro Area</t>
        </is>
      </c>
      <c r="C680" t="inlineStr">
        <is>
          <t>19620</t>
        </is>
      </c>
      <c r="D680" s="7" t="n">
        <v>53.3</v>
      </c>
      <c r="E680" t="n">
        <v>53.29799252628835</v>
      </c>
      <c r="F680" s="7" t="n">
        <v>46.7</v>
      </c>
      <c r="G680" s="6" t="n">
        <v>11507</v>
      </c>
      <c r="H680" s="6" t="n">
        <v>6133</v>
      </c>
      <c r="I680" s="6" t="n">
        <v>5374</v>
      </c>
      <c r="J680" t="inlineStr">
        <is>
          <t>https://www2.census.gov/programs-surveys/susb/datasets/2022/msa_3digitnaics_2022.txt</t>
        </is>
      </c>
    </row>
    <row r="681">
      <c r="A681" t="inlineStr">
        <is>
          <t>micro</t>
        </is>
      </c>
      <c r="B681" t="inlineStr">
        <is>
          <t>Durant, OK Micro Area</t>
        </is>
      </c>
      <c r="C681" t="inlineStr">
        <is>
          <t>20460</t>
        </is>
      </c>
      <c r="D681" s="7" t="n">
        <v>53.3</v>
      </c>
      <c r="E681" t="n">
        <v>53.26078258782108</v>
      </c>
      <c r="F681" s="7" t="n">
        <v>46.7</v>
      </c>
      <c r="G681" s="6" t="n">
        <v>12497</v>
      </c>
      <c r="H681" s="6" t="n">
        <v>6656</v>
      </c>
      <c r="I681" s="6" t="n">
        <v>5841</v>
      </c>
      <c r="J681" t="inlineStr">
        <is>
          <t>https://www2.census.gov/programs-surveys/susb/datasets/2022/msa_3digitnaics_2022.txt</t>
        </is>
      </c>
    </row>
    <row r="682">
      <c r="A682" t="inlineStr">
        <is>
          <t>micro</t>
        </is>
      </c>
      <c r="B682" t="inlineStr">
        <is>
          <t>Middlesborough, KY Micro Area</t>
        </is>
      </c>
      <c r="C682" t="inlineStr">
        <is>
          <t>33180</t>
        </is>
      </c>
      <c r="D682" s="7" t="n">
        <v>53.3</v>
      </c>
      <c r="E682" t="n">
        <v>53.2510885341074</v>
      </c>
      <c r="F682" s="7" t="n">
        <v>46.7</v>
      </c>
      <c r="G682" s="6" t="n">
        <v>6890</v>
      </c>
      <c r="H682" s="6" t="n">
        <v>3669</v>
      </c>
      <c r="I682" s="6" t="n">
        <v>3221</v>
      </c>
      <c r="J682" t="inlineStr">
        <is>
          <t>https://www2.census.gov/programs-surveys/susb/datasets/2022/msa_3digitnaics_2022.txt</t>
        </is>
      </c>
    </row>
    <row r="683">
      <c r="A683" t="inlineStr">
        <is>
          <t>micro</t>
        </is>
      </c>
      <c r="B683" t="inlineStr">
        <is>
          <t>Danville, VA Micro Area</t>
        </is>
      </c>
      <c r="C683" t="inlineStr">
        <is>
          <t>19260</t>
        </is>
      </c>
      <c r="D683" s="7" t="n">
        <v>53.2</v>
      </c>
      <c r="E683" t="n">
        <v>53.22600851916813</v>
      </c>
      <c r="F683" s="7" t="n">
        <v>46.8</v>
      </c>
      <c r="G683" s="6" t="n">
        <v>31928</v>
      </c>
      <c r="H683" s="6" t="n">
        <v>16994</v>
      </c>
      <c r="I683" s="6" t="n">
        <v>14934</v>
      </c>
      <c r="J683" t="inlineStr">
        <is>
          <t>https://www2.census.gov/programs-surveys/susb/datasets/2022/msa_3digitnaics_2022.txt</t>
        </is>
      </c>
    </row>
    <row r="684">
      <c r="A684" t="inlineStr">
        <is>
          <t>micro</t>
        </is>
      </c>
      <c r="B684" t="inlineStr">
        <is>
          <t>New Bern, NC Micro Area</t>
        </is>
      </c>
      <c r="C684" t="inlineStr">
        <is>
          <t>35100</t>
        </is>
      </c>
      <c r="D684" s="7" t="n">
        <v>53.2</v>
      </c>
      <c r="E684" t="n">
        <v>53.21220577529726</v>
      </c>
      <c r="F684" s="7" t="n">
        <v>46.8</v>
      </c>
      <c r="G684" s="6" t="n">
        <v>32968</v>
      </c>
      <c r="H684" s="6" t="n">
        <v>17543</v>
      </c>
      <c r="I684" s="6" t="n">
        <v>15425</v>
      </c>
      <c r="J684" t="inlineStr">
        <is>
          <t>https://www2.census.gov/programs-surveys/susb/datasets/2022/msa_3digitnaics_2022.txt</t>
        </is>
      </c>
    </row>
    <row r="685">
      <c r="A685" t="inlineStr">
        <is>
          <t>micro</t>
        </is>
      </c>
      <c r="B685" t="inlineStr">
        <is>
          <t>DuBois, PA Micro Area</t>
        </is>
      </c>
      <c r="C685" t="inlineStr">
        <is>
          <t>20180</t>
        </is>
      </c>
      <c r="D685" s="7" t="n">
        <v>53.2</v>
      </c>
      <c r="E685" t="n">
        <v>53.20271891243502</v>
      </c>
      <c r="F685" s="7" t="n">
        <v>46.8</v>
      </c>
      <c r="G685" s="6" t="n">
        <v>25010</v>
      </c>
      <c r="H685" s="6" t="n">
        <v>13306</v>
      </c>
      <c r="I685" s="6" t="n">
        <v>11704</v>
      </c>
      <c r="J685" t="inlineStr">
        <is>
          <t>https://www2.census.gov/programs-surveys/susb/datasets/2022/msa_3digitnaics_2022.txt</t>
        </is>
      </c>
    </row>
    <row r="686">
      <c r="A686" t="inlineStr">
        <is>
          <t>micro</t>
        </is>
      </c>
      <c r="B686" t="inlineStr">
        <is>
          <t>Hannibal, MO Micro Area</t>
        </is>
      </c>
      <c r="C686" t="inlineStr">
        <is>
          <t>25300</t>
        </is>
      </c>
      <c r="D686" s="7" t="n">
        <v>53.2</v>
      </c>
      <c r="E686" t="n">
        <v>53.17760474601409</v>
      </c>
      <c r="F686" s="7" t="n">
        <v>46.8</v>
      </c>
      <c r="G686" s="6" t="n">
        <v>13485</v>
      </c>
      <c r="H686" s="6" t="n">
        <v>7171</v>
      </c>
      <c r="I686" s="6" t="n">
        <v>6314</v>
      </c>
      <c r="J686" t="inlineStr">
        <is>
          <t>https://www2.census.gov/programs-surveys/susb/datasets/2022/msa_3digitnaics_2022.txt</t>
        </is>
      </c>
    </row>
    <row r="687">
      <c r="A687" t="inlineStr">
        <is>
          <t>micro</t>
        </is>
      </c>
      <c r="B687" t="inlineStr">
        <is>
          <t>Crossville, TN Micro Area</t>
        </is>
      </c>
      <c r="C687" t="inlineStr">
        <is>
          <t>18900</t>
        </is>
      </c>
      <c r="D687" s="7" t="n">
        <v>53.1</v>
      </c>
      <c r="E687" t="n">
        <v>53.11195068602107</v>
      </c>
      <c r="F687" s="7" t="n">
        <v>46.9</v>
      </c>
      <c r="G687" s="6" t="n">
        <v>15087</v>
      </c>
      <c r="H687" s="6" t="n">
        <v>8013</v>
      </c>
      <c r="I687" s="6" t="n">
        <v>7074</v>
      </c>
      <c r="J687" t="inlineStr">
        <is>
          <t>https://www2.census.gov/programs-surveys/susb/datasets/2022/msa_3digitnaics_2022.txt</t>
        </is>
      </c>
    </row>
    <row r="688">
      <c r="A688" t="inlineStr">
        <is>
          <t>micro</t>
        </is>
      </c>
      <c r="B688" t="inlineStr">
        <is>
          <t>Norfolk, NE Micro Area</t>
        </is>
      </c>
      <c r="C688" t="inlineStr">
        <is>
          <t>35740</t>
        </is>
      </c>
      <c r="D688" s="7" t="n">
        <v>53.1</v>
      </c>
      <c r="E688" t="n">
        <v>53.07459911689519</v>
      </c>
      <c r="F688" s="7" t="n">
        <v>46.9</v>
      </c>
      <c r="G688" s="6" t="n">
        <v>21515</v>
      </c>
      <c r="H688" s="6" t="n">
        <v>11419</v>
      </c>
      <c r="I688" s="6" t="n">
        <v>10096</v>
      </c>
      <c r="J688" t="inlineStr">
        <is>
          <t>https://www2.census.gov/programs-surveys/susb/datasets/2022/msa_3digitnaics_2022.txt</t>
        </is>
      </c>
    </row>
    <row r="689">
      <c r="A689" t="inlineStr">
        <is>
          <t>micro</t>
        </is>
      </c>
      <c r="B689" t="inlineStr">
        <is>
          <t>Holland, MI Micro Area</t>
        </is>
      </c>
      <c r="C689" t="inlineStr">
        <is>
          <t>26090</t>
        </is>
      </c>
      <c r="D689" s="7" t="n">
        <v>52.9</v>
      </c>
      <c r="E689" t="n">
        <v>52.91338582677165</v>
      </c>
      <c r="F689" s="7" t="n">
        <v>47.1</v>
      </c>
      <c r="G689" s="6" t="n">
        <v>41275</v>
      </c>
      <c r="H689" s="6" t="n">
        <v>21840</v>
      </c>
      <c r="I689" s="6" t="n">
        <v>19435</v>
      </c>
      <c r="J689" t="inlineStr">
        <is>
          <t>https://www2.census.gov/programs-surveys/susb/datasets/2022/msa_3digitnaics_2022.txt</t>
        </is>
      </c>
    </row>
    <row r="690">
      <c r="A690" t="inlineStr">
        <is>
          <t>micro</t>
        </is>
      </c>
      <c r="B690" t="inlineStr">
        <is>
          <t>Huntington, IN Micro Area</t>
        </is>
      </c>
      <c r="C690" t="inlineStr">
        <is>
          <t>26540</t>
        </is>
      </c>
      <c r="D690" s="7" t="n">
        <v>52.9</v>
      </c>
      <c r="E690" t="n">
        <v>52.91101293783528</v>
      </c>
      <c r="F690" s="7" t="n">
        <v>47.1</v>
      </c>
      <c r="G690" s="6" t="n">
        <v>12676</v>
      </c>
      <c r="H690" s="6" t="n">
        <v>6707</v>
      </c>
      <c r="I690" s="6" t="n">
        <v>5969</v>
      </c>
      <c r="J690" t="inlineStr">
        <is>
          <t>https://www2.census.gov/programs-surveys/susb/datasets/2022/msa_3digitnaics_2022.txt</t>
        </is>
      </c>
    </row>
    <row r="691">
      <c r="A691" t="inlineStr">
        <is>
          <t>micro</t>
        </is>
      </c>
      <c r="B691" t="inlineStr">
        <is>
          <t>Troy, AL Micro Area</t>
        </is>
      </c>
      <c r="C691" t="inlineStr">
        <is>
          <t>45980</t>
        </is>
      </c>
      <c r="D691" s="7" t="n">
        <v>52.7</v>
      </c>
      <c r="E691" t="n">
        <v>52.73443534682527</v>
      </c>
      <c r="F691" s="7" t="n">
        <v>47.3</v>
      </c>
      <c r="G691" s="6" t="n">
        <v>12946</v>
      </c>
      <c r="H691" s="6" t="n">
        <v>6827</v>
      </c>
      <c r="I691" s="6" t="n">
        <v>6119</v>
      </c>
      <c r="J691" t="inlineStr">
        <is>
          <t>https://www2.census.gov/programs-surveys/susb/datasets/2022/msa_3digitnaics_2022.txt</t>
        </is>
      </c>
    </row>
    <row r="692">
      <c r="A692" t="inlineStr">
        <is>
          <t>micro</t>
        </is>
      </c>
      <c r="B692" t="inlineStr">
        <is>
          <t>Rochelle, IL Micro Area</t>
        </is>
      </c>
      <c r="C692" t="inlineStr">
        <is>
          <t>40300</t>
        </is>
      </c>
      <c r="D692" s="7" t="n">
        <v>52.6</v>
      </c>
      <c r="E692" t="n">
        <v>52.63117579471467</v>
      </c>
      <c r="F692" s="7" t="n">
        <v>47.4</v>
      </c>
      <c r="G692" s="6" t="n">
        <v>13055</v>
      </c>
      <c r="H692" s="6" t="n">
        <v>6871</v>
      </c>
      <c r="I692" s="6" t="n">
        <v>6184</v>
      </c>
      <c r="J692" t="inlineStr">
        <is>
          <t>https://www2.census.gov/programs-surveys/susb/datasets/2022/msa_3digitnaics_2022.txt</t>
        </is>
      </c>
    </row>
    <row r="693">
      <c r="A693" t="inlineStr">
        <is>
          <t>micro</t>
        </is>
      </c>
      <c r="B693" t="inlineStr">
        <is>
          <t>Washington, NC Micro Area</t>
        </is>
      </c>
      <c r="C693" t="inlineStr">
        <is>
          <t>47820</t>
        </is>
      </c>
      <c r="D693" s="7" t="n">
        <v>52.6</v>
      </c>
      <c r="E693" t="n">
        <v>52.58521086077412</v>
      </c>
      <c r="F693" s="7" t="n">
        <v>47.4</v>
      </c>
      <c r="G693" s="6" t="n">
        <v>13848</v>
      </c>
      <c r="H693" s="6" t="n">
        <v>7282</v>
      </c>
      <c r="I693" s="6" t="n">
        <v>6566</v>
      </c>
      <c r="J693" t="inlineStr">
        <is>
          <t>https://www2.census.gov/programs-surveys/susb/datasets/2022/msa_3digitnaics_2022.txt</t>
        </is>
      </c>
    </row>
    <row r="694">
      <c r="A694" t="inlineStr">
        <is>
          <t>micro</t>
        </is>
      </c>
      <c r="B694" t="inlineStr">
        <is>
          <t>Sterling, IL Micro Area</t>
        </is>
      </c>
      <c r="C694" t="inlineStr">
        <is>
          <t>44580</t>
        </is>
      </c>
      <c r="D694" s="7" t="n">
        <v>52.6</v>
      </c>
      <c r="E694" t="n">
        <v>52.56417553645626</v>
      </c>
      <c r="F694" s="7" t="n">
        <v>47.4</v>
      </c>
      <c r="G694" s="6" t="n">
        <v>17569</v>
      </c>
      <c r="H694" s="6" t="n">
        <v>9235</v>
      </c>
      <c r="I694" s="6" t="n">
        <v>8334</v>
      </c>
      <c r="J694" t="inlineStr">
        <is>
          <t>https://www2.census.gov/programs-surveys/susb/datasets/2022/msa_3digitnaics_2022.txt</t>
        </is>
      </c>
    </row>
    <row r="695">
      <c r="A695" t="inlineStr">
        <is>
          <t>micro</t>
        </is>
      </c>
      <c r="B695" t="inlineStr">
        <is>
          <t>Brookhaven, MS Micro Area</t>
        </is>
      </c>
      <c r="C695" t="inlineStr">
        <is>
          <t>15020</t>
        </is>
      </c>
      <c r="D695" s="7" t="n">
        <v>52.5</v>
      </c>
      <c r="E695" t="n">
        <v>52.50913628665656</v>
      </c>
      <c r="F695" s="7" t="n">
        <v>47.5</v>
      </c>
      <c r="G695" s="6" t="n">
        <v>11219</v>
      </c>
      <c r="H695" s="6" t="n">
        <v>5891</v>
      </c>
      <c r="I695" s="6" t="n">
        <v>5328</v>
      </c>
      <c r="J695" t="inlineStr">
        <is>
          <t>https://www2.census.gov/programs-surveys/susb/datasets/2022/msa_3digitnaics_2022.txt</t>
        </is>
      </c>
    </row>
    <row r="696">
      <c r="A696" t="inlineStr">
        <is>
          <t>micro</t>
        </is>
      </c>
      <c r="B696" t="inlineStr">
        <is>
          <t>Sulphur Springs, TX Micro Area</t>
        </is>
      </c>
      <c r="C696" t="inlineStr">
        <is>
          <t>44860</t>
        </is>
      </c>
      <c r="D696" s="7" t="n">
        <v>52.5</v>
      </c>
      <c r="E696" t="n">
        <v>52.5021645021645</v>
      </c>
      <c r="F696" s="7" t="n">
        <v>47.5</v>
      </c>
      <c r="G696" s="6" t="n">
        <v>11550</v>
      </c>
      <c r="H696" s="6" t="n">
        <v>6064</v>
      </c>
      <c r="I696" s="6" t="n">
        <v>5486</v>
      </c>
      <c r="J696" t="inlineStr">
        <is>
          <t>https://www2.census.gov/programs-surveys/susb/datasets/2022/msa_3digitnaics_2022.txt</t>
        </is>
      </c>
    </row>
    <row r="697">
      <c r="A697" t="inlineStr">
        <is>
          <t>micro</t>
        </is>
      </c>
      <c r="B697" t="inlineStr">
        <is>
          <t>Ardmore, OK Micro Area</t>
        </is>
      </c>
      <c r="C697" t="inlineStr">
        <is>
          <t>11620</t>
        </is>
      </c>
      <c r="D697" s="7" t="n">
        <v>52.5</v>
      </c>
      <c r="E697" t="n">
        <v>52.46643387596518</v>
      </c>
      <c r="F697" s="7" t="n">
        <v>47.5</v>
      </c>
      <c r="G697" s="6" t="n">
        <v>20333</v>
      </c>
      <c r="H697" s="6" t="n">
        <v>10668</v>
      </c>
      <c r="I697" s="6" t="n">
        <v>9665</v>
      </c>
      <c r="J697" t="inlineStr">
        <is>
          <t>https://www2.census.gov/programs-surveys/susb/datasets/2022/msa_3digitnaics_2022.txt</t>
        </is>
      </c>
    </row>
    <row r="698">
      <c r="A698" t="inlineStr">
        <is>
          <t>micro</t>
        </is>
      </c>
      <c r="B698" t="inlineStr">
        <is>
          <t>Pahrump, NV Micro Area</t>
        </is>
      </c>
      <c r="C698" t="inlineStr">
        <is>
          <t>37220</t>
        </is>
      </c>
      <c r="D698" s="7" t="n">
        <v>52.4</v>
      </c>
      <c r="E698" t="n">
        <v>52.35573411249087</v>
      </c>
      <c r="F698" s="7" t="n">
        <v>47.6</v>
      </c>
      <c r="G698" s="6" t="n">
        <v>10952</v>
      </c>
      <c r="H698" s="6" t="n">
        <v>5734</v>
      </c>
      <c r="I698" s="6" t="n">
        <v>5218</v>
      </c>
      <c r="J698" t="inlineStr">
        <is>
          <t>https://www2.census.gov/programs-surveys/susb/datasets/2022/msa_3digitnaics_2022.txt</t>
        </is>
      </c>
    </row>
    <row r="699">
      <c r="A699" t="inlineStr">
        <is>
          <t>micro</t>
        </is>
      </c>
      <c r="B699" t="inlineStr">
        <is>
          <t>Payson, AZ Micro Area</t>
        </is>
      </c>
      <c r="C699" t="inlineStr">
        <is>
          <t>37740</t>
        </is>
      </c>
      <c r="D699" s="7" t="n">
        <v>52.3</v>
      </c>
      <c r="E699" t="n">
        <v>52.28008970844755</v>
      </c>
      <c r="F699" s="7" t="n">
        <v>47.7</v>
      </c>
      <c r="G699" s="6" t="n">
        <v>12039</v>
      </c>
      <c r="H699" s="6" t="n">
        <v>6294</v>
      </c>
      <c r="I699" s="6" t="n">
        <v>5745</v>
      </c>
      <c r="J699" t="inlineStr">
        <is>
          <t>https://www2.census.gov/programs-surveys/susb/datasets/2022/msa_3digitnaics_2022.txt</t>
        </is>
      </c>
    </row>
    <row r="700">
      <c r="A700" t="inlineStr">
        <is>
          <t>micro</t>
        </is>
      </c>
      <c r="B700" t="inlineStr">
        <is>
          <t>Sturgis, MI Micro Area</t>
        </is>
      </c>
      <c r="C700" t="inlineStr">
        <is>
          <t>44780</t>
        </is>
      </c>
      <c r="D700" s="7" t="n">
        <v>52.2</v>
      </c>
      <c r="E700" t="n">
        <v>52.20359023970762</v>
      </c>
      <c r="F700" s="7" t="n">
        <v>47.8</v>
      </c>
      <c r="G700" s="6" t="n">
        <v>18606</v>
      </c>
      <c r="H700" s="6" t="n">
        <v>9713</v>
      </c>
      <c r="I700" s="6" t="n">
        <v>8893</v>
      </c>
      <c r="J700" t="inlineStr">
        <is>
          <t>https://www2.census.gov/programs-surveys/susb/datasets/2022/msa_3digitnaics_2022.txt</t>
        </is>
      </c>
    </row>
    <row r="701">
      <c r="A701" t="inlineStr">
        <is>
          <t>micro</t>
        </is>
      </c>
      <c r="B701" t="inlineStr">
        <is>
          <t>Harrison, AR Micro Area</t>
        </is>
      </c>
      <c r="C701" t="inlineStr">
        <is>
          <t>25460</t>
        </is>
      </c>
      <c r="D701" s="7" t="n">
        <v>52.2</v>
      </c>
      <c r="E701" t="n">
        <v>52.17257792108092</v>
      </c>
      <c r="F701" s="7" t="n">
        <v>47.8</v>
      </c>
      <c r="G701" s="6" t="n">
        <v>13026</v>
      </c>
      <c r="H701" s="6" t="n">
        <v>6796</v>
      </c>
      <c r="I701" s="6" t="n">
        <v>6230</v>
      </c>
      <c r="J701" t="inlineStr">
        <is>
          <t>https://www2.census.gov/programs-surveys/susb/datasets/2022/msa_3digitnaics_2022.txt</t>
        </is>
      </c>
    </row>
    <row r="702">
      <c r="A702" t="inlineStr">
        <is>
          <t>micro</t>
        </is>
      </c>
      <c r="B702" t="inlineStr">
        <is>
          <t>Cornelia, GA Micro Area</t>
        </is>
      </c>
      <c r="C702" t="inlineStr">
        <is>
          <t>18460</t>
        </is>
      </c>
      <c r="D702" s="7" t="n">
        <v>52.1</v>
      </c>
      <c r="E702" t="n">
        <v>52.11886759275541</v>
      </c>
      <c r="F702" s="7" t="n">
        <v>47.9</v>
      </c>
      <c r="G702" s="6" t="n">
        <v>11374</v>
      </c>
      <c r="H702" s="6" t="n">
        <v>5928</v>
      </c>
      <c r="I702" s="6" t="n">
        <v>5446</v>
      </c>
      <c r="J702" t="inlineStr">
        <is>
          <t>https://www2.census.gov/programs-surveys/susb/datasets/2022/msa_3digitnaics_2022.txt</t>
        </is>
      </c>
    </row>
    <row r="703">
      <c r="A703" t="inlineStr">
        <is>
          <t>micro</t>
        </is>
      </c>
      <c r="B703" t="inlineStr">
        <is>
          <t>Marietta, OH Micro Area</t>
        </is>
      </c>
      <c r="C703" t="inlineStr">
        <is>
          <t>31930</t>
        </is>
      </c>
      <c r="D703" s="7" t="n">
        <v>52</v>
      </c>
      <c r="E703" t="n">
        <v>51.97439557112582</v>
      </c>
      <c r="F703" s="7" t="n">
        <v>48</v>
      </c>
      <c r="G703" s="6" t="n">
        <v>23121</v>
      </c>
      <c r="H703" s="6" t="n">
        <v>12017</v>
      </c>
      <c r="I703" s="6" t="n">
        <v>11104</v>
      </c>
      <c r="J703" t="inlineStr">
        <is>
          <t>https://www2.census.gov/programs-surveys/susb/datasets/2022/msa_3digitnaics_2022.txt</t>
        </is>
      </c>
    </row>
    <row r="704">
      <c r="A704" t="inlineStr">
        <is>
          <t>micro</t>
        </is>
      </c>
      <c r="B704" t="inlineStr">
        <is>
          <t>Fremont, NE Micro Area</t>
        </is>
      </c>
      <c r="C704" t="inlineStr">
        <is>
          <t>23340</t>
        </is>
      </c>
      <c r="D704" s="7" t="n">
        <v>51.7</v>
      </c>
      <c r="E704" t="n">
        <v>51.73854360820104</v>
      </c>
      <c r="F704" s="7" t="n">
        <v>48.3</v>
      </c>
      <c r="G704" s="6" t="n">
        <v>15559</v>
      </c>
      <c r="H704" s="6" t="n">
        <v>8050</v>
      </c>
      <c r="I704" s="6" t="n">
        <v>7509</v>
      </c>
      <c r="J704" t="inlineStr">
        <is>
          <t>https://www2.census.gov/programs-surveys/susb/datasets/2022/msa_3digitnaics_2022.txt</t>
        </is>
      </c>
    </row>
    <row r="705">
      <c r="A705" t="inlineStr">
        <is>
          <t>micro</t>
        </is>
      </c>
      <c r="B705" t="inlineStr">
        <is>
          <t>Anderson Creek, NC Micro Area</t>
        </is>
      </c>
      <c r="C705" t="inlineStr">
        <is>
          <t>11360</t>
        </is>
      </c>
      <c r="D705" s="7" t="n">
        <v>51.7</v>
      </c>
      <c r="E705" t="n">
        <v>51.72517509560435</v>
      </c>
      <c r="F705" s="7" t="n">
        <v>48.3</v>
      </c>
      <c r="G705" s="6" t="n">
        <v>23273</v>
      </c>
      <c r="H705" s="6" t="n">
        <v>12038</v>
      </c>
      <c r="I705" s="6" t="n">
        <v>11235</v>
      </c>
      <c r="J705" t="inlineStr">
        <is>
          <t>https://www2.census.gov/programs-surveys/susb/datasets/2022/msa_3digitnaics_2022.txt</t>
        </is>
      </c>
    </row>
    <row r="706">
      <c r="A706" t="inlineStr">
        <is>
          <t>micro</t>
        </is>
      </c>
      <c r="B706" t="inlineStr">
        <is>
          <t>Beeville, TX Micro Area</t>
        </is>
      </c>
      <c r="C706" t="inlineStr">
        <is>
          <t>13300</t>
        </is>
      </c>
      <c r="D706" s="7" t="n">
        <v>51.7</v>
      </c>
      <c r="E706" t="n">
        <v>51.72413793103448</v>
      </c>
      <c r="F706" s="7" t="n">
        <v>48.3</v>
      </c>
      <c r="G706" s="6" t="n">
        <v>5307</v>
      </c>
      <c r="H706" s="6" t="n">
        <v>2745</v>
      </c>
      <c r="I706" s="6" t="n">
        <v>2562</v>
      </c>
      <c r="J706" t="inlineStr">
        <is>
          <t>https://www2.census.gov/programs-surveys/susb/datasets/2022/msa_3digitnaics_2022.txt</t>
        </is>
      </c>
    </row>
    <row r="707">
      <c r="A707" t="inlineStr">
        <is>
          <t>micro</t>
        </is>
      </c>
      <c r="B707" t="inlineStr">
        <is>
          <t>Seneca Falls, NY Micro Area</t>
        </is>
      </c>
      <c r="C707" t="inlineStr">
        <is>
          <t>42900</t>
        </is>
      </c>
      <c r="D707" s="7" t="n">
        <v>51.7</v>
      </c>
      <c r="E707" t="n">
        <v>51.6924508549494</v>
      </c>
      <c r="F707" s="7" t="n">
        <v>48.3</v>
      </c>
      <c r="G707" s="6" t="n">
        <v>8597</v>
      </c>
      <c r="H707" s="6" t="n">
        <v>4444</v>
      </c>
      <c r="I707" s="6" t="n">
        <v>4153</v>
      </c>
      <c r="J707" t="inlineStr">
        <is>
          <t>https://www2.census.gov/programs-surveys/susb/datasets/2022/msa_3digitnaics_2022.txt</t>
        </is>
      </c>
    </row>
    <row r="708">
      <c r="A708" t="inlineStr">
        <is>
          <t>micro</t>
        </is>
      </c>
      <c r="B708" t="inlineStr">
        <is>
          <t>Ontario, OR-ID Micro Area</t>
        </is>
      </c>
      <c r="C708" t="inlineStr">
        <is>
          <t>36620</t>
        </is>
      </c>
      <c r="D708" s="7" t="n">
        <v>51.6</v>
      </c>
      <c r="E708" t="n">
        <v>51.58017191236347</v>
      </c>
      <c r="F708" s="7" t="n">
        <v>48.4</v>
      </c>
      <c r="G708" s="6" t="n">
        <v>15473</v>
      </c>
      <c r="H708" s="6" t="n">
        <v>7981</v>
      </c>
      <c r="I708" s="6" t="n">
        <v>7492</v>
      </c>
      <c r="J708" t="inlineStr">
        <is>
          <t>https://www2.census.gov/programs-surveys/susb/datasets/2022/msa_3digitnaics_2022.txt</t>
        </is>
      </c>
    </row>
    <row r="709">
      <c r="A709" t="inlineStr">
        <is>
          <t>micro</t>
        </is>
      </c>
      <c r="B709" t="inlineStr">
        <is>
          <t>Elizabeth City, NC Micro Area</t>
        </is>
      </c>
      <c r="C709" t="inlineStr">
        <is>
          <t>21020</t>
        </is>
      </c>
      <c r="D709" s="7" t="n">
        <v>51.6</v>
      </c>
      <c r="E709" t="n">
        <v>51.57774457238288</v>
      </c>
      <c r="F709" s="7" t="n">
        <v>48.4</v>
      </c>
      <c r="G709" s="6" t="n">
        <v>11377</v>
      </c>
      <c r="H709" s="6" t="n">
        <v>5868</v>
      </c>
      <c r="I709" s="6" t="n">
        <v>5509</v>
      </c>
      <c r="J709" t="inlineStr">
        <is>
          <t>https://www2.census.gov/programs-surveys/susb/datasets/2022/msa_3digitnaics_2022.txt</t>
        </is>
      </c>
    </row>
    <row r="710">
      <c r="A710" t="inlineStr">
        <is>
          <t>micro</t>
        </is>
      </c>
      <c r="B710" t="inlineStr">
        <is>
          <t>Albemarle, NC Micro Area</t>
        </is>
      </c>
      <c r="C710" t="inlineStr">
        <is>
          <t>10620</t>
        </is>
      </c>
      <c r="D710" s="7" t="n">
        <v>51.6</v>
      </c>
      <c r="E710" t="n">
        <v>51.56293843650037</v>
      </c>
      <c r="F710" s="7" t="n">
        <v>48.4</v>
      </c>
      <c r="G710" s="6" t="n">
        <v>17819</v>
      </c>
      <c r="H710" s="6" t="n">
        <v>9188</v>
      </c>
      <c r="I710" s="6" t="n">
        <v>8631</v>
      </c>
      <c r="J710" t="inlineStr">
        <is>
          <t>https://www2.census.gov/programs-surveys/susb/datasets/2022/msa_3digitnaics_2022.txt</t>
        </is>
      </c>
    </row>
    <row r="711">
      <c r="A711" t="inlineStr">
        <is>
          <t>micro</t>
        </is>
      </c>
      <c r="B711" t="inlineStr">
        <is>
          <t>Warrensburg, MO Micro Area</t>
        </is>
      </c>
      <c r="C711" t="inlineStr">
        <is>
          <t>47660</t>
        </is>
      </c>
      <c r="D711" s="7" t="n">
        <v>51.4</v>
      </c>
      <c r="E711" t="n">
        <v>51.42857142857143</v>
      </c>
      <c r="F711" s="7" t="n">
        <v>48.6</v>
      </c>
      <c r="G711" s="6" t="n">
        <v>10605</v>
      </c>
      <c r="H711" s="6" t="n">
        <v>5454</v>
      </c>
      <c r="I711" s="6" t="n">
        <v>5151</v>
      </c>
      <c r="J711" t="inlineStr">
        <is>
          <t>https://www2.census.gov/programs-surveys/susb/datasets/2022/msa_3digitnaics_2022.txt</t>
        </is>
      </c>
    </row>
    <row r="712">
      <c r="A712" t="inlineStr">
        <is>
          <t>micro</t>
        </is>
      </c>
      <c r="B712" t="inlineStr">
        <is>
          <t>Yankton, SD Micro Area</t>
        </is>
      </c>
      <c r="C712" t="inlineStr">
        <is>
          <t>49460</t>
        </is>
      </c>
      <c r="D712" s="7" t="n">
        <v>51.4</v>
      </c>
      <c r="E712" t="n">
        <v>51.38300747815119</v>
      </c>
      <c r="F712" s="7" t="n">
        <v>48.6</v>
      </c>
      <c r="G712" s="6" t="n">
        <v>11099</v>
      </c>
      <c r="H712" s="6" t="n">
        <v>5703</v>
      </c>
      <c r="I712" s="6" t="n">
        <v>5396</v>
      </c>
      <c r="J712" t="inlineStr">
        <is>
          <t>https://www2.census.gov/programs-surveys/susb/datasets/2022/msa_3digitnaics_2022.txt</t>
        </is>
      </c>
    </row>
    <row r="713">
      <c r="A713" t="inlineStr">
        <is>
          <t>micro</t>
        </is>
      </c>
      <c r="B713" t="inlineStr">
        <is>
          <t>Plymouth, IN Micro Area</t>
        </is>
      </c>
      <c r="C713" t="inlineStr">
        <is>
          <t>38500</t>
        </is>
      </c>
      <c r="D713" s="7" t="n">
        <v>51.4</v>
      </c>
      <c r="E713" t="n">
        <v>51.35318763446949</v>
      </c>
      <c r="F713" s="7" t="n">
        <v>48.6</v>
      </c>
      <c r="G713" s="6" t="n">
        <v>17662</v>
      </c>
      <c r="H713" s="6" t="n">
        <v>9070</v>
      </c>
      <c r="I713" s="6" t="n">
        <v>8592</v>
      </c>
      <c r="J713" t="inlineStr">
        <is>
          <t>https://www2.census.gov/programs-surveys/susb/datasets/2022/msa_3digitnaics_2022.txt</t>
        </is>
      </c>
    </row>
    <row r="714">
      <c r="A714" t="inlineStr">
        <is>
          <t>micro</t>
        </is>
      </c>
      <c r="B714" t="inlineStr">
        <is>
          <t>Ada, OK Micro Area</t>
        </is>
      </c>
      <c r="C714" t="inlineStr">
        <is>
          <t>10220</t>
        </is>
      </c>
      <c r="D714" s="7" t="n">
        <v>51.4</v>
      </c>
      <c r="E714" t="n">
        <v>51.3529765484065</v>
      </c>
      <c r="F714" s="7" t="n">
        <v>48.6</v>
      </c>
      <c r="G714" s="6" t="n">
        <v>13304</v>
      </c>
      <c r="H714" s="6" t="n">
        <v>6832</v>
      </c>
      <c r="I714" s="6" t="n">
        <v>6472</v>
      </c>
      <c r="J714" t="inlineStr">
        <is>
          <t>https://www2.census.gov/programs-surveys/susb/datasets/2022/msa_3digitnaics_2022.txt</t>
        </is>
      </c>
    </row>
    <row r="715">
      <c r="A715" t="inlineStr">
        <is>
          <t>micro</t>
        </is>
      </c>
      <c r="B715" t="inlineStr">
        <is>
          <t>Fort Leonard Wood, MO Micro Area</t>
        </is>
      </c>
      <c r="C715" t="inlineStr">
        <is>
          <t>22780</t>
        </is>
      </c>
      <c r="D715" s="7" t="n">
        <v>51.3</v>
      </c>
      <c r="E715" t="n">
        <v>51.34678101219954</v>
      </c>
      <c r="F715" s="7" t="n">
        <v>48.7</v>
      </c>
      <c r="G715" s="6" t="n">
        <v>8279</v>
      </c>
      <c r="H715" s="6" t="n">
        <v>4251</v>
      </c>
      <c r="I715" s="6" t="n">
        <v>4028</v>
      </c>
      <c r="J715" t="inlineStr">
        <is>
          <t>https://www2.census.gov/programs-surveys/susb/datasets/2022/msa_3digitnaics_2022.txt</t>
        </is>
      </c>
    </row>
    <row r="716">
      <c r="A716" t="inlineStr">
        <is>
          <t>micro</t>
        </is>
      </c>
      <c r="B716" t="inlineStr">
        <is>
          <t>Frankfort, KY Micro Area</t>
        </is>
      </c>
      <c r="C716" t="inlineStr">
        <is>
          <t>23180</t>
        </is>
      </c>
      <c r="D716" s="7" t="n">
        <v>51.3</v>
      </c>
      <c r="E716" t="n">
        <v>51.32570338578923</v>
      </c>
      <c r="F716" s="7" t="n">
        <v>48.7</v>
      </c>
      <c r="G716" s="6" t="n">
        <v>20970</v>
      </c>
      <c r="H716" s="6" t="n">
        <v>10763</v>
      </c>
      <c r="I716" s="6" t="n">
        <v>10207</v>
      </c>
      <c r="J716" t="inlineStr">
        <is>
          <t>https://www2.census.gov/programs-surveys/susb/datasets/2022/msa_3digitnaics_2022.txt</t>
        </is>
      </c>
    </row>
    <row r="717">
      <c r="A717" t="inlineStr">
        <is>
          <t>micro</t>
        </is>
      </c>
      <c r="B717" t="inlineStr">
        <is>
          <t>Cambridge, OH Micro Area</t>
        </is>
      </c>
      <c r="C717" t="inlineStr">
        <is>
          <t>15740</t>
        </is>
      </c>
      <c r="D717" s="7" t="n">
        <v>51.2</v>
      </c>
      <c r="E717" t="n">
        <v>51.23100303951368</v>
      </c>
      <c r="F717" s="7" t="n">
        <v>48.8</v>
      </c>
      <c r="G717" s="6" t="n">
        <v>13160</v>
      </c>
      <c r="H717" s="6" t="n">
        <v>6742</v>
      </c>
      <c r="I717" s="6" t="n">
        <v>6418</v>
      </c>
      <c r="J717" t="inlineStr">
        <is>
          <t>https://www2.census.gov/programs-surveys/susb/datasets/2022/msa_3digitnaics_2022.txt</t>
        </is>
      </c>
    </row>
    <row r="718">
      <c r="A718" t="inlineStr">
        <is>
          <t>micro</t>
        </is>
      </c>
      <c r="B718" t="inlineStr">
        <is>
          <t>Fort Payne, AL Micro Area</t>
        </is>
      </c>
      <c r="C718" t="inlineStr">
        <is>
          <t>22840</t>
        </is>
      </c>
      <c r="D718" s="7" t="n">
        <v>51.2</v>
      </c>
      <c r="E718" t="n">
        <v>51.18229587712207</v>
      </c>
      <c r="F718" s="7" t="n">
        <v>48.8</v>
      </c>
      <c r="G718" s="6" t="n">
        <v>19792</v>
      </c>
      <c r="H718" s="6" t="n">
        <v>10130</v>
      </c>
      <c r="I718" s="6" t="n">
        <v>9662</v>
      </c>
      <c r="J718" t="inlineStr">
        <is>
          <t>https://www2.census.gov/programs-surveys/susb/datasets/2022/msa_3digitnaics_2022.txt</t>
        </is>
      </c>
    </row>
    <row r="719">
      <c r="A719" t="inlineStr">
        <is>
          <t>micro</t>
        </is>
      </c>
      <c r="B719" t="inlineStr">
        <is>
          <t>Kingsland, GA Micro Area</t>
        </is>
      </c>
      <c r="C719" t="inlineStr">
        <is>
          <t>28680</t>
        </is>
      </c>
      <c r="D719" s="7" t="n">
        <v>51.2</v>
      </c>
      <c r="E719" t="n">
        <v>51.15071283095723</v>
      </c>
      <c r="F719" s="7" t="n">
        <v>48.8</v>
      </c>
      <c r="G719" s="6" t="n">
        <v>9820</v>
      </c>
      <c r="H719" s="6" t="n">
        <v>5023</v>
      </c>
      <c r="I719" s="6" t="n">
        <v>4797</v>
      </c>
      <c r="J719" t="inlineStr">
        <is>
          <t>https://www2.census.gov/programs-surveys/susb/datasets/2022/msa_3digitnaics_2022.txt</t>
        </is>
      </c>
    </row>
    <row r="720">
      <c r="A720" t="inlineStr">
        <is>
          <t>micro</t>
        </is>
      </c>
      <c r="B720" t="inlineStr">
        <is>
          <t>Clarksburg, WV Micro Area</t>
        </is>
      </c>
      <c r="C720" t="inlineStr">
        <is>
          <t>17220</t>
        </is>
      </c>
      <c r="D720" s="7" t="n">
        <v>51.1</v>
      </c>
      <c r="E720" t="n">
        <v>51.14829811464001</v>
      </c>
      <c r="F720" s="7" t="n">
        <v>48.9</v>
      </c>
      <c r="G720" s="6" t="n">
        <v>31612</v>
      </c>
      <c r="H720" s="6" t="n">
        <v>16169</v>
      </c>
      <c r="I720" s="6" t="n">
        <v>15443</v>
      </c>
      <c r="J720" t="inlineStr">
        <is>
          <t>https://www2.census.gov/programs-surveys/susb/datasets/2022/msa_3digitnaics_2022.txt</t>
        </is>
      </c>
    </row>
    <row r="721">
      <c r="A721" t="inlineStr">
        <is>
          <t>micro</t>
        </is>
      </c>
      <c r="B721" t="inlineStr">
        <is>
          <t>Vincennes, IN Micro Area</t>
        </is>
      </c>
      <c r="C721" t="inlineStr">
        <is>
          <t>47180</t>
        </is>
      </c>
      <c r="D721" s="7" t="n">
        <v>51.1</v>
      </c>
      <c r="E721" t="n">
        <v>51.12424329778034</v>
      </c>
      <c r="F721" s="7" t="n">
        <v>48.9</v>
      </c>
      <c r="G721" s="6" t="n">
        <v>13876</v>
      </c>
      <c r="H721" s="6" t="n">
        <v>7094</v>
      </c>
      <c r="I721" s="6" t="n">
        <v>6782</v>
      </c>
      <c r="J721" t="inlineStr">
        <is>
          <t>https://www2.census.gov/programs-surveys/susb/datasets/2022/msa_3digitnaics_2022.txt</t>
        </is>
      </c>
    </row>
    <row r="722">
      <c r="A722" t="inlineStr">
        <is>
          <t>micro</t>
        </is>
      </c>
      <c r="B722" t="inlineStr">
        <is>
          <t>Bedford, IN Micro Area</t>
        </is>
      </c>
      <c r="C722" t="inlineStr">
        <is>
          <t>13260</t>
        </is>
      </c>
      <c r="D722" s="7" t="n">
        <v>51.1</v>
      </c>
      <c r="E722" t="n">
        <v>51.09717868338558</v>
      </c>
      <c r="F722" s="7" t="n">
        <v>48.9</v>
      </c>
      <c r="G722" s="6" t="n">
        <v>13079</v>
      </c>
      <c r="H722" s="6" t="n">
        <v>6683</v>
      </c>
      <c r="I722" s="6" t="n">
        <v>6396</v>
      </c>
      <c r="J722" t="inlineStr">
        <is>
          <t>https://www2.census.gov/programs-surveys/susb/datasets/2022/msa_3digitnaics_2022.txt</t>
        </is>
      </c>
    </row>
    <row r="723">
      <c r="A723" t="inlineStr">
        <is>
          <t>micro</t>
        </is>
      </c>
      <c r="B723" t="inlineStr">
        <is>
          <t>Meridian, MS Micro Area</t>
        </is>
      </c>
      <c r="C723" t="inlineStr">
        <is>
          <t>32940</t>
        </is>
      </c>
      <c r="D723" s="7" t="n">
        <v>51</v>
      </c>
      <c r="E723" t="n">
        <v>51.03389250256761</v>
      </c>
      <c r="F723" s="7" t="n">
        <v>49</v>
      </c>
      <c r="G723" s="6" t="n">
        <v>29210</v>
      </c>
      <c r="H723" s="6" t="n">
        <v>14907</v>
      </c>
      <c r="I723" s="6" t="n">
        <v>14303</v>
      </c>
      <c r="J723" t="inlineStr">
        <is>
          <t>https://www2.census.gov/programs-surveys/susb/datasets/2022/msa_3digitnaics_2022.txt</t>
        </is>
      </c>
    </row>
    <row r="724">
      <c r="A724" t="inlineStr">
        <is>
          <t>micro</t>
        </is>
      </c>
      <c r="B724" t="inlineStr">
        <is>
          <t>Tahlequah, OK Micro Area</t>
        </is>
      </c>
      <c r="C724" t="inlineStr">
        <is>
          <t>45140</t>
        </is>
      </c>
      <c r="D724" s="7" t="n">
        <v>51</v>
      </c>
      <c r="E724" t="n">
        <v>51.03081105573176</v>
      </c>
      <c r="F724" s="7" t="n">
        <v>49</v>
      </c>
      <c r="G724" s="6" t="n">
        <v>8828</v>
      </c>
      <c r="H724" s="6" t="n">
        <v>4505</v>
      </c>
      <c r="I724" s="6" t="n">
        <v>4323</v>
      </c>
      <c r="J724" t="inlineStr">
        <is>
          <t>https://www2.census.gov/programs-surveys/susb/datasets/2022/msa_3digitnaics_2022.txt</t>
        </is>
      </c>
    </row>
    <row r="725">
      <c r="A725" t="inlineStr">
        <is>
          <t>micro</t>
        </is>
      </c>
      <c r="B725" t="inlineStr">
        <is>
          <t>Carroll, IA Micro Area</t>
        </is>
      </c>
      <c r="C725" t="inlineStr">
        <is>
          <t>16140</t>
        </is>
      </c>
      <c r="D725" s="7" t="n">
        <v>51</v>
      </c>
      <c r="E725" t="n">
        <v>51.02199727467394</v>
      </c>
      <c r="F725" s="7" t="n">
        <v>49</v>
      </c>
      <c r="G725" s="6" t="n">
        <v>10274</v>
      </c>
      <c r="H725" s="6" t="n">
        <v>5242</v>
      </c>
      <c r="I725" s="6" t="n">
        <v>5032</v>
      </c>
      <c r="J725" t="inlineStr">
        <is>
          <t>https://www2.census.gov/programs-surveys/susb/datasets/2022/msa_3digitnaics_2022.txt</t>
        </is>
      </c>
    </row>
    <row r="726">
      <c r="A726" t="inlineStr">
        <is>
          <t>micro</t>
        </is>
      </c>
      <c r="B726" t="inlineStr">
        <is>
          <t>Kingsville, TX Micro Area</t>
        </is>
      </c>
      <c r="C726" t="inlineStr">
        <is>
          <t>28780</t>
        </is>
      </c>
      <c r="D726" s="7" t="n">
        <v>50.9</v>
      </c>
      <c r="E726" t="n">
        <v>50.90374724467303</v>
      </c>
      <c r="F726" s="7" t="n">
        <v>49.1</v>
      </c>
      <c r="G726" s="6" t="n">
        <v>6805</v>
      </c>
      <c r="H726" s="6" t="n">
        <v>3464</v>
      </c>
      <c r="I726" s="6" t="n">
        <v>3341</v>
      </c>
      <c r="J726" t="inlineStr">
        <is>
          <t>https://www2.census.gov/programs-surveys/susb/datasets/2022/msa_3digitnaics_2022.txt</t>
        </is>
      </c>
    </row>
    <row r="727">
      <c r="A727" t="inlineStr">
        <is>
          <t>micro</t>
        </is>
      </c>
      <c r="B727" t="inlineStr">
        <is>
          <t>Sayre, PA Micro Area</t>
        </is>
      </c>
      <c r="C727" t="inlineStr">
        <is>
          <t>42380</t>
        </is>
      </c>
      <c r="D727" s="7" t="n">
        <v>50.7</v>
      </c>
      <c r="E727" t="n">
        <v>50.70132472447957</v>
      </c>
      <c r="F727" s="7" t="n">
        <v>49.3</v>
      </c>
      <c r="G727" s="6" t="n">
        <v>17966</v>
      </c>
      <c r="H727" s="6" t="n">
        <v>9109</v>
      </c>
      <c r="I727" s="6" t="n">
        <v>8857</v>
      </c>
      <c r="J727" t="inlineStr">
        <is>
          <t>https://www2.census.gov/programs-surveys/susb/datasets/2022/msa_3digitnaics_2022.txt</t>
        </is>
      </c>
    </row>
    <row r="728">
      <c r="A728" t="inlineStr">
        <is>
          <t>micro</t>
        </is>
      </c>
      <c r="B728" t="inlineStr">
        <is>
          <t>Cullman, AL Micro Area</t>
        </is>
      </c>
      <c r="C728" t="inlineStr">
        <is>
          <t>18980</t>
        </is>
      </c>
      <c r="D728" s="7" t="n">
        <v>50.7</v>
      </c>
      <c r="E728" t="n">
        <v>50.69014934379243</v>
      </c>
      <c r="F728" s="7" t="n">
        <v>49.3</v>
      </c>
      <c r="G728" s="6" t="n">
        <v>26516</v>
      </c>
      <c r="H728" s="6" t="n">
        <v>13441</v>
      </c>
      <c r="I728" s="6" t="n">
        <v>13075</v>
      </c>
      <c r="J728" t="inlineStr">
        <is>
          <t>https://www2.census.gov/programs-surveys/susb/datasets/2022/msa_3digitnaics_2022.txt</t>
        </is>
      </c>
    </row>
    <row r="729">
      <c r="A729" t="inlineStr">
        <is>
          <t>micro</t>
        </is>
      </c>
      <c r="B729" t="inlineStr">
        <is>
          <t>Lewistown, PA Micro Area</t>
        </is>
      </c>
      <c r="C729" t="inlineStr">
        <is>
          <t>30380</t>
        </is>
      </c>
      <c r="D729" s="7" t="n">
        <v>50.6</v>
      </c>
      <c r="E729" t="n">
        <v>50.58405628799781</v>
      </c>
      <c r="F729" s="7" t="n">
        <v>49.4</v>
      </c>
      <c r="G729" s="6" t="n">
        <v>14639</v>
      </c>
      <c r="H729" s="6" t="n">
        <v>7405</v>
      </c>
      <c r="I729" s="6" t="n">
        <v>7234</v>
      </c>
      <c r="J729" t="inlineStr">
        <is>
          <t>https://www2.census.gov/programs-surveys/susb/datasets/2022/msa_3digitnaics_2022.txt</t>
        </is>
      </c>
    </row>
    <row r="730">
      <c r="A730" t="inlineStr">
        <is>
          <t>micro</t>
        </is>
      </c>
      <c r="B730" t="inlineStr">
        <is>
          <t>Brookings, SD Micro Area</t>
        </is>
      </c>
      <c r="C730" t="inlineStr">
        <is>
          <t>15100</t>
        </is>
      </c>
      <c r="D730" s="7" t="n">
        <v>50.6</v>
      </c>
      <c r="E730" t="n">
        <v>50.5592841163311</v>
      </c>
      <c r="F730" s="7" t="n">
        <v>49.4</v>
      </c>
      <c r="G730" s="6" t="n">
        <v>14304</v>
      </c>
      <c r="H730" s="6" t="n">
        <v>7232</v>
      </c>
      <c r="I730" s="6" t="n">
        <v>7072</v>
      </c>
      <c r="J730" t="inlineStr">
        <is>
          <t>https://www2.census.gov/programs-surveys/susb/datasets/2022/msa_3digitnaics_2022.txt</t>
        </is>
      </c>
    </row>
    <row r="731">
      <c r="A731" t="inlineStr">
        <is>
          <t>micro</t>
        </is>
      </c>
      <c r="B731" t="inlineStr">
        <is>
          <t>Lewisburg, TN Micro Area</t>
        </is>
      </c>
      <c r="C731" t="inlineStr">
        <is>
          <t>30280</t>
        </is>
      </c>
      <c r="D731" s="7" t="n">
        <v>50.5</v>
      </c>
      <c r="E731" t="n">
        <v>50.47216699801193</v>
      </c>
      <c r="F731" s="7" t="n">
        <v>49.5</v>
      </c>
      <c r="G731" s="6" t="n">
        <v>8048</v>
      </c>
      <c r="H731" s="6" t="n">
        <v>4062</v>
      </c>
      <c r="I731" s="6" t="n">
        <v>3986</v>
      </c>
      <c r="J731" t="inlineStr">
        <is>
          <t>https://www2.census.gov/programs-surveys/susb/datasets/2022/msa_3digitnaics_2022.txt</t>
        </is>
      </c>
    </row>
    <row r="732">
      <c r="A732" t="inlineStr">
        <is>
          <t>micro</t>
        </is>
      </c>
      <c r="B732" t="inlineStr">
        <is>
          <t>Quincy, IL-MO Micro Area</t>
        </is>
      </c>
      <c r="C732" t="inlineStr">
        <is>
          <t>39500</t>
        </is>
      </c>
      <c r="D732" s="7" t="n">
        <v>50.4</v>
      </c>
      <c r="E732" t="n">
        <v>50.36895242211862</v>
      </c>
      <c r="F732" s="7" t="n">
        <v>49.6</v>
      </c>
      <c r="G732" s="6" t="n">
        <v>32389</v>
      </c>
      <c r="H732" s="6" t="n">
        <v>16314</v>
      </c>
      <c r="I732" s="6" t="n">
        <v>16075</v>
      </c>
      <c r="J732" t="inlineStr">
        <is>
          <t>https://www2.census.gov/programs-surveys/susb/datasets/2022/msa_3digitnaics_2022.txt</t>
        </is>
      </c>
    </row>
    <row r="733">
      <c r="A733" t="inlineStr">
        <is>
          <t>micro</t>
        </is>
      </c>
      <c r="B733" t="inlineStr">
        <is>
          <t>Hutchinson, MN Micro Area</t>
        </is>
      </c>
      <c r="C733" t="inlineStr">
        <is>
          <t>26780</t>
        </is>
      </c>
      <c r="D733" s="7" t="n">
        <v>50.3</v>
      </c>
      <c r="E733" t="n">
        <v>50.34496617321991</v>
      </c>
      <c r="F733" s="7" t="n">
        <v>49.7</v>
      </c>
      <c r="G733" s="6" t="n">
        <v>14929</v>
      </c>
      <c r="H733" s="6" t="n">
        <v>7516</v>
      </c>
      <c r="I733" s="6" t="n">
        <v>7413</v>
      </c>
      <c r="J733" t="inlineStr">
        <is>
          <t>https://www2.census.gov/programs-surveys/susb/datasets/2022/msa_3digitnaics_2022.txt</t>
        </is>
      </c>
    </row>
    <row r="734">
      <c r="A734" t="inlineStr">
        <is>
          <t>micro</t>
        </is>
      </c>
      <c r="B734" t="inlineStr">
        <is>
          <t>Massena-Ogdensburg, NY Micro Area</t>
        </is>
      </c>
      <c r="C734" t="inlineStr">
        <is>
          <t>32390</t>
        </is>
      </c>
      <c r="D734" s="7" t="n">
        <v>50.2</v>
      </c>
      <c r="E734" t="n">
        <v>50.23818975784042</v>
      </c>
      <c r="F734" s="7" t="n">
        <v>49.8</v>
      </c>
      <c r="G734" s="6" t="n">
        <v>25190</v>
      </c>
      <c r="H734" s="6" t="n">
        <v>12655</v>
      </c>
      <c r="I734" s="6" t="n">
        <v>12535</v>
      </c>
      <c r="J734" t="inlineStr">
        <is>
          <t>https://www2.census.gov/programs-surveys/susb/datasets/2022/msa_3digitnaics_2022.txt</t>
        </is>
      </c>
    </row>
    <row r="735">
      <c r="A735" t="inlineStr">
        <is>
          <t>micro</t>
        </is>
      </c>
      <c r="B735" t="inlineStr">
        <is>
          <t>Red Bluff, CA Micro Area</t>
        </is>
      </c>
      <c r="C735" t="inlineStr">
        <is>
          <t>39780</t>
        </is>
      </c>
      <c r="D735" s="7" t="n">
        <v>50.2</v>
      </c>
      <c r="E735" t="n">
        <v>50.17459624618071</v>
      </c>
      <c r="F735" s="7" t="n">
        <v>49.8</v>
      </c>
      <c r="G735" s="6" t="n">
        <v>13746</v>
      </c>
      <c r="H735" s="6" t="n">
        <v>6897</v>
      </c>
      <c r="I735" s="6" t="n">
        <v>6849</v>
      </c>
      <c r="J735" t="inlineStr">
        <is>
          <t>https://www2.census.gov/programs-surveys/susb/datasets/2022/msa_3digitnaics_2022.txt</t>
        </is>
      </c>
    </row>
    <row r="736">
      <c r="A736" t="inlineStr">
        <is>
          <t>micro</t>
        </is>
      </c>
      <c r="B736" t="inlineStr">
        <is>
          <t>Douglas, GA Micro Area</t>
        </is>
      </c>
      <c r="C736" t="inlineStr">
        <is>
          <t>20060</t>
        </is>
      </c>
      <c r="D736" s="7" t="n">
        <v>50.2</v>
      </c>
      <c r="E736" t="n">
        <v>50.1678171110126</v>
      </c>
      <c r="F736" s="7" t="n">
        <v>49.8</v>
      </c>
      <c r="G736" s="6" t="n">
        <v>15791</v>
      </c>
      <c r="H736" s="6" t="n">
        <v>7922</v>
      </c>
      <c r="I736" s="6" t="n">
        <v>7869</v>
      </c>
      <c r="J736" t="inlineStr">
        <is>
          <t>https://www2.census.gov/programs-surveys/susb/datasets/2022/msa_3digitnaics_2022.txt</t>
        </is>
      </c>
    </row>
    <row r="737">
      <c r="A737" t="inlineStr">
        <is>
          <t>micro</t>
        </is>
      </c>
      <c r="B737" t="inlineStr">
        <is>
          <t>Carbondale, IL Micro Area</t>
        </is>
      </c>
      <c r="C737" t="inlineStr">
        <is>
          <t>16060</t>
        </is>
      </c>
      <c r="D737" s="7" t="n">
        <v>50</v>
      </c>
      <c r="E737" t="n">
        <v>50.04696599661845</v>
      </c>
      <c r="F737" s="7" t="n">
        <v>50</v>
      </c>
      <c r="G737" s="6" t="n">
        <v>15969</v>
      </c>
      <c r="H737" s="6" t="n">
        <v>7992</v>
      </c>
      <c r="I737" s="6" t="n">
        <v>7977</v>
      </c>
      <c r="J737" t="inlineStr">
        <is>
          <t>https://www2.census.gov/programs-surveys/susb/datasets/2022/msa_3digitnaics_2022.txt</t>
        </is>
      </c>
    </row>
    <row r="738">
      <c r="A738" t="inlineStr">
        <is>
          <t>micro</t>
        </is>
      </c>
      <c r="B738" t="inlineStr">
        <is>
          <t>McComb, MS Micro Area</t>
        </is>
      </c>
      <c r="C738" t="inlineStr">
        <is>
          <t>32620</t>
        </is>
      </c>
      <c r="D738" s="7" t="n">
        <v>50</v>
      </c>
      <c r="E738" t="n">
        <v>49.99669027603098</v>
      </c>
      <c r="F738" s="7" t="n">
        <v>50</v>
      </c>
      <c r="G738" s="6" t="n">
        <v>15107</v>
      </c>
      <c r="H738" s="6" t="n">
        <v>7553</v>
      </c>
      <c r="I738" s="6" t="n">
        <v>7554</v>
      </c>
      <c r="J738" t="inlineStr">
        <is>
          <t>https://www2.census.gov/programs-surveys/susb/datasets/2022/msa_3digitnaics_2022.txt</t>
        </is>
      </c>
    </row>
    <row r="739">
      <c r="A739" t="inlineStr">
        <is>
          <t>micro</t>
        </is>
      </c>
      <c r="B739" t="inlineStr">
        <is>
          <t>Muskogee, OK Micro Area</t>
        </is>
      </c>
      <c r="C739" t="inlineStr">
        <is>
          <t>34780</t>
        </is>
      </c>
      <c r="D739" s="7" t="n">
        <v>49.9</v>
      </c>
      <c r="E739" t="n">
        <v>49.91863651935594</v>
      </c>
      <c r="F739" s="7" t="n">
        <v>50.1</v>
      </c>
      <c r="G739" s="6" t="n">
        <v>23352</v>
      </c>
      <c r="H739" s="6" t="n">
        <v>11657</v>
      </c>
      <c r="I739" s="6" t="n">
        <v>11695</v>
      </c>
      <c r="J739" t="inlineStr">
        <is>
          <t>https://www2.census.gov/programs-surveys/susb/datasets/2022/msa_3digitnaics_2022.txt</t>
        </is>
      </c>
    </row>
    <row r="740">
      <c r="A740" t="inlineStr">
        <is>
          <t>micro</t>
        </is>
      </c>
      <c r="B740" t="inlineStr">
        <is>
          <t>Campbellsville, KY Micro Area</t>
        </is>
      </c>
      <c r="C740" t="inlineStr">
        <is>
          <t>15820</t>
        </is>
      </c>
      <c r="D740" s="7" t="n">
        <v>49.9</v>
      </c>
      <c r="E740" t="n">
        <v>49.86876640419948</v>
      </c>
      <c r="F740" s="7" t="n">
        <v>50.1</v>
      </c>
      <c r="G740" s="6" t="n">
        <v>11049</v>
      </c>
      <c r="H740" s="6" t="n">
        <v>5510</v>
      </c>
      <c r="I740" s="6" t="n">
        <v>5539</v>
      </c>
      <c r="J740" t="inlineStr">
        <is>
          <t>https://www2.census.gov/programs-surveys/susb/datasets/2022/msa_3digitnaics_2022.txt</t>
        </is>
      </c>
    </row>
    <row r="741">
      <c r="A741" t="inlineStr">
        <is>
          <t>micro</t>
        </is>
      </c>
      <c r="B741" t="inlineStr">
        <is>
          <t>Klamath Falls, OR Micro Area</t>
        </is>
      </c>
      <c r="C741" t="inlineStr">
        <is>
          <t>28900</t>
        </is>
      </c>
      <c r="D741" s="7" t="n">
        <v>49.9</v>
      </c>
      <c r="E741" t="n">
        <v>49.86768111147866</v>
      </c>
      <c r="F741" s="7" t="n">
        <v>50.1</v>
      </c>
      <c r="G741" s="6" t="n">
        <v>18138</v>
      </c>
      <c r="H741" s="6" t="n">
        <v>9045</v>
      </c>
      <c r="I741" s="6" t="n">
        <v>9093</v>
      </c>
      <c r="J741" t="inlineStr">
        <is>
          <t>https://www2.census.gov/programs-surveys/susb/datasets/2022/msa_3digitnaics_2022.txt</t>
        </is>
      </c>
    </row>
    <row r="742">
      <c r="A742" t="inlineStr">
        <is>
          <t>micro</t>
        </is>
      </c>
      <c r="B742" t="inlineStr">
        <is>
          <t>Deming, NM Micro Area</t>
        </is>
      </c>
      <c r="C742" t="inlineStr">
        <is>
          <t>19700</t>
        </is>
      </c>
      <c r="D742" s="7" t="n">
        <v>49.8</v>
      </c>
      <c r="E742" t="n">
        <v>49.76008530300338</v>
      </c>
      <c r="F742" s="7" t="n">
        <v>50.2</v>
      </c>
      <c r="G742" s="6" t="n">
        <v>5627</v>
      </c>
      <c r="H742" s="6" t="n">
        <v>2800</v>
      </c>
      <c r="I742" s="6" t="n">
        <v>2827</v>
      </c>
      <c r="J742" t="inlineStr">
        <is>
          <t>https://www2.census.gov/programs-surveys/susb/datasets/2022/msa_3digitnaics_2022.txt</t>
        </is>
      </c>
    </row>
    <row r="743">
      <c r="A743" t="inlineStr">
        <is>
          <t>micro</t>
        </is>
      </c>
      <c r="B743" t="inlineStr">
        <is>
          <t>Dixon, IL Micro Area</t>
        </is>
      </c>
      <c r="C743" t="inlineStr">
        <is>
          <t>19940</t>
        </is>
      </c>
      <c r="D743" s="7" t="n">
        <v>49.7</v>
      </c>
      <c r="E743" t="n">
        <v>49.7380166893072</v>
      </c>
      <c r="F743" s="7" t="n">
        <v>50.3</v>
      </c>
      <c r="G743" s="6" t="n">
        <v>10306</v>
      </c>
      <c r="H743" s="6" t="n">
        <v>5126</v>
      </c>
      <c r="I743" s="6" t="n">
        <v>5180</v>
      </c>
      <c r="J743" t="inlineStr">
        <is>
          <t>https://www2.census.gov/programs-surveys/susb/datasets/2022/msa_3digitnaics_2022.txt</t>
        </is>
      </c>
    </row>
    <row r="744">
      <c r="A744" t="inlineStr">
        <is>
          <t>micro</t>
        </is>
      </c>
      <c r="B744" t="inlineStr">
        <is>
          <t>Mason City, IA Micro Area</t>
        </is>
      </c>
      <c r="C744" t="inlineStr">
        <is>
          <t>32380</t>
        </is>
      </c>
      <c r="D744" s="7" t="n">
        <v>49.7</v>
      </c>
      <c r="E744" t="n">
        <v>49.68489341983318</v>
      </c>
      <c r="F744" s="7" t="n">
        <v>50.3</v>
      </c>
      <c r="G744" s="6" t="n">
        <v>21580</v>
      </c>
      <c r="H744" s="6" t="n">
        <v>10722</v>
      </c>
      <c r="I744" s="6" t="n">
        <v>10858</v>
      </c>
      <c r="J744" t="inlineStr">
        <is>
          <t>https://www2.census.gov/programs-surveys/susb/datasets/2022/msa_3digitnaics_2022.txt</t>
        </is>
      </c>
    </row>
    <row r="745">
      <c r="A745" t="inlineStr">
        <is>
          <t>micro</t>
        </is>
      </c>
      <c r="B745" t="inlineStr">
        <is>
          <t>Corsicana, TX Micro Area</t>
        </is>
      </c>
      <c r="C745" t="inlineStr">
        <is>
          <t>18620</t>
        </is>
      </c>
      <c r="D745" s="7" t="n">
        <v>49.6</v>
      </c>
      <c r="E745" t="n">
        <v>49.64881474978051</v>
      </c>
      <c r="F745" s="7" t="n">
        <v>50.4</v>
      </c>
      <c r="G745" s="6" t="n">
        <v>13668</v>
      </c>
      <c r="H745" s="6" t="n">
        <v>6786</v>
      </c>
      <c r="I745" s="6" t="n">
        <v>6882</v>
      </c>
      <c r="J745" t="inlineStr">
        <is>
          <t>https://www2.census.gov/programs-surveys/susb/datasets/2022/msa_3digitnaics_2022.txt</t>
        </is>
      </c>
    </row>
    <row r="746">
      <c r="A746" t="inlineStr">
        <is>
          <t>micro</t>
        </is>
      </c>
      <c r="B746" t="inlineStr">
        <is>
          <t>Marshall, MN Micro Area</t>
        </is>
      </c>
      <c r="C746" t="inlineStr">
        <is>
          <t>32140</t>
        </is>
      </c>
      <c r="D746" s="7" t="n">
        <v>49.6</v>
      </c>
      <c r="E746" t="n">
        <v>49.61861768368617</v>
      </c>
      <c r="F746" s="7" t="n">
        <v>50.4</v>
      </c>
      <c r="G746" s="6" t="n">
        <v>12848</v>
      </c>
      <c r="H746" s="6" t="n">
        <v>6375</v>
      </c>
      <c r="I746" s="6" t="n">
        <v>6473</v>
      </c>
      <c r="J746" t="inlineStr">
        <is>
          <t>https://www2.census.gov/programs-surveys/susb/datasets/2022/msa_3digitnaics_2022.txt</t>
        </is>
      </c>
    </row>
    <row r="747">
      <c r="A747" t="inlineStr">
        <is>
          <t>micro</t>
        </is>
      </c>
      <c r="B747" t="inlineStr">
        <is>
          <t>Sparta, WI Micro Area</t>
        </is>
      </c>
      <c r="C747" t="inlineStr">
        <is>
          <t>43890</t>
        </is>
      </c>
      <c r="D747" s="7" t="n">
        <v>49.6</v>
      </c>
      <c r="E747" t="n">
        <v>49.56407500298579</v>
      </c>
      <c r="F747" s="7" t="n">
        <v>50.4</v>
      </c>
      <c r="G747" s="6" t="n">
        <v>16746</v>
      </c>
      <c r="H747" s="6" t="n">
        <v>8300</v>
      </c>
      <c r="I747" s="6" t="n">
        <v>8446</v>
      </c>
      <c r="J747" t="inlineStr">
        <is>
          <t>https://www2.census.gov/programs-surveys/susb/datasets/2022/msa_3digitnaics_2022.txt</t>
        </is>
      </c>
    </row>
    <row r="748">
      <c r="A748" t="inlineStr">
        <is>
          <t>micro</t>
        </is>
      </c>
      <c r="B748" t="inlineStr">
        <is>
          <t>Pottsville, PA Micro Area</t>
        </is>
      </c>
      <c r="C748" t="inlineStr">
        <is>
          <t>39060</t>
        </is>
      </c>
      <c r="D748" s="7" t="n">
        <v>49.5</v>
      </c>
      <c r="E748" t="n">
        <v>49.53919334060053</v>
      </c>
      <c r="F748" s="7" t="n">
        <v>50.5</v>
      </c>
      <c r="G748" s="6" t="n">
        <v>40364</v>
      </c>
      <c r="H748" s="6" t="n">
        <v>19996</v>
      </c>
      <c r="I748" s="6" t="n">
        <v>20368</v>
      </c>
      <c r="J748" t="inlineStr">
        <is>
          <t>https://www2.census.gov/programs-surveys/susb/datasets/2022/msa_3digitnaics_2022.txt</t>
        </is>
      </c>
    </row>
    <row r="749">
      <c r="A749" t="inlineStr">
        <is>
          <t>micro</t>
        </is>
      </c>
      <c r="B749" t="inlineStr">
        <is>
          <t>Arkansas City-Winfield, KS Micro Area</t>
        </is>
      </c>
      <c r="C749" t="inlineStr">
        <is>
          <t>11680</t>
        </is>
      </c>
      <c r="D749" s="7" t="n">
        <v>49.3</v>
      </c>
      <c r="E749" t="n">
        <v>49.33857704683589</v>
      </c>
      <c r="F749" s="7" t="n">
        <v>50.7</v>
      </c>
      <c r="G749" s="6" t="n">
        <v>11188</v>
      </c>
      <c r="H749" s="6" t="n">
        <v>5520</v>
      </c>
      <c r="I749" s="6" t="n">
        <v>5668</v>
      </c>
      <c r="J749" t="inlineStr">
        <is>
          <t>https://www2.census.gov/programs-surveys/susb/datasets/2022/msa_3digitnaics_2022.txt</t>
        </is>
      </c>
    </row>
    <row r="750">
      <c r="A750" t="inlineStr">
        <is>
          <t>micro</t>
        </is>
      </c>
      <c r="B750" t="inlineStr">
        <is>
          <t>Salina, KS Micro Area</t>
        </is>
      </c>
      <c r="C750" t="inlineStr">
        <is>
          <t>41460</t>
        </is>
      </c>
      <c r="D750" s="7" t="n">
        <v>49.3</v>
      </c>
      <c r="E750" t="n">
        <v>49.33455882352941</v>
      </c>
      <c r="F750" s="7" t="n">
        <v>50.7</v>
      </c>
      <c r="G750" s="6" t="n">
        <v>27200</v>
      </c>
      <c r="H750" s="6" t="n">
        <v>13419</v>
      </c>
      <c r="I750" s="6" t="n">
        <v>13781</v>
      </c>
      <c r="J750" t="inlineStr">
        <is>
          <t>https://www2.census.gov/programs-surveys/susb/datasets/2022/msa_3digitnaics_2022.txt</t>
        </is>
      </c>
    </row>
    <row r="751">
      <c r="A751" t="inlineStr">
        <is>
          <t>micro</t>
        </is>
      </c>
      <c r="B751" t="inlineStr">
        <is>
          <t>Mount Sterling, KY Micro Area</t>
        </is>
      </c>
      <c r="C751" t="inlineStr">
        <is>
          <t>34460</t>
        </is>
      </c>
      <c r="D751" s="7" t="n">
        <v>49.3</v>
      </c>
      <c r="E751" t="n">
        <v>49.32485408136597</v>
      </c>
      <c r="F751" s="7" t="n">
        <v>50.7</v>
      </c>
      <c r="G751" s="6" t="n">
        <v>11479</v>
      </c>
      <c r="H751" s="6" t="n">
        <v>5662</v>
      </c>
      <c r="I751" s="6" t="n">
        <v>5817</v>
      </c>
      <c r="J751" t="inlineStr">
        <is>
          <t>https://www2.census.gov/programs-surveys/susb/datasets/2022/msa_3digitnaics_2022.txt</t>
        </is>
      </c>
    </row>
    <row r="752">
      <c r="A752" t="inlineStr">
        <is>
          <t>micro</t>
        </is>
      </c>
      <c r="B752" t="inlineStr">
        <is>
          <t>Natchitoches, LA Micro Area</t>
        </is>
      </c>
      <c r="C752" t="inlineStr">
        <is>
          <t>35060</t>
        </is>
      </c>
      <c r="D752" s="7" t="n">
        <v>49.3</v>
      </c>
      <c r="E752" t="n">
        <v>49.27263392093103</v>
      </c>
      <c r="F752" s="7" t="n">
        <v>50.7</v>
      </c>
      <c r="G752" s="6" t="n">
        <v>11686</v>
      </c>
      <c r="H752" s="6" t="n">
        <v>5758</v>
      </c>
      <c r="I752" s="6" t="n">
        <v>5928</v>
      </c>
      <c r="J752" t="inlineStr">
        <is>
          <t>https://www2.census.gov/programs-surveys/susb/datasets/2022/msa_3digitnaics_2022.txt</t>
        </is>
      </c>
    </row>
    <row r="753">
      <c r="A753" t="inlineStr">
        <is>
          <t>micro</t>
        </is>
      </c>
      <c r="B753" t="inlineStr">
        <is>
          <t>Pine Bluff, AR Micro Area</t>
        </is>
      </c>
      <c r="C753" t="inlineStr">
        <is>
          <t>38220</t>
        </is>
      </c>
      <c r="D753" s="7" t="n">
        <v>49.2</v>
      </c>
      <c r="E753" t="n">
        <v>49.23740563857649</v>
      </c>
      <c r="F753" s="7" t="n">
        <v>50.8</v>
      </c>
      <c r="G753" s="6" t="n">
        <v>19473</v>
      </c>
      <c r="H753" s="6" t="n">
        <v>9588</v>
      </c>
      <c r="I753" s="6" t="n">
        <v>9885</v>
      </c>
      <c r="J753" t="inlineStr">
        <is>
          <t>https://www2.census.gov/programs-surveys/susb/datasets/2022/msa_3digitnaics_2022.txt</t>
        </is>
      </c>
    </row>
    <row r="754">
      <c r="A754" t="inlineStr">
        <is>
          <t>micro</t>
        </is>
      </c>
      <c r="B754" t="inlineStr">
        <is>
          <t>Ashland, OH Micro Area</t>
        </is>
      </c>
      <c r="C754" t="inlineStr">
        <is>
          <t>11740</t>
        </is>
      </c>
      <c r="D754" s="7" t="n">
        <v>49.1</v>
      </c>
      <c r="E754" t="n">
        <v>49.11653116531166</v>
      </c>
      <c r="F754" s="7" t="n">
        <v>50.9</v>
      </c>
      <c r="G754" s="6" t="n">
        <v>18450</v>
      </c>
      <c r="H754" s="6" t="n">
        <v>9062</v>
      </c>
      <c r="I754" s="6" t="n">
        <v>9388</v>
      </c>
      <c r="J754" t="inlineStr">
        <is>
          <t>https://www2.census.gov/programs-surveys/susb/datasets/2022/msa_3digitnaics_2022.txt</t>
        </is>
      </c>
    </row>
    <row r="755">
      <c r="A755" t="inlineStr">
        <is>
          <t>micro</t>
        </is>
      </c>
      <c r="B755" t="inlineStr">
        <is>
          <t>Urbana, OH Micro Area</t>
        </is>
      </c>
      <c r="C755" t="inlineStr">
        <is>
          <t>46500</t>
        </is>
      </c>
      <c r="D755" s="7" t="n">
        <v>49</v>
      </c>
      <c r="E755" t="n">
        <v>49.02097902097902</v>
      </c>
      <c r="F755" s="7" t="n">
        <v>51</v>
      </c>
      <c r="G755" s="6" t="n">
        <v>8580</v>
      </c>
      <c r="H755" s="6" t="n">
        <v>4206</v>
      </c>
      <c r="I755" s="6" t="n">
        <v>4374</v>
      </c>
      <c r="J755" t="inlineStr">
        <is>
          <t>https://www2.census.gov/programs-surveys/susb/datasets/2022/msa_3digitnaics_2022.txt</t>
        </is>
      </c>
    </row>
    <row r="756">
      <c r="A756" t="inlineStr">
        <is>
          <t>micro</t>
        </is>
      </c>
      <c r="B756" t="inlineStr">
        <is>
          <t>Pittsburg, KS Micro Area</t>
        </is>
      </c>
      <c r="C756" t="inlineStr">
        <is>
          <t>38260</t>
        </is>
      </c>
      <c r="D756" s="7" t="n">
        <v>49</v>
      </c>
      <c r="E756" t="n">
        <v>48.98950131233596</v>
      </c>
      <c r="F756" s="7" t="n">
        <v>51</v>
      </c>
      <c r="G756" s="6" t="n">
        <v>15240</v>
      </c>
      <c r="H756" s="6" t="n">
        <v>7466</v>
      </c>
      <c r="I756" s="6" t="n">
        <v>7774</v>
      </c>
      <c r="J756" t="inlineStr">
        <is>
          <t>https://www2.census.gov/programs-surveys/susb/datasets/2022/msa_3digitnaics_2022.txt</t>
        </is>
      </c>
    </row>
    <row r="757">
      <c r="A757" t="inlineStr">
        <is>
          <t>micro</t>
        </is>
      </c>
      <c r="B757" t="inlineStr">
        <is>
          <t>Malvern, AR Micro Area</t>
        </is>
      </c>
      <c r="C757" t="inlineStr">
        <is>
          <t>31680</t>
        </is>
      </c>
      <c r="D757" s="7" t="n">
        <v>48.8</v>
      </c>
      <c r="E757" t="n">
        <v>48.82171298553551</v>
      </c>
      <c r="F757" s="7" t="n">
        <v>51.2</v>
      </c>
      <c r="G757" s="6" t="n">
        <v>6153</v>
      </c>
      <c r="H757" s="6" t="n">
        <v>3004</v>
      </c>
      <c r="I757" s="6" t="n">
        <v>3149</v>
      </c>
      <c r="J757" t="inlineStr">
        <is>
          <t>https://www2.census.gov/programs-surveys/susb/datasets/2022/msa_3digitnaics_2022.txt</t>
        </is>
      </c>
    </row>
    <row r="758">
      <c r="A758" t="inlineStr">
        <is>
          <t>micro</t>
        </is>
      </c>
      <c r="B758" t="inlineStr">
        <is>
          <t>Martin, TN Micro Area</t>
        </is>
      </c>
      <c r="C758" t="inlineStr">
        <is>
          <t>32280</t>
        </is>
      </c>
      <c r="D758" s="7" t="n">
        <v>48.7</v>
      </c>
      <c r="E758" t="n">
        <v>48.67141162514828</v>
      </c>
      <c r="F758" s="7" t="n">
        <v>51.3</v>
      </c>
      <c r="G758" s="6" t="n">
        <v>8430</v>
      </c>
      <c r="H758" s="6" t="n">
        <v>4103</v>
      </c>
      <c r="I758" s="6" t="n">
        <v>4327</v>
      </c>
      <c r="J758" t="inlineStr">
        <is>
          <t>https://www2.census.gov/programs-surveys/susb/datasets/2022/msa_3digitnaics_2022.txt</t>
        </is>
      </c>
    </row>
    <row r="759">
      <c r="A759" t="inlineStr">
        <is>
          <t>micro</t>
        </is>
      </c>
      <c r="B759" t="inlineStr">
        <is>
          <t>Batesville, AR Micro Area</t>
        </is>
      </c>
      <c r="C759" t="inlineStr">
        <is>
          <t>12900</t>
        </is>
      </c>
      <c r="D759" s="7" t="n">
        <v>48.7</v>
      </c>
      <c r="E759" t="n">
        <v>48.65802566116785</v>
      </c>
      <c r="F759" s="7" t="n">
        <v>51.3</v>
      </c>
      <c r="G759" s="6" t="n">
        <v>15276</v>
      </c>
      <c r="H759" s="6" t="n">
        <v>7433</v>
      </c>
      <c r="I759" s="6" t="n">
        <v>7843</v>
      </c>
      <c r="J759" t="inlineStr">
        <is>
          <t>https://www2.census.gov/programs-surveys/susb/datasets/2022/msa_3digitnaics_2022.txt</t>
        </is>
      </c>
    </row>
    <row r="760">
      <c r="A760" t="inlineStr">
        <is>
          <t>micro</t>
        </is>
      </c>
      <c r="B760" t="inlineStr">
        <is>
          <t>Seneca, SC Micro Area</t>
        </is>
      </c>
      <c r="C760" t="inlineStr">
        <is>
          <t>42860</t>
        </is>
      </c>
      <c r="D760" s="7" t="n">
        <v>48.6</v>
      </c>
      <c r="E760" t="n">
        <v>48.61243109674967</v>
      </c>
      <c r="F760" s="7" t="n">
        <v>51.4</v>
      </c>
      <c r="G760" s="6" t="n">
        <v>21044</v>
      </c>
      <c r="H760" s="6" t="n">
        <v>10230</v>
      </c>
      <c r="I760" s="6" t="n">
        <v>10814</v>
      </c>
      <c r="J760" t="inlineStr">
        <is>
          <t>https://www2.census.gov/programs-surveys/susb/datasets/2022/msa_3digitnaics_2022.txt</t>
        </is>
      </c>
    </row>
    <row r="761">
      <c r="A761" t="inlineStr">
        <is>
          <t>micro</t>
        </is>
      </c>
      <c r="B761" t="inlineStr">
        <is>
          <t>Forrest City, AR Micro Area</t>
        </is>
      </c>
      <c r="C761" t="inlineStr">
        <is>
          <t>22620</t>
        </is>
      </c>
      <c r="D761" s="7" t="n">
        <v>48.6</v>
      </c>
      <c r="E761" t="n">
        <v>48.61054352268084</v>
      </c>
      <c r="F761" s="7" t="n">
        <v>51.4</v>
      </c>
      <c r="G761" s="6" t="n">
        <v>4894</v>
      </c>
      <c r="H761" s="6" t="n">
        <v>2379</v>
      </c>
      <c r="I761" s="6" t="n">
        <v>2515</v>
      </c>
      <c r="J761" t="inlineStr">
        <is>
          <t>https://www2.census.gov/programs-surveys/susb/datasets/2022/msa_3digitnaics_2022.txt</t>
        </is>
      </c>
    </row>
    <row r="762">
      <c r="A762" t="inlineStr">
        <is>
          <t>micro</t>
        </is>
      </c>
      <c r="B762" t="inlineStr">
        <is>
          <t>East Stroudsburg, PA Micro Area</t>
        </is>
      </c>
      <c r="C762" t="inlineStr">
        <is>
          <t>20700</t>
        </is>
      </c>
      <c r="D762" s="7" t="n">
        <v>48.6</v>
      </c>
      <c r="E762" t="n">
        <v>48.5950977880263</v>
      </c>
      <c r="F762" s="7" t="n">
        <v>51.4</v>
      </c>
      <c r="G762" s="6" t="n">
        <v>46836</v>
      </c>
      <c r="H762" s="6" t="n">
        <v>22760</v>
      </c>
      <c r="I762" s="6" t="n">
        <v>24076</v>
      </c>
      <c r="J762" t="inlineStr">
        <is>
          <t>https://www2.census.gov/programs-surveys/susb/datasets/2022/msa_3digitnaics_2022.txt</t>
        </is>
      </c>
    </row>
    <row r="763">
      <c r="A763" t="inlineStr">
        <is>
          <t>micro</t>
        </is>
      </c>
      <c r="B763" t="inlineStr">
        <is>
          <t>Russellville, AR Micro Area</t>
        </is>
      </c>
      <c r="C763" t="inlineStr">
        <is>
          <t>40780</t>
        </is>
      </c>
      <c r="D763" s="7" t="n">
        <v>48.6</v>
      </c>
      <c r="E763" t="n">
        <v>48.58801324739147</v>
      </c>
      <c r="F763" s="7" t="n">
        <v>51.4</v>
      </c>
      <c r="G763" s="6" t="n">
        <v>28081</v>
      </c>
      <c r="H763" s="6" t="n">
        <v>13644</v>
      </c>
      <c r="I763" s="6" t="n">
        <v>14437</v>
      </c>
      <c r="J763" t="inlineStr">
        <is>
          <t>https://www2.census.gov/programs-surveys/susb/datasets/2022/msa_3digitnaics_2022.txt</t>
        </is>
      </c>
    </row>
    <row r="764">
      <c r="A764" t="inlineStr">
        <is>
          <t>micro</t>
        </is>
      </c>
      <c r="B764" t="inlineStr">
        <is>
          <t>Tifton, GA Micro Area</t>
        </is>
      </c>
      <c r="C764" t="inlineStr">
        <is>
          <t>45700</t>
        </is>
      </c>
      <c r="D764" s="7" t="n">
        <v>48.5</v>
      </c>
      <c r="E764" t="n">
        <v>48.49048800661704</v>
      </c>
      <c r="F764" s="7" t="n">
        <v>51.5</v>
      </c>
      <c r="G764" s="6" t="n">
        <v>19344</v>
      </c>
      <c r="H764" s="6" t="n">
        <v>9380</v>
      </c>
      <c r="I764" s="6" t="n">
        <v>9964</v>
      </c>
      <c r="J764" t="inlineStr">
        <is>
          <t>https://www2.census.gov/programs-surveys/susb/datasets/2022/msa_3digitnaics_2022.txt</t>
        </is>
      </c>
    </row>
    <row r="765">
      <c r="A765" t="inlineStr">
        <is>
          <t>micro</t>
        </is>
      </c>
      <c r="B765" t="inlineStr">
        <is>
          <t>Cumberland, MD-WV Micro Area</t>
        </is>
      </c>
      <c r="C765" t="inlineStr">
        <is>
          <t>19060</t>
        </is>
      </c>
      <c r="D765" s="7" t="n">
        <v>48.5</v>
      </c>
      <c r="E765" t="n">
        <v>48.4857022115791</v>
      </c>
      <c r="F765" s="7" t="n">
        <v>51.5</v>
      </c>
      <c r="G765" s="6" t="n">
        <v>28396</v>
      </c>
      <c r="H765" s="6" t="n">
        <v>13768</v>
      </c>
      <c r="I765" s="6" t="n">
        <v>14628</v>
      </c>
      <c r="J765" t="inlineStr">
        <is>
          <t>https://www2.census.gov/programs-surveys/susb/datasets/2022/msa_3digitnaics_2022.txt</t>
        </is>
      </c>
    </row>
    <row r="766">
      <c r="A766" t="inlineStr">
        <is>
          <t>micro</t>
        </is>
      </c>
      <c r="B766" t="inlineStr">
        <is>
          <t>Thomasville, GA Micro Area</t>
        </is>
      </c>
      <c r="C766" t="inlineStr">
        <is>
          <t>45620</t>
        </is>
      </c>
      <c r="D766" s="7" t="n">
        <v>48.5</v>
      </c>
      <c r="E766" t="n">
        <v>48.47157964309319</v>
      </c>
      <c r="F766" s="7" t="n">
        <v>51.5</v>
      </c>
      <c r="G766" s="6" t="n">
        <v>24208</v>
      </c>
      <c r="H766" s="6" t="n">
        <v>11734</v>
      </c>
      <c r="I766" s="6" t="n">
        <v>12474</v>
      </c>
      <c r="J766" t="inlineStr">
        <is>
          <t>https://www2.census.gov/programs-surveys/susb/datasets/2022/msa_3digitnaics_2022.txt</t>
        </is>
      </c>
    </row>
    <row r="767">
      <c r="A767" t="inlineStr">
        <is>
          <t>micro</t>
        </is>
      </c>
      <c r="B767" t="inlineStr">
        <is>
          <t>Augusta-Waterville, ME Micro Area</t>
        </is>
      </c>
      <c r="C767" t="inlineStr">
        <is>
          <t>12300</t>
        </is>
      </c>
      <c r="D767" s="7" t="n">
        <v>48.4</v>
      </c>
      <c r="E767" t="n">
        <v>48.41604742594841</v>
      </c>
      <c r="F767" s="7" t="n">
        <v>51.6</v>
      </c>
      <c r="G767" s="6" t="n">
        <v>48581</v>
      </c>
      <c r="H767" s="6" t="n">
        <v>23521</v>
      </c>
      <c r="I767" s="6" t="n">
        <v>25060</v>
      </c>
      <c r="J767" t="inlineStr">
        <is>
          <t>https://www2.census.gov/programs-surveys/susb/datasets/2022/msa_3digitnaics_2022.txt</t>
        </is>
      </c>
    </row>
    <row r="768">
      <c r="A768" t="inlineStr">
        <is>
          <t>micro</t>
        </is>
      </c>
      <c r="B768" t="inlineStr">
        <is>
          <t>Fort Morgan, CO Micro Area</t>
        </is>
      </c>
      <c r="C768" t="inlineStr">
        <is>
          <t>22820</t>
        </is>
      </c>
      <c r="D768" s="7" t="n">
        <v>48.4</v>
      </c>
      <c r="E768" t="n">
        <v>48.411852483479</v>
      </c>
      <c r="F768" s="7" t="n">
        <v>51.6</v>
      </c>
      <c r="G768" s="6" t="n">
        <v>9382</v>
      </c>
      <c r="H768" s="6" t="n">
        <v>4542</v>
      </c>
      <c r="I768" s="6" t="n">
        <v>4840</v>
      </c>
      <c r="J768" t="inlineStr">
        <is>
          <t>https://www2.census.gov/programs-surveys/susb/datasets/2022/msa_3digitnaics_2022.txt</t>
        </is>
      </c>
    </row>
    <row r="769">
      <c r="A769" t="inlineStr">
        <is>
          <t>micro</t>
        </is>
      </c>
      <c r="B769" t="inlineStr">
        <is>
          <t>Plattsburgh, NY Micro Area</t>
        </is>
      </c>
      <c r="C769" t="inlineStr">
        <is>
          <t>38460</t>
        </is>
      </c>
      <c r="D769" s="7" t="n">
        <v>48.4</v>
      </c>
      <c r="E769" t="n">
        <v>48.40117906048282</v>
      </c>
      <c r="F769" s="7" t="n">
        <v>51.6</v>
      </c>
      <c r="G769" s="6" t="n">
        <v>26801</v>
      </c>
      <c r="H769" s="6" t="n">
        <v>12972</v>
      </c>
      <c r="I769" s="6" t="n">
        <v>13829</v>
      </c>
      <c r="J769" t="inlineStr">
        <is>
          <t>https://www2.census.gov/programs-surveys/susb/datasets/2022/msa_3digitnaics_2022.txt</t>
        </is>
      </c>
    </row>
    <row r="770">
      <c r="A770" t="inlineStr">
        <is>
          <t>micro</t>
        </is>
      </c>
      <c r="B770" t="inlineStr">
        <is>
          <t>Clinton, IA Micro Area</t>
        </is>
      </c>
      <c r="C770" t="inlineStr">
        <is>
          <t>17540</t>
        </is>
      </c>
      <c r="D770" s="7" t="n">
        <v>48.4</v>
      </c>
      <c r="E770" t="n">
        <v>48.39900732401186</v>
      </c>
      <c r="F770" s="7" t="n">
        <v>51.6</v>
      </c>
      <c r="G770" s="6" t="n">
        <v>16521</v>
      </c>
      <c r="H770" s="6" t="n">
        <v>7996</v>
      </c>
      <c r="I770" s="6" t="n">
        <v>8525</v>
      </c>
      <c r="J770" t="inlineStr">
        <is>
          <t>https://www2.census.gov/programs-surveys/susb/datasets/2022/msa_3digitnaics_2022.txt</t>
        </is>
      </c>
    </row>
    <row r="771">
      <c r="A771" t="inlineStr">
        <is>
          <t>micro</t>
        </is>
      </c>
      <c r="B771" t="inlineStr">
        <is>
          <t>Alamogordo, NM Micro Area</t>
        </is>
      </c>
      <c r="C771" t="inlineStr">
        <is>
          <t>10460</t>
        </is>
      </c>
      <c r="D771" s="7" t="n">
        <v>48.4</v>
      </c>
      <c r="E771" t="n">
        <v>48.38130899446135</v>
      </c>
      <c r="F771" s="7" t="n">
        <v>51.6</v>
      </c>
      <c r="G771" s="6" t="n">
        <v>12819</v>
      </c>
      <c r="H771" s="6" t="n">
        <v>6202</v>
      </c>
      <c r="I771" s="6" t="n">
        <v>6617</v>
      </c>
      <c r="J771" t="inlineStr">
        <is>
          <t>https://www2.census.gov/programs-surveys/susb/datasets/2022/msa_3digitnaics_2022.txt</t>
        </is>
      </c>
    </row>
    <row r="772">
      <c r="A772" t="inlineStr">
        <is>
          <t>micro</t>
        </is>
      </c>
      <c r="B772" t="inlineStr">
        <is>
          <t>Coldwater, MI Micro Area</t>
        </is>
      </c>
      <c r="C772" t="inlineStr">
        <is>
          <t>17740</t>
        </is>
      </c>
      <c r="D772" s="7" t="n">
        <v>48.4</v>
      </c>
      <c r="E772" t="n">
        <v>48.37305224564619</v>
      </c>
      <c r="F772" s="7" t="n">
        <v>51.6</v>
      </c>
      <c r="G772" s="6" t="n">
        <v>13092</v>
      </c>
      <c r="H772" s="6" t="n">
        <v>6333</v>
      </c>
      <c r="I772" s="6" t="n">
        <v>6759</v>
      </c>
      <c r="J772" t="inlineStr">
        <is>
          <t>https://www2.census.gov/programs-surveys/susb/datasets/2022/msa_3digitnaics_2022.txt</t>
        </is>
      </c>
    </row>
    <row r="773">
      <c r="A773" t="inlineStr">
        <is>
          <t>micro</t>
        </is>
      </c>
      <c r="B773" t="inlineStr">
        <is>
          <t>Greenwood, SC Micro Area</t>
        </is>
      </c>
      <c r="C773" t="inlineStr">
        <is>
          <t>24940</t>
        </is>
      </c>
      <c r="D773" s="7" t="n">
        <v>48.3</v>
      </c>
      <c r="E773" t="n">
        <v>48.28604110549426</v>
      </c>
      <c r="F773" s="7" t="n">
        <v>51.7</v>
      </c>
      <c r="G773" s="6" t="n">
        <v>27101</v>
      </c>
      <c r="H773" s="6" t="n">
        <v>13086</v>
      </c>
      <c r="I773" s="6" t="n">
        <v>14015</v>
      </c>
      <c r="J773" t="inlineStr">
        <is>
          <t>https://www2.census.gov/programs-surveys/susb/datasets/2022/msa_3digitnaics_2022.txt</t>
        </is>
      </c>
    </row>
    <row r="774">
      <c r="A774" t="inlineStr">
        <is>
          <t>micro</t>
        </is>
      </c>
      <c r="B774" t="inlineStr">
        <is>
          <t>Madison, IN Micro Area</t>
        </is>
      </c>
      <c r="C774" t="inlineStr">
        <is>
          <t>31500</t>
        </is>
      </c>
      <c r="D774" s="7" t="n">
        <v>48.3</v>
      </c>
      <c r="E774" t="n">
        <v>48.25258480731436</v>
      </c>
      <c r="F774" s="7" t="n">
        <v>51.7</v>
      </c>
      <c r="G774" s="6" t="n">
        <v>11703</v>
      </c>
      <c r="H774" s="6" t="n">
        <v>5647</v>
      </c>
      <c r="I774" s="6" t="n">
        <v>6056</v>
      </c>
      <c r="J774" t="inlineStr">
        <is>
          <t>https://www2.census.gov/programs-surveys/susb/datasets/2022/msa_3digitnaics_2022.txt</t>
        </is>
      </c>
    </row>
    <row r="775">
      <c r="A775" t="inlineStr">
        <is>
          <t>micro</t>
        </is>
      </c>
      <c r="B775" t="inlineStr">
        <is>
          <t>Newberry, SC Micro Area</t>
        </is>
      </c>
      <c r="C775" t="inlineStr">
        <is>
          <t>35140</t>
        </is>
      </c>
      <c r="D775" s="7" t="n">
        <v>48.2</v>
      </c>
      <c r="E775" t="n">
        <v>48.15638906547998</v>
      </c>
      <c r="F775" s="7" t="n">
        <v>51.8</v>
      </c>
      <c r="G775" s="6" t="n">
        <v>12584</v>
      </c>
      <c r="H775" s="6" t="n">
        <v>6060</v>
      </c>
      <c r="I775" s="6" t="n">
        <v>6524</v>
      </c>
      <c r="J775" t="inlineStr">
        <is>
          <t>https://www2.census.gov/programs-surveys/susb/datasets/2022/msa_3digitnaics_2022.txt</t>
        </is>
      </c>
    </row>
    <row r="776">
      <c r="A776" t="inlineStr">
        <is>
          <t>micro</t>
        </is>
      </c>
      <c r="B776" t="inlineStr">
        <is>
          <t>Norwalk, OH Micro Area</t>
        </is>
      </c>
      <c r="C776" t="inlineStr">
        <is>
          <t>35940</t>
        </is>
      </c>
      <c r="D776" s="7" t="n">
        <v>48.1</v>
      </c>
      <c r="E776" t="n">
        <v>48.12573714168504</v>
      </c>
      <c r="F776" s="7" t="n">
        <v>51.9</v>
      </c>
      <c r="G776" s="6" t="n">
        <v>19501</v>
      </c>
      <c r="H776" s="6" t="n">
        <v>9385</v>
      </c>
      <c r="I776" s="6" t="n">
        <v>10116</v>
      </c>
      <c r="J776" t="inlineStr">
        <is>
          <t>https://www2.census.gov/programs-surveys/susb/datasets/2022/msa_3digitnaics_2022.txt</t>
        </is>
      </c>
    </row>
    <row r="777">
      <c r="A777" t="inlineStr">
        <is>
          <t>micro</t>
        </is>
      </c>
      <c r="B777" t="inlineStr">
        <is>
          <t>El Dorado, AR Micro Area</t>
        </is>
      </c>
      <c r="C777" t="inlineStr">
        <is>
          <t>20980</t>
        </is>
      </c>
      <c r="D777" s="7" t="n">
        <v>48.1</v>
      </c>
      <c r="E777" t="n">
        <v>48.09881013967925</v>
      </c>
      <c r="F777" s="7" t="n">
        <v>51.9</v>
      </c>
      <c r="G777" s="6" t="n">
        <v>15464</v>
      </c>
      <c r="H777" s="6" t="n">
        <v>7438</v>
      </c>
      <c r="I777" s="6" t="n">
        <v>8026</v>
      </c>
      <c r="J777" t="inlineStr">
        <is>
          <t>https://www2.census.gov/programs-surveys/susb/datasets/2022/msa_3digitnaics_2022.txt</t>
        </is>
      </c>
    </row>
    <row r="778">
      <c r="A778" t="inlineStr">
        <is>
          <t>micro</t>
        </is>
      </c>
      <c r="B778" t="inlineStr">
        <is>
          <t>Selinsgrove, PA Micro Area</t>
        </is>
      </c>
      <c r="C778" t="inlineStr">
        <is>
          <t>42780</t>
        </is>
      </c>
      <c r="D778" s="7" t="n">
        <v>48.1</v>
      </c>
      <c r="E778" t="n">
        <v>48.07068406157244</v>
      </c>
      <c r="F778" s="7" t="n">
        <v>51.9</v>
      </c>
      <c r="G778" s="6" t="n">
        <v>14487</v>
      </c>
      <c r="H778" s="6" t="n">
        <v>6964</v>
      </c>
      <c r="I778" s="6" t="n">
        <v>7523</v>
      </c>
      <c r="J778" t="inlineStr">
        <is>
          <t>https://www2.census.gov/programs-surveys/susb/datasets/2022/msa_3digitnaics_2022.txt</t>
        </is>
      </c>
    </row>
    <row r="779">
      <c r="A779" t="inlineStr">
        <is>
          <t>micro</t>
        </is>
      </c>
      <c r="B779" t="inlineStr">
        <is>
          <t>Defiance, OH Micro Area</t>
        </is>
      </c>
      <c r="C779" t="inlineStr">
        <is>
          <t>19580</t>
        </is>
      </c>
      <c r="D779" s="7" t="n">
        <v>48.1</v>
      </c>
      <c r="E779" t="n">
        <v>48.07002439374372</v>
      </c>
      <c r="F779" s="7" t="n">
        <v>51.9</v>
      </c>
      <c r="G779" s="6" t="n">
        <v>13938</v>
      </c>
      <c r="H779" s="6" t="n">
        <v>6700</v>
      </c>
      <c r="I779" s="6" t="n">
        <v>7238</v>
      </c>
      <c r="J779" t="inlineStr">
        <is>
          <t>https://www2.census.gov/programs-surveys/susb/datasets/2022/msa_3digitnaics_2022.txt</t>
        </is>
      </c>
    </row>
    <row r="780">
      <c r="A780" t="inlineStr">
        <is>
          <t>micro</t>
        </is>
      </c>
      <c r="B780" t="inlineStr">
        <is>
          <t>Marshall, MO Micro Area</t>
        </is>
      </c>
      <c r="C780" t="inlineStr">
        <is>
          <t>32180</t>
        </is>
      </c>
      <c r="D780" s="7" t="n">
        <v>48.1</v>
      </c>
      <c r="E780" t="n">
        <v>48.05768098881695</v>
      </c>
      <c r="F780" s="7" t="n">
        <v>51.9</v>
      </c>
      <c r="G780" s="6" t="n">
        <v>6796</v>
      </c>
      <c r="H780" s="6" t="n">
        <v>3266</v>
      </c>
      <c r="I780" s="6" t="n">
        <v>3530</v>
      </c>
      <c r="J780" t="inlineStr">
        <is>
          <t>https://www2.census.gov/programs-surveys/susb/datasets/2022/msa_3digitnaics_2022.txt</t>
        </is>
      </c>
    </row>
    <row r="781">
      <c r="A781" t="inlineStr">
        <is>
          <t>micro</t>
        </is>
      </c>
      <c r="B781" t="inlineStr">
        <is>
          <t>Selma, AL Micro Area</t>
        </is>
      </c>
      <c r="C781" t="inlineStr">
        <is>
          <t>42820</t>
        </is>
      </c>
      <c r="D781" s="7" t="n">
        <v>48</v>
      </c>
      <c r="E781" t="n">
        <v>48.03769401330377</v>
      </c>
      <c r="F781" s="7" t="n">
        <v>52</v>
      </c>
      <c r="G781" s="6" t="n">
        <v>9020</v>
      </c>
      <c r="H781" s="6" t="n">
        <v>4333</v>
      </c>
      <c r="I781" s="6" t="n">
        <v>4687</v>
      </c>
      <c r="J781" t="inlineStr">
        <is>
          <t>https://www2.census.gov/programs-surveys/susb/datasets/2022/msa_3digitnaics_2022.txt</t>
        </is>
      </c>
    </row>
    <row r="782">
      <c r="A782" t="inlineStr">
        <is>
          <t>micro</t>
        </is>
      </c>
      <c r="B782" t="inlineStr">
        <is>
          <t>Garden City, KS Micro Area</t>
        </is>
      </c>
      <c r="C782" t="inlineStr">
        <is>
          <t>23780</t>
        </is>
      </c>
      <c r="D782" s="7" t="n">
        <v>48</v>
      </c>
      <c r="E782" t="n">
        <v>48.01837630279758</v>
      </c>
      <c r="F782" s="7" t="n">
        <v>52</v>
      </c>
      <c r="G782" s="6" t="n">
        <v>14584</v>
      </c>
      <c r="H782" s="6" t="n">
        <v>7003</v>
      </c>
      <c r="I782" s="6" t="n">
        <v>7581</v>
      </c>
      <c r="J782" t="inlineStr">
        <is>
          <t>https://www2.census.gov/programs-surveys/susb/datasets/2022/msa_3digitnaics_2022.txt</t>
        </is>
      </c>
    </row>
    <row r="783">
      <c r="A783" t="inlineStr">
        <is>
          <t>micro</t>
        </is>
      </c>
      <c r="B783" t="inlineStr">
        <is>
          <t>Gallipolis, OH Micro Area</t>
        </is>
      </c>
      <c r="C783" t="inlineStr">
        <is>
          <t>23680</t>
        </is>
      </c>
      <c r="D783" s="7" t="n">
        <v>48</v>
      </c>
      <c r="E783" t="n">
        <v>47.97918281474919</v>
      </c>
      <c r="F783" s="7" t="n">
        <v>52</v>
      </c>
      <c r="G783" s="6" t="n">
        <v>9031</v>
      </c>
      <c r="H783" s="6" t="n">
        <v>4333</v>
      </c>
      <c r="I783" s="6" t="n">
        <v>4698</v>
      </c>
      <c r="J783" t="inlineStr">
        <is>
          <t>https://www2.census.gov/programs-surveys/susb/datasets/2022/msa_3digitnaics_2022.txt</t>
        </is>
      </c>
    </row>
    <row r="784">
      <c r="A784" t="inlineStr">
        <is>
          <t>micro</t>
        </is>
      </c>
      <c r="B784" t="inlineStr">
        <is>
          <t>Palestine, TX Micro Area</t>
        </is>
      </c>
      <c r="C784" t="inlineStr">
        <is>
          <t>37300</t>
        </is>
      </c>
      <c r="D784" s="7" t="n">
        <v>48</v>
      </c>
      <c r="E784" t="n">
        <v>47.95167660497173</v>
      </c>
      <c r="F784" s="7" t="n">
        <v>52</v>
      </c>
      <c r="G784" s="6" t="n">
        <v>12913</v>
      </c>
      <c r="H784" s="6" t="n">
        <v>6192</v>
      </c>
      <c r="I784" s="6" t="n">
        <v>6721</v>
      </c>
      <c r="J784" t="inlineStr">
        <is>
          <t>https://www2.census.gov/programs-surveys/susb/datasets/2022/msa_3digitnaics_2022.txt</t>
        </is>
      </c>
    </row>
    <row r="785">
      <c r="A785" t="inlineStr">
        <is>
          <t>micro</t>
        </is>
      </c>
      <c r="B785" t="inlineStr">
        <is>
          <t>Angola, IN Micro Area</t>
        </is>
      </c>
      <c r="C785" t="inlineStr">
        <is>
          <t>11420</t>
        </is>
      </c>
      <c r="D785" s="7" t="n">
        <v>47.9</v>
      </c>
      <c r="E785" t="n">
        <v>47.94580102891095</v>
      </c>
      <c r="F785" s="7" t="n">
        <v>52.1</v>
      </c>
      <c r="G785" s="6" t="n">
        <v>13801</v>
      </c>
      <c r="H785" s="6" t="n">
        <v>6617</v>
      </c>
      <c r="I785" s="6" t="n">
        <v>7184</v>
      </c>
      <c r="J785" t="inlineStr">
        <is>
          <t>https://www2.census.gov/programs-surveys/susb/datasets/2022/msa_3digitnaics_2022.txt</t>
        </is>
      </c>
    </row>
    <row r="786">
      <c r="A786" t="inlineStr">
        <is>
          <t>micro</t>
        </is>
      </c>
      <c r="B786" t="inlineStr">
        <is>
          <t>Cookeville, TN Micro Area</t>
        </is>
      </c>
      <c r="C786" t="inlineStr">
        <is>
          <t>18260</t>
        </is>
      </c>
      <c r="D786" s="7" t="n">
        <v>47.9</v>
      </c>
      <c r="E786" t="n">
        <v>47.93188979017228</v>
      </c>
      <c r="F786" s="7" t="n">
        <v>52.1</v>
      </c>
      <c r="G786" s="6" t="n">
        <v>44751</v>
      </c>
      <c r="H786" s="6" t="n">
        <v>21450</v>
      </c>
      <c r="I786" s="6" t="n">
        <v>23301</v>
      </c>
      <c r="J786" t="inlineStr">
        <is>
          <t>https://www2.census.gov/programs-surveys/susb/datasets/2022/msa_3digitnaics_2022.txt</t>
        </is>
      </c>
    </row>
    <row r="787">
      <c r="A787" t="inlineStr">
        <is>
          <t>micro</t>
        </is>
      </c>
      <c r="B787" t="inlineStr">
        <is>
          <t>Freeport, IL Micro Area</t>
        </is>
      </c>
      <c r="C787" t="inlineStr">
        <is>
          <t>23300</t>
        </is>
      </c>
      <c r="D787" s="7" t="n">
        <v>47.8</v>
      </c>
      <c r="E787" t="n">
        <v>47.82814614343707</v>
      </c>
      <c r="F787" s="7" t="n">
        <v>52.2</v>
      </c>
      <c r="G787" s="6" t="n">
        <v>14780</v>
      </c>
      <c r="H787" s="6" t="n">
        <v>7069</v>
      </c>
      <c r="I787" s="6" t="n">
        <v>7711</v>
      </c>
      <c r="J787" t="inlineStr">
        <is>
          <t>https://www2.census.gov/programs-surveys/susb/datasets/2022/msa_3digitnaics_2022.txt</t>
        </is>
      </c>
    </row>
    <row r="788">
      <c r="A788" t="inlineStr">
        <is>
          <t>micro</t>
        </is>
      </c>
      <c r="B788" t="inlineStr">
        <is>
          <t>Bartlesville, OK Micro Area</t>
        </is>
      </c>
      <c r="C788" t="inlineStr">
        <is>
          <t>12780</t>
        </is>
      </c>
      <c r="D788" s="7" t="n">
        <v>47.8</v>
      </c>
      <c r="E788" t="n">
        <v>47.75068071504676</v>
      </c>
      <c r="F788" s="7" t="n">
        <v>52.2</v>
      </c>
      <c r="G788" s="6" t="n">
        <v>16894</v>
      </c>
      <c r="H788" s="6" t="n">
        <v>8067</v>
      </c>
      <c r="I788" s="6" t="n">
        <v>8827</v>
      </c>
      <c r="J788" t="inlineStr">
        <is>
          <t>https://www2.census.gov/programs-surveys/susb/datasets/2022/msa_3digitnaics_2022.txt</t>
        </is>
      </c>
    </row>
    <row r="789">
      <c r="A789" t="inlineStr">
        <is>
          <t>micro</t>
        </is>
      </c>
      <c r="B789" t="inlineStr">
        <is>
          <t>Fort Madison, IA Micro Area</t>
        </is>
      </c>
      <c r="C789" t="inlineStr">
        <is>
          <t>22800</t>
        </is>
      </c>
      <c r="D789" s="7" t="n">
        <v>47.7</v>
      </c>
      <c r="E789" t="n">
        <v>47.70585982382229</v>
      </c>
      <c r="F789" s="7" t="n">
        <v>52.3</v>
      </c>
      <c r="G789" s="6" t="n">
        <v>13055</v>
      </c>
      <c r="H789" s="6" t="n">
        <v>6228</v>
      </c>
      <c r="I789" s="6" t="n">
        <v>6827</v>
      </c>
      <c r="J789" t="inlineStr">
        <is>
          <t>https://www2.census.gov/programs-surveys/susb/datasets/2022/msa_3digitnaics_2022.txt</t>
        </is>
      </c>
    </row>
    <row r="790">
      <c r="A790" t="inlineStr">
        <is>
          <t>micro</t>
        </is>
      </c>
      <c r="B790" t="inlineStr">
        <is>
          <t>Brigham City, UT-ID Micro Area</t>
        </is>
      </c>
      <c r="C790" t="inlineStr">
        <is>
          <t>14940</t>
        </is>
      </c>
      <c r="D790" s="7" t="n">
        <v>47.6</v>
      </c>
      <c r="E790" t="n">
        <v>47.57535418845679</v>
      </c>
      <c r="F790" s="7" t="n">
        <v>52.4</v>
      </c>
      <c r="G790" s="6" t="n">
        <v>21034</v>
      </c>
      <c r="H790" s="6" t="n">
        <v>10007</v>
      </c>
      <c r="I790" s="6" t="n">
        <v>11027</v>
      </c>
      <c r="J790" t="inlineStr">
        <is>
          <t>https://www2.census.gov/programs-surveys/susb/datasets/2022/msa_3digitnaics_2022.txt</t>
        </is>
      </c>
    </row>
    <row r="791">
      <c r="A791" t="inlineStr">
        <is>
          <t>micro</t>
        </is>
      </c>
      <c r="B791" t="inlineStr">
        <is>
          <t>Plainview, TX Micro Area</t>
        </is>
      </c>
      <c r="C791" t="inlineStr">
        <is>
          <t>38380</t>
        </is>
      </c>
      <c r="D791" s="7" t="n">
        <v>47.6</v>
      </c>
      <c r="E791" t="n">
        <v>47.56306113723814</v>
      </c>
      <c r="F791" s="7" t="n">
        <v>52.4</v>
      </c>
      <c r="G791" s="6" t="n">
        <v>9356</v>
      </c>
      <c r="H791" s="6" t="n">
        <v>4450</v>
      </c>
      <c r="I791" s="6" t="n">
        <v>4906</v>
      </c>
      <c r="J791" t="inlineStr">
        <is>
          <t>https://www2.census.gov/programs-surveys/susb/datasets/2022/msa_3digitnaics_2022.txt</t>
        </is>
      </c>
    </row>
    <row r="792">
      <c r="A792" t="inlineStr">
        <is>
          <t>micro</t>
        </is>
      </c>
      <c r="B792" t="inlineStr">
        <is>
          <t>Grenada, MS Micro Area</t>
        </is>
      </c>
      <c r="C792" t="inlineStr">
        <is>
          <t>24980</t>
        </is>
      </c>
      <c r="D792" s="7" t="n">
        <v>47.5</v>
      </c>
      <c r="E792" t="n">
        <v>47.50487329434698</v>
      </c>
      <c r="F792" s="7" t="n">
        <v>52.5</v>
      </c>
      <c r="G792" s="6" t="n">
        <v>10260</v>
      </c>
      <c r="H792" s="6" t="n">
        <v>4874</v>
      </c>
      <c r="I792" s="6" t="n">
        <v>5386</v>
      </c>
      <c r="J792" t="inlineStr">
        <is>
          <t>https://www2.census.gov/programs-surveys/susb/datasets/2022/msa_3digitnaics_2022.txt</t>
        </is>
      </c>
    </row>
    <row r="793">
      <c r="A793" t="inlineStr">
        <is>
          <t>micro</t>
        </is>
      </c>
      <c r="B793" t="inlineStr">
        <is>
          <t>Hereford, TX Micro Area</t>
        </is>
      </c>
      <c r="C793" t="inlineStr">
        <is>
          <t>25820</t>
        </is>
      </c>
      <c r="D793" s="7" t="n">
        <v>47.5</v>
      </c>
      <c r="E793" t="n">
        <v>47.46906636670416</v>
      </c>
      <c r="F793" s="7" t="n">
        <v>52.5</v>
      </c>
      <c r="G793" s="6" t="n">
        <v>6223</v>
      </c>
      <c r="H793" s="6" t="n">
        <v>2954</v>
      </c>
      <c r="I793" s="6" t="n">
        <v>3269</v>
      </c>
      <c r="J793" t="inlineStr">
        <is>
          <t>https://www2.census.gov/programs-surveys/susb/datasets/2022/msa_3digitnaics_2022.txt</t>
        </is>
      </c>
    </row>
    <row r="794">
      <c r="A794" t="inlineStr">
        <is>
          <t>micro</t>
        </is>
      </c>
      <c r="B794" t="inlineStr">
        <is>
          <t>Vicksburg, MS Micro Area</t>
        </is>
      </c>
      <c r="C794" t="inlineStr">
        <is>
          <t>46980</t>
        </is>
      </c>
      <c r="D794" s="7" t="n">
        <v>47.4</v>
      </c>
      <c r="E794" t="n">
        <v>47.44251525105584</v>
      </c>
      <c r="F794" s="7" t="n">
        <v>52.6</v>
      </c>
      <c r="G794" s="6" t="n">
        <v>14917</v>
      </c>
      <c r="H794" s="6" t="n">
        <v>7077</v>
      </c>
      <c r="I794" s="6" t="n">
        <v>7840</v>
      </c>
      <c r="J794" t="inlineStr">
        <is>
          <t>https://www2.census.gov/programs-surveys/susb/datasets/2022/msa_3digitnaics_2022.txt</t>
        </is>
      </c>
    </row>
    <row r="795">
      <c r="A795" t="inlineStr">
        <is>
          <t>micro</t>
        </is>
      </c>
      <c r="B795" t="inlineStr">
        <is>
          <t>Zanesville, OH Micro Area</t>
        </is>
      </c>
      <c r="C795" t="inlineStr">
        <is>
          <t>49780</t>
        </is>
      </c>
      <c r="D795" s="7" t="n">
        <v>47.3</v>
      </c>
      <c r="E795" t="n">
        <v>47.33620177003533</v>
      </c>
      <c r="F795" s="7" t="n">
        <v>52.7</v>
      </c>
      <c r="G795" s="6" t="n">
        <v>28587</v>
      </c>
      <c r="H795" s="6" t="n">
        <v>13532</v>
      </c>
      <c r="I795" s="6" t="n">
        <v>15055</v>
      </c>
      <c r="J795" t="inlineStr">
        <is>
          <t>https://www2.census.gov/programs-surveys/susb/datasets/2022/msa_3digitnaics_2022.txt</t>
        </is>
      </c>
    </row>
    <row r="796">
      <c r="A796" t="inlineStr">
        <is>
          <t>micro</t>
        </is>
      </c>
      <c r="B796" t="inlineStr">
        <is>
          <t>Vidalia, GA Micro Area</t>
        </is>
      </c>
      <c r="C796" t="inlineStr">
        <is>
          <t>47080</t>
        </is>
      </c>
      <c r="D796" s="7" t="n">
        <v>47.3</v>
      </c>
      <c r="E796" t="n">
        <v>47.29636711281071</v>
      </c>
      <c r="F796" s="7" t="n">
        <v>52.7</v>
      </c>
      <c r="G796" s="6" t="n">
        <v>13075</v>
      </c>
      <c r="H796" s="6" t="n">
        <v>6184</v>
      </c>
      <c r="I796" s="6" t="n">
        <v>6891</v>
      </c>
      <c r="J796" t="inlineStr">
        <is>
          <t>https://www2.census.gov/programs-surveys/susb/datasets/2022/msa_3digitnaics_2022.txt</t>
        </is>
      </c>
    </row>
    <row r="797">
      <c r="A797" t="inlineStr">
        <is>
          <t>micro</t>
        </is>
      </c>
      <c r="B797" t="inlineStr">
        <is>
          <t>West Plains, MO Micro Area</t>
        </is>
      </c>
      <c r="C797" t="inlineStr">
        <is>
          <t>48460</t>
        </is>
      </c>
      <c r="D797" s="7" t="n">
        <v>47.2</v>
      </c>
      <c r="E797" t="n">
        <v>47.19078139915451</v>
      </c>
      <c r="F797" s="7" t="n">
        <v>52.8</v>
      </c>
      <c r="G797" s="6" t="n">
        <v>14666</v>
      </c>
      <c r="H797" s="6" t="n">
        <v>6921</v>
      </c>
      <c r="I797" s="6" t="n">
        <v>7745</v>
      </c>
      <c r="J797" t="inlineStr">
        <is>
          <t>https://www2.census.gov/programs-surveys/susb/datasets/2022/msa_3digitnaics_2022.txt</t>
        </is>
      </c>
    </row>
    <row r="798">
      <c r="A798" t="inlineStr">
        <is>
          <t>micro</t>
        </is>
      </c>
      <c r="B798" t="inlineStr">
        <is>
          <t>Cordele, GA Micro Area</t>
        </is>
      </c>
      <c r="C798" t="inlineStr">
        <is>
          <t>18380</t>
        </is>
      </c>
      <c r="D798" s="7" t="n">
        <v>47.2</v>
      </c>
      <c r="E798" t="n">
        <v>47.15005816207832</v>
      </c>
      <c r="F798" s="7" t="n">
        <v>52.8</v>
      </c>
      <c r="G798" s="6" t="n">
        <v>7737</v>
      </c>
      <c r="H798" s="6" t="n">
        <v>3648</v>
      </c>
      <c r="I798" s="6" t="n">
        <v>4089</v>
      </c>
      <c r="J798" t="inlineStr">
        <is>
          <t>https://www2.census.gov/programs-surveys/susb/datasets/2022/msa_3digitnaics_2022.txt</t>
        </is>
      </c>
    </row>
    <row r="799">
      <c r="A799" t="inlineStr">
        <is>
          <t>micro</t>
        </is>
      </c>
      <c r="B799" t="inlineStr">
        <is>
          <t>Orangeburg, SC Micro Area</t>
        </is>
      </c>
      <c r="C799" t="inlineStr">
        <is>
          <t>36700</t>
        </is>
      </c>
      <c r="D799" s="7" t="n">
        <v>47.1</v>
      </c>
      <c r="E799" t="n">
        <v>47.11926293890375</v>
      </c>
      <c r="F799" s="7" t="n">
        <v>52.9</v>
      </c>
      <c r="G799" s="6" t="n">
        <v>23553</v>
      </c>
      <c r="H799" s="6" t="n">
        <v>11098</v>
      </c>
      <c r="I799" s="6" t="n">
        <v>12455</v>
      </c>
      <c r="J799" t="inlineStr">
        <is>
          <t>https://www2.census.gov/programs-surveys/susb/datasets/2022/msa_3digitnaics_2022.txt</t>
        </is>
      </c>
    </row>
    <row r="800">
      <c r="A800" t="inlineStr">
        <is>
          <t>micro</t>
        </is>
      </c>
      <c r="B800" t="inlineStr">
        <is>
          <t>Lufkin, TX Micro Area</t>
        </is>
      </c>
      <c r="C800" t="inlineStr">
        <is>
          <t>31260</t>
        </is>
      </c>
      <c r="D800" s="7" t="n">
        <v>46.8</v>
      </c>
      <c r="E800" t="n">
        <v>46.83223341437999</v>
      </c>
      <c r="F800" s="7" t="n">
        <v>53.2</v>
      </c>
      <c r="G800" s="6" t="n">
        <v>28790</v>
      </c>
      <c r="H800" s="6" t="n">
        <v>13483</v>
      </c>
      <c r="I800" s="6" t="n">
        <v>15307</v>
      </c>
      <c r="J800" t="inlineStr">
        <is>
          <t>https://www2.census.gov/programs-surveys/susb/datasets/2022/msa_3digitnaics_2022.txt</t>
        </is>
      </c>
    </row>
    <row r="801">
      <c r="A801" t="inlineStr">
        <is>
          <t>micro</t>
        </is>
      </c>
      <c r="B801" t="inlineStr">
        <is>
          <t>Richmond-Berea, KY Micro Area</t>
        </is>
      </c>
      <c r="C801" t="inlineStr">
        <is>
          <t>40080</t>
        </is>
      </c>
      <c r="D801" s="7" t="n">
        <v>46.8</v>
      </c>
      <c r="E801" t="n">
        <v>46.81454471791756</v>
      </c>
      <c r="F801" s="7" t="n">
        <v>53.2</v>
      </c>
      <c r="G801" s="6" t="n">
        <v>29619</v>
      </c>
      <c r="H801" s="6" t="n">
        <v>13866</v>
      </c>
      <c r="I801" s="6" t="n">
        <v>15753</v>
      </c>
      <c r="J801" t="inlineStr">
        <is>
          <t>https://www2.census.gov/programs-surveys/susb/datasets/2022/msa_3digitnaics_2022.txt</t>
        </is>
      </c>
    </row>
    <row r="802">
      <c r="A802" t="inlineStr">
        <is>
          <t>micro</t>
        </is>
      </c>
      <c r="B802" t="inlineStr">
        <is>
          <t>Rock Springs, WY Micro Area</t>
        </is>
      </c>
      <c r="C802" t="inlineStr">
        <is>
          <t>40540</t>
        </is>
      </c>
      <c r="D802" s="7" t="n">
        <v>46.8</v>
      </c>
      <c r="E802" t="n">
        <v>46.80709681706426</v>
      </c>
      <c r="F802" s="7" t="n">
        <v>53.2</v>
      </c>
      <c r="G802" s="6" t="n">
        <v>15049</v>
      </c>
      <c r="H802" s="6" t="n">
        <v>7044</v>
      </c>
      <c r="I802" s="6" t="n">
        <v>8005</v>
      </c>
      <c r="J802" t="inlineStr">
        <is>
          <t>https://www2.census.gov/programs-surveys/susb/datasets/2022/msa_3digitnaics_2022.txt</t>
        </is>
      </c>
    </row>
    <row r="803">
      <c r="A803" t="inlineStr">
        <is>
          <t>micro</t>
        </is>
      </c>
      <c r="B803" t="inlineStr">
        <is>
          <t>Shelbyville, TN Micro Area</t>
        </is>
      </c>
      <c r="C803" t="inlineStr">
        <is>
          <t>43180</t>
        </is>
      </c>
      <c r="D803" s="7" t="n">
        <v>46.8</v>
      </c>
      <c r="E803" t="n">
        <v>46.77932546135898</v>
      </c>
      <c r="F803" s="7" t="n">
        <v>53.2</v>
      </c>
      <c r="G803" s="6" t="n">
        <v>14143</v>
      </c>
      <c r="H803" s="6" t="n">
        <v>6616</v>
      </c>
      <c r="I803" s="6" t="n">
        <v>7527</v>
      </c>
      <c r="J803" t="inlineStr">
        <is>
          <t>https://www2.census.gov/programs-surveys/susb/datasets/2022/msa_3digitnaics_2022.txt</t>
        </is>
      </c>
    </row>
    <row r="804">
      <c r="A804" t="inlineStr">
        <is>
          <t>micro</t>
        </is>
      </c>
      <c r="B804" t="inlineStr">
        <is>
          <t>Poplar Bluff, MO Micro Area</t>
        </is>
      </c>
      <c r="C804" t="inlineStr">
        <is>
          <t>38740</t>
        </is>
      </c>
      <c r="D804" s="7" t="n">
        <v>46.7</v>
      </c>
      <c r="E804" t="n">
        <v>46.70704494740198</v>
      </c>
      <c r="F804" s="7" t="n">
        <v>53.3</v>
      </c>
      <c r="G804" s="6" t="n">
        <v>15685</v>
      </c>
      <c r="H804" s="6" t="n">
        <v>7326</v>
      </c>
      <c r="I804" s="6" t="n">
        <v>8359</v>
      </c>
      <c r="J804" t="inlineStr">
        <is>
          <t>https://www2.census.gov/programs-surveys/susb/datasets/2022/msa_3digitnaics_2022.txt</t>
        </is>
      </c>
    </row>
    <row r="805">
      <c r="A805" t="inlineStr">
        <is>
          <t>micro</t>
        </is>
      </c>
      <c r="B805" t="inlineStr">
        <is>
          <t>Worthington, MN Micro Area</t>
        </is>
      </c>
      <c r="C805" t="inlineStr">
        <is>
          <t>49380</t>
        </is>
      </c>
      <c r="D805" s="7" t="n">
        <v>46.7</v>
      </c>
      <c r="E805" t="n">
        <v>46.69129996640914</v>
      </c>
      <c r="F805" s="7" t="n">
        <v>53.3</v>
      </c>
      <c r="G805" s="6" t="n">
        <v>8931</v>
      </c>
      <c r="H805" s="6" t="n">
        <v>4170</v>
      </c>
      <c r="I805" s="6" t="n">
        <v>4761</v>
      </c>
      <c r="J805" t="inlineStr">
        <is>
          <t>https://www2.census.gov/programs-surveys/susb/datasets/2022/msa_3digitnaics_2022.txt</t>
        </is>
      </c>
    </row>
    <row r="806">
      <c r="A806" t="inlineStr">
        <is>
          <t>micro</t>
        </is>
      </c>
      <c r="B806" t="inlineStr">
        <is>
          <t>Kirksville, MO Micro Area</t>
        </is>
      </c>
      <c r="C806" t="inlineStr">
        <is>
          <t>28860</t>
        </is>
      </c>
      <c r="D806" s="7" t="n">
        <v>46.7</v>
      </c>
      <c r="E806" t="n">
        <v>46.68186727469099</v>
      </c>
      <c r="F806" s="7" t="n">
        <v>53.3</v>
      </c>
      <c r="G806" s="6" t="n">
        <v>8333</v>
      </c>
      <c r="H806" s="6" t="n">
        <v>3890</v>
      </c>
      <c r="I806" s="6" t="n">
        <v>4443</v>
      </c>
      <c r="J806" t="inlineStr">
        <is>
          <t>https://www2.census.gov/programs-surveys/susb/datasets/2022/msa_3digitnaics_2022.txt</t>
        </is>
      </c>
    </row>
    <row r="807">
      <c r="A807" t="inlineStr">
        <is>
          <t>micro</t>
        </is>
      </c>
      <c r="B807" t="inlineStr">
        <is>
          <t>Bloomsburg-Berwick, PA Micro Area</t>
        </is>
      </c>
      <c r="C807" t="inlineStr">
        <is>
          <t>14100</t>
        </is>
      </c>
      <c r="D807" s="7" t="n">
        <v>46.6</v>
      </c>
      <c r="E807" t="n">
        <v>46.64703217036701</v>
      </c>
      <c r="F807" s="7" t="n">
        <v>53.4</v>
      </c>
      <c r="G807" s="6" t="n">
        <v>22070</v>
      </c>
      <c r="H807" s="6" t="n">
        <v>10295</v>
      </c>
      <c r="I807" s="6" t="n">
        <v>11775</v>
      </c>
      <c r="J807" t="inlineStr">
        <is>
          <t>https://www2.census.gov/programs-surveys/susb/datasets/2022/msa_3digitnaics_2022.txt</t>
        </is>
      </c>
    </row>
    <row r="808">
      <c r="A808" t="inlineStr">
        <is>
          <t>micro</t>
        </is>
      </c>
      <c r="B808" t="inlineStr">
        <is>
          <t>Greencastle, IN Micro Area</t>
        </is>
      </c>
      <c r="C808" t="inlineStr">
        <is>
          <t>24600</t>
        </is>
      </c>
      <c r="D808" s="7" t="n">
        <v>46.6</v>
      </c>
      <c r="E808" t="n">
        <v>46.60764296684434</v>
      </c>
      <c r="F808" s="7" t="n">
        <v>53.4</v>
      </c>
      <c r="G808" s="6" t="n">
        <v>11069</v>
      </c>
      <c r="H808" s="6" t="n">
        <v>5159</v>
      </c>
      <c r="I808" s="6" t="n">
        <v>5910</v>
      </c>
      <c r="J808" t="inlineStr">
        <is>
          <t>https://www2.census.gov/programs-surveys/susb/datasets/2022/msa_3digitnaics_2022.txt</t>
        </is>
      </c>
    </row>
    <row r="809">
      <c r="A809" t="inlineStr">
        <is>
          <t>micro</t>
        </is>
      </c>
      <c r="B809" t="inlineStr">
        <is>
          <t>Las Vegas, NM Micro Area</t>
        </is>
      </c>
      <c r="C809" t="inlineStr">
        <is>
          <t>29780</t>
        </is>
      </c>
      <c r="D809" s="7" t="n">
        <v>46.6</v>
      </c>
      <c r="E809" t="n">
        <v>46.59812868199145</v>
      </c>
      <c r="F809" s="7" t="n">
        <v>53.4</v>
      </c>
      <c r="G809" s="6" t="n">
        <v>8657</v>
      </c>
      <c r="H809" s="6" t="n">
        <v>4034</v>
      </c>
      <c r="I809" s="6" t="n">
        <v>4623</v>
      </c>
      <c r="J809" t="inlineStr">
        <is>
          <t>https://www2.census.gov/programs-surveys/susb/datasets/2022/msa_3digitnaics_2022.txt</t>
        </is>
      </c>
    </row>
    <row r="810">
      <c r="A810" t="inlineStr">
        <is>
          <t>micro</t>
        </is>
      </c>
      <c r="B810" t="inlineStr">
        <is>
          <t>Henderson, NC Micro Area</t>
        </is>
      </c>
      <c r="C810" t="inlineStr">
        <is>
          <t>25780</t>
        </is>
      </c>
      <c r="D810" s="7" t="n">
        <v>46.6</v>
      </c>
      <c r="E810" t="n">
        <v>46.5749164139647</v>
      </c>
      <c r="F810" s="7" t="n">
        <v>53.4</v>
      </c>
      <c r="G810" s="6" t="n">
        <v>12861</v>
      </c>
      <c r="H810" s="6" t="n">
        <v>5990</v>
      </c>
      <c r="I810" s="6" t="n">
        <v>6871</v>
      </c>
      <c r="J810" t="inlineStr">
        <is>
          <t>https://www2.census.gov/programs-surveys/susb/datasets/2022/msa_3digitnaics_2022.txt</t>
        </is>
      </c>
    </row>
    <row r="811">
      <c r="A811" t="inlineStr">
        <is>
          <t>micro</t>
        </is>
      </c>
      <c r="B811" t="inlineStr">
        <is>
          <t>Emporia, KS Micro Area</t>
        </is>
      </c>
      <c r="C811" t="inlineStr">
        <is>
          <t>21380</t>
        </is>
      </c>
      <c r="D811" s="7" t="n">
        <v>46.6</v>
      </c>
      <c r="E811" t="n">
        <v>46.56371837015519</v>
      </c>
      <c r="F811" s="7" t="n">
        <v>53.4</v>
      </c>
      <c r="G811" s="6" t="n">
        <v>13081</v>
      </c>
      <c r="H811" s="6" t="n">
        <v>6091</v>
      </c>
      <c r="I811" s="6" t="n">
        <v>6990</v>
      </c>
      <c r="J811" t="inlineStr">
        <is>
          <t>https://www2.census.gov/programs-surveys/susb/datasets/2022/msa_3digitnaics_2022.txt</t>
        </is>
      </c>
    </row>
    <row r="812">
      <c r="A812" t="inlineStr">
        <is>
          <t>micro</t>
        </is>
      </c>
      <c r="B812" t="inlineStr">
        <is>
          <t>Tupelo, MS Micro Area</t>
        </is>
      </c>
      <c r="C812" t="inlineStr">
        <is>
          <t>46180</t>
        </is>
      </c>
      <c r="D812" s="7" t="n">
        <v>46.6</v>
      </c>
      <c r="E812" t="n">
        <v>46.5632486221165</v>
      </c>
      <c r="F812" s="7" t="n">
        <v>53.4</v>
      </c>
      <c r="G812" s="6" t="n">
        <v>59693</v>
      </c>
      <c r="H812" s="6" t="n">
        <v>27795</v>
      </c>
      <c r="I812" s="6" t="n">
        <v>31898</v>
      </c>
      <c r="J812" t="inlineStr">
        <is>
          <t>https://www2.census.gov/programs-surveys/susb/datasets/2022/msa_3digitnaics_2022.txt</t>
        </is>
      </c>
    </row>
    <row r="813">
      <c r="A813" t="inlineStr">
        <is>
          <t>micro</t>
        </is>
      </c>
      <c r="B813" t="inlineStr">
        <is>
          <t>Jacksonville, IL Micro Area</t>
        </is>
      </c>
      <c r="C813" t="inlineStr">
        <is>
          <t>27300</t>
        </is>
      </c>
      <c r="D813" s="7" t="n">
        <v>46.5</v>
      </c>
      <c r="E813" t="n">
        <v>46.49705571493281</v>
      </c>
      <c r="F813" s="7" t="n">
        <v>53.5</v>
      </c>
      <c r="G813" s="6" t="n">
        <v>13246</v>
      </c>
      <c r="H813" s="6" t="n">
        <v>6159</v>
      </c>
      <c r="I813" s="6" t="n">
        <v>7087</v>
      </c>
      <c r="J813" t="inlineStr">
        <is>
          <t>https://www2.census.gov/programs-surveys/susb/datasets/2022/msa_3digitnaics_2022.txt</t>
        </is>
      </c>
    </row>
    <row r="814">
      <c r="A814" t="inlineStr">
        <is>
          <t>micro</t>
        </is>
      </c>
      <c r="B814" t="inlineStr">
        <is>
          <t>Newport, TN Micro Area</t>
        </is>
      </c>
      <c r="C814" t="inlineStr">
        <is>
          <t>35460</t>
        </is>
      </c>
      <c r="D814" s="7" t="n">
        <v>46.4</v>
      </c>
      <c r="E814" t="n">
        <v>46.44388849177984</v>
      </c>
      <c r="F814" s="7" t="n">
        <v>53.6</v>
      </c>
      <c r="G814" s="6" t="n">
        <v>5596</v>
      </c>
      <c r="H814" s="6" t="n">
        <v>2599</v>
      </c>
      <c r="I814" s="6" t="n">
        <v>2997</v>
      </c>
      <c r="J814" t="inlineStr">
        <is>
          <t>https://www2.census.gov/programs-surveys/susb/datasets/2022/msa_3digitnaics_2022.txt</t>
        </is>
      </c>
    </row>
    <row r="815">
      <c r="A815" t="inlineStr">
        <is>
          <t>micro</t>
        </is>
      </c>
      <c r="B815" t="inlineStr">
        <is>
          <t>Marion-Herrin, IL Micro Area</t>
        </is>
      </c>
      <c r="C815" t="inlineStr">
        <is>
          <t>32060</t>
        </is>
      </c>
      <c r="D815" s="7" t="n">
        <v>46.4</v>
      </c>
      <c r="E815" t="n">
        <v>46.39980862770114</v>
      </c>
      <c r="F815" s="7" t="n">
        <v>53.6</v>
      </c>
      <c r="G815" s="6" t="n">
        <v>25082</v>
      </c>
      <c r="H815" s="6" t="n">
        <v>11638</v>
      </c>
      <c r="I815" s="6" t="n">
        <v>13444</v>
      </c>
      <c r="J815" t="inlineStr">
        <is>
          <t>https://www2.census.gov/programs-surveys/susb/datasets/2022/msa_3digitnaics_2022.txt</t>
        </is>
      </c>
    </row>
    <row r="816">
      <c r="A816" t="inlineStr">
        <is>
          <t>micro</t>
        </is>
      </c>
      <c r="B816" t="inlineStr">
        <is>
          <t>Faribault-Northfield, MN Micro Area</t>
        </is>
      </c>
      <c r="C816" t="inlineStr">
        <is>
          <t>22060</t>
        </is>
      </c>
      <c r="D816" s="7" t="n">
        <v>46.3</v>
      </c>
      <c r="E816" t="n">
        <v>46.32116436153104</v>
      </c>
      <c r="F816" s="7" t="n">
        <v>53.7</v>
      </c>
      <c r="G816" s="6" t="n">
        <v>24872</v>
      </c>
      <c r="H816" s="6" t="n">
        <v>11521</v>
      </c>
      <c r="I816" s="6" t="n">
        <v>13351</v>
      </c>
      <c r="J816" t="inlineStr">
        <is>
          <t>https://www2.census.gov/programs-surveys/susb/datasets/2022/msa_3digitnaics_2022.txt</t>
        </is>
      </c>
    </row>
    <row r="817">
      <c r="A817" t="inlineStr">
        <is>
          <t>micro</t>
        </is>
      </c>
      <c r="B817" t="inlineStr">
        <is>
          <t>Mount Vernon, OH Micro Area</t>
        </is>
      </c>
      <c r="C817" t="inlineStr">
        <is>
          <t>34540</t>
        </is>
      </c>
      <c r="D817" s="7" t="n">
        <v>46.2</v>
      </c>
      <c r="E817" t="n">
        <v>46.2225832656377</v>
      </c>
      <c r="F817" s="7" t="n">
        <v>53.8</v>
      </c>
      <c r="G817" s="6" t="n">
        <v>18465</v>
      </c>
      <c r="H817" s="6" t="n">
        <v>8535</v>
      </c>
      <c r="I817" s="6" t="n">
        <v>9930</v>
      </c>
      <c r="J817" t="inlineStr">
        <is>
          <t>https://www2.census.gov/programs-surveys/susb/datasets/2022/msa_3digitnaics_2022.txt</t>
        </is>
      </c>
    </row>
    <row r="818">
      <c r="A818" t="inlineStr">
        <is>
          <t>micro</t>
        </is>
      </c>
      <c r="B818" t="inlineStr">
        <is>
          <t>Van Wert, OH Micro Area</t>
        </is>
      </c>
      <c r="C818" t="inlineStr">
        <is>
          <t>46780</t>
        </is>
      </c>
      <c r="D818" s="7" t="n">
        <v>46.2</v>
      </c>
      <c r="E818" t="n">
        <v>46.20614899487584</v>
      </c>
      <c r="F818" s="7" t="n">
        <v>53.8</v>
      </c>
      <c r="G818" s="6" t="n">
        <v>10148</v>
      </c>
      <c r="H818" s="6" t="n">
        <v>4689</v>
      </c>
      <c r="I818" s="6" t="n">
        <v>5459</v>
      </c>
      <c r="J818" t="inlineStr">
        <is>
          <t>https://www2.census.gov/programs-surveys/susb/datasets/2022/msa_3digitnaics_2022.txt</t>
        </is>
      </c>
    </row>
    <row r="819">
      <c r="A819" t="inlineStr">
        <is>
          <t>micro</t>
        </is>
      </c>
      <c r="B819" t="inlineStr">
        <is>
          <t>Washington Court House, OH Micro Area</t>
        </is>
      </c>
      <c r="C819" t="inlineStr">
        <is>
          <t>47920</t>
        </is>
      </c>
      <c r="D819" s="7" t="n">
        <v>46.2</v>
      </c>
      <c r="E819" t="n">
        <v>46.19723985091166</v>
      </c>
      <c r="F819" s="7" t="n">
        <v>53.8</v>
      </c>
      <c r="G819" s="6" t="n">
        <v>9927</v>
      </c>
      <c r="H819" s="6" t="n">
        <v>4586</v>
      </c>
      <c r="I819" s="6" t="n">
        <v>5341</v>
      </c>
      <c r="J819" t="inlineStr">
        <is>
          <t>https://www2.census.gov/programs-surveys/susb/datasets/2022/msa_3digitnaics_2022.txt</t>
        </is>
      </c>
    </row>
    <row r="820">
      <c r="A820" t="inlineStr">
        <is>
          <t>micro</t>
        </is>
      </c>
      <c r="B820" t="inlineStr">
        <is>
          <t>Moberly, MO Micro Area</t>
        </is>
      </c>
      <c r="C820" t="inlineStr">
        <is>
          <t>33620</t>
        </is>
      </c>
      <c r="D820" s="7" t="n">
        <v>46.1</v>
      </c>
      <c r="E820" t="n">
        <v>46.13529635740576</v>
      </c>
      <c r="F820" s="7" t="n">
        <v>53.9</v>
      </c>
      <c r="G820" s="6" t="n">
        <v>7879</v>
      </c>
      <c r="H820" s="6" t="n">
        <v>3635</v>
      </c>
      <c r="I820" s="6" t="n">
        <v>4244</v>
      </c>
      <c r="J820" t="inlineStr">
        <is>
          <t>https://www2.census.gov/programs-surveys/susb/datasets/2022/msa_3digitnaics_2022.txt</t>
        </is>
      </c>
    </row>
    <row r="821">
      <c r="A821" t="inlineStr">
        <is>
          <t>micro</t>
        </is>
      </c>
      <c r="B821" t="inlineStr">
        <is>
          <t>Maryville, MO Micro Area</t>
        </is>
      </c>
      <c r="C821" t="inlineStr">
        <is>
          <t>32340</t>
        </is>
      </c>
      <c r="D821" s="7" t="n">
        <v>46.1</v>
      </c>
      <c r="E821" t="n">
        <v>46.06189618470607</v>
      </c>
      <c r="F821" s="7" t="n">
        <v>53.9</v>
      </c>
      <c r="G821" s="6" t="n">
        <v>6107</v>
      </c>
      <c r="H821" s="6" t="n">
        <v>2813</v>
      </c>
      <c r="I821" s="6" t="n">
        <v>3294</v>
      </c>
      <c r="J821" t="inlineStr">
        <is>
          <t>https://www2.census.gov/programs-surveys/susb/datasets/2022/msa_3digitnaics_2022.txt</t>
        </is>
      </c>
    </row>
    <row r="822">
      <c r="A822" t="inlineStr">
        <is>
          <t>micro</t>
        </is>
      </c>
      <c r="B822" t="inlineStr">
        <is>
          <t>Eufaula, AL-GA Micro Area</t>
        </is>
      </c>
      <c r="C822" t="inlineStr">
        <is>
          <t>21640</t>
        </is>
      </c>
      <c r="D822" s="7" t="n">
        <v>46</v>
      </c>
      <c r="E822" t="n">
        <v>46.02484472049689</v>
      </c>
      <c r="F822" s="7" t="n">
        <v>54</v>
      </c>
      <c r="G822" s="6" t="n">
        <v>6440</v>
      </c>
      <c r="H822" s="6" t="n">
        <v>2964</v>
      </c>
      <c r="I822" s="6" t="n">
        <v>3476</v>
      </c>
      <c r="J822" t="inlineStr">
        <is>
          <t>https://www2.census.gov/programs-surveys/susb/datasets/2022/msa_3digitnaics_2022.txt</t>
        </is>
      </c>
    </row>
    <row r="823">
      <c r="A823" t="inlineStr">
        <is>
          <t>micro</t>
        </is>
      </c>
      <c r="B823" t="inlineStr">
        <is>
          <t>Brownwood, TX Micro Area</t>
        </is>
      </c>
      <c r="C823" t="inlineStr">
        <is>
          <t>15220</t>
        </is>
      </c>
      <c r="D823" s="7" t="n">
        <v>46</v>
      </c>
      <c r="E823" t="n">
        <v>45.98723210214318</v>
      </c>
      <c r="F823" s="7" t="n">
        <v>54</v>
      </c>
      <c r="G823" s="6" t="n">
        <v>13158</v>
      </c>
      <c r="H823" s="6" t="n">
        <v>6051</v>
      </c>
      <c r="I823" s="6" t="n">
        <v>7107</v>
      </c>
      <c r="J823" t="inlineStr">
        <is>
          <t>https://www2.census.gov/programs-surveys/susb/datasets/2022/msa_3digitnaics_2022.txt</t>
        </is>
      </c>
    </row>
    <row r="824">
      <c r="A824" t="inlineStr">
        <is>
          <t>micro</t>
        </is>
      </c>
      <c r="B824" t="inlineStr">
        <is>
          <t>Red Wing, MN Micro Area</t>
        </is>
      </c>
      <c r="C824" t="inlineStr">
        <is>
          <t>39860</t>
        </is>
      </c>
      <c r="D824" s="7" t="n">
        <v>46</v>
      </c>
      <c r="E824" t="n">
        <v>45.95026359231056</v>
      </c>
      <c r="F824" s="7" t="n">
        <v>54</v>
      </c>
      <c r="G824" s="6" t="n">
        <v>18779</v>
      </c>
      <c r="H824" s="6" t="n">
        <v>8629</v>
      </c>
      <c r="I824" s="6" t="n">
        <v>10150</v>
      </c>
      <c r="J824" t="inlineStr">
        <is>
          <t>https://www2.census.gov/programs-surveys/susb/datasets/2022/msa_3digitnaics_2022.txt</t>
        </is>
      </c>
    </row>
    <row r="825">
      <c r="A825" t="inlineStr">
        <is>
          <t>micro</t>
        </is>
      </c>
      <c r="B825" t="inlineStr">
        <is>
          <t>Roanoke Rapids, NC Micro Area</t>
        </is>
      </c>
      <c r="C825" t="inlineStr">
        <is>
          <t>40260</t>
        </is>
      </c>
      <c r="D825" s="7" t="n">
        <v>45.9</v>
      </c>
      <c r="E825" t="n">
        <v>45.87718770674205</v>
      </c>
      <c r="F825" s="7" t="n">
        <v>54.1</v>
      </c>
      <c r="G825" s="6" t="n">
        <v>16627</v>
      </c>
      <c r="H825" s="6" t="n">
        <v>7628</v>
      </c>
      <c r="I825" s="6" t="n">
        <v>8999</v>
      </c>
      <c r="J825" t="inlineStr">
        <is>
          <t>https://www2.census.gov/programs-surveys/susb/datasets/2022/msa_3digitnaics_2022.txt</t>
        </is>
      </c>
    </row>
    <row r="826">
      <c r="A826" t="inlineStr">
        <is>
          <t>micro</t>
        </is>
      </c>
      <c r="B826" t="inlineStr">
        <is>
          <t>Shelby-Kings Mountain, NC Micro Area</t>
        </is>
      </c>
      <c r="C826" t="inlineStr">
        <is>
          <t>43140</t>
        </is>
      </c>
      <c r="D826" s="7" t="n">
        <v>45.4</v>
      </c>
      <c r="E826" t="n">
        <v>45.41788974549208</v>
      </c>
      <c r="F826" s="7" t="n">
        <v>54.6</v>
      </c>
      <c r="G826" s="6" t="n">
        <v>31001</v>
      </c>
      <c r="H826" s="6" t="n">
        <v>14080</v>
      </c>
      <c r="I826" s="6" t="n">
        <v>16921</v>
      </c>
      <c r="J826" t="inlineStr">
        <is>
          <t>https://www2.census.gov/programs-surveys/susb/datasets/2022/msa_3digitnaics_2022.txt</t>
        </is>
      </c>
    </row>
    <row r="827">
      <c r="A827" t="inlineStr">
        <is>
          <t>micro</t>
        </is>
      </c>
      <c r="B827" t="inlineStr">
        <is>
          <t>Beaver Dam, WI Micro Area</t>
        </is>
      </c>
      <c r="C827" t="inlineStr">
        <is>
          <t>13180</t>
        </is>
      </c>
      <c r="D827" s="7" t="n">
        <v>45.3</v>
      </c>
      <c r="E827" t="n">
        <v>45.31365087159342</v>
      </c>
      <c r="F827" s="7" t="n">
        <v>54.7</v>
      </c>
      <c r="G827" s="6" t="n">
        <v>32584</v>
      </c>
      <c r="H827" s="6" t="n">
        <v>14765</v>
      </c>
      <c r="I827" s="6" t="n">
        <v>17819</v>
      </c>
      <c r="J827" t="inlineStr">
        <is>
          <t>https://www2.census.gov/programs-surveys/susb/datasets/2022/msa_3digitnaics_2022.txt</t>
        </is>
      </c>
    </row>
    <row r="828">
      <c r="A828" t="inlineStr">
        <is>
          <t>micro</t>
        </is>
      </c>
      <c r="B828" t="inlineStr">
        <is>
          <t>Mount Pleasant, TX Micro Area</t>
        </is>
      </c>
      <c r="C828" t="inlineStr">
        <is>
          <t>34420</t>
        </is>
      </c>
      <c r="D828" s="7" t="n">
        <v>45</v>
      </c>
      <c r="E828" t="n">
        <v>45.04904006677796</v>
      </c>
      <c r="F828" s="7" t="n">
        <v>55</v>
      </c>
      <c r="G828" s="6" t="n">
        <v>19168</v>
      </c>
      <c r="H828" s="6" t="n">
        <v>8635</v>
      </c>
      <c r="I828" s="6" t="n">
        <v>10533</v>
      </c>
      <c r="J828" t="inlineStr">
        <is>
          <t>https://www2.census.gov/programs-surveys/susb/datasets/2022/msa_3digitnaics_2022.txt</t>
        </is>
      </c>
    </row>
    <row r="829">
      <c r="A829" t="inlineStr">
        <is>
          <t>micro</t>
        </is>
      </c>
      <c r="B829" t="inlineStr">
        <is>
          <t>Iron Mountain, MI-WI Micro Area</t>
        </is>
      </c>
      <c r="C829" t="inlineStr">
        <is>
          <t>27020</t>
        </is>
      </c>
      <c r="D829" s="7" t="n">
        <v>45</v>
      </c>
      <c r="E829" t="n">
        <v>45.02744237102085</v>
      </c>
      <c r="F829" s="7" t="n">
        <v>55</v>
      </c>
      <c r="G829" s="6" t="n">
        <v>13665</v>
      </c>
      <c r="H829" s="6" t="n">
        <v>6153</v>
      </c>
      <c r="I829" s="6" t="n">
        <v>7512</v>
      </c>
      <c r="J829" t="inlineStr">
        <is>
          <t>https://www2.census.gov/programs-surveys/susb/datasets/2022/msa_3digitnaics_2022.txt</t>
        </is>
      </c>
    </row>
    <row r="830">
      <c r="A830" t="inlineStr">
        <is>
          <t>micro</t>
        </is>
      </c>
      <c r="B830" t="inlineStr">
        <is>
          <t>Searcy, AR Micro Area</t>
        </is>
      </c>
      <c r="C830" t="inlineStr">
        <is>
          <t>42620</t>
        </is>
      </c>
      <c r="D830" s="7" t="n">
        <v>45</v>
      </c>
      <c r="E830" t="n">
        <v>45.0176925429208</v>
      </c>
      <c r="F830" s="7" t="n">
        <v>55</v>
      </c>
      <c r="G830" s="6" t="n">
        <v>22891</v>
      </c>
      <c r="H830" s="6" t="n">
        <v>10305</v>
      </c>
      <c r="I830" s="6" t="n">
        <v>12586</v>
      </c>
      <c r="J830" t="inlineStr">
        <is>
          <t>https://www2.census.gov/programs-surveys/susb/datasets/2022/msa_3digitnaics_2022.txt</t>
        </is>
      </c>
    </row>
    <row r="831">
      <c r="A831" t="inlineStr">
        <is>
          <t>micro</t>
        </is>
      </c>
      <c r="B831" t="inlineStr">
        <is>
          <t>Wisconsin Rapids-Marshfield, WI Micro Area</t>
        </is>
      </c>
      <c r="C831" t="inlineStr">
        <is>
          <t>49220</t>
        </is>
      </c>
      <c r="D831" s="7" t="n">
        <v>45</v>
      </c>
      <c r="E831" t="n">
        <v>44.95253075669906</v>
      </c>
      <c r="F831" s="7" t="n">
        <v>55</v>
      </c>
      <c r="G831" s="6" t="n">
        <v>35602</v>
      </c>
      <c r="H831" s="6" t="n">
        <v>16004</v>
      </c>
      <c r="I831" s="6" t="n">
        <v>19598</v>
      </c>
      <c r="J831" t="inlineStr">
        <is>
          <t>https://www2.census.gov/programs-surveys/susb/datasets/2022/msa_3digitnaics_2022.txt</t>
        </is>
      </c>
    </row>
    <row r="832">
      <c r="A832" t="inlineStr">
        <is>
          <t>micro</t>
        </is>
      </c>
      <c r="B832" t="inlineStr">
        <is>
          <t>Columbus, NE Micro Area</t>
        </is>
      </c>
      <c r="C832" t="inlineStr">
        <is>
          <t>18100</t>
        </is>
      </c>
      <c r="D832" s="7" t="n">
        <v>44.9</v>
      </c>
      <c r="E832" t="n">
        <v>44.92423492126374</v>
      </c>
      <c r="F832" s="7" t="n">
        <v>55.1</v>
      </c>
      <c r="G832" s="6" t="n">
        <v>20194</v>
      </c>
      <c r="H832" s="6" t="n">
        <v>9072</v>
      </c>
      <c r="I832" s="6" t="n">
        <v>11122</v>
      </c>
      <c r="J832" t="inlineStr">
        <is>
          <t>https://www2.census.gov/programs-surveys/susb/datasets/2022/msa_3digitnaics_2022.txt</t>
        </is>
      </c>
    </row>
    <row r="833">
      <c r="A833" t="inlineStr">
        <is>
          <t>micro</t>
        </is>
      </c>
      <c r="B833" t="inlineStr">
        <is>
          <t>Murray, KY Micro Area</t>
        </is>
      </c>
      <c r="C833" t="inlineStr">
        <is>
          <t>34660</t>
        </is>
      </c>
      <c r="D833" s="7" t="n">
        <v>44.9</v>
      </c>
      <c r="E833" t="n">
        <v>44.89484025907867</v>
      </c>
      <c r="F833" s="7" t="n">
        <v>55.1</v>
      </c>
      <c r="G833" s="6" t="n">
        <v>13741</v>
      </c>
      <c r="H833" s="6" t="n">
        <v>6169</v>
      </c>
      <c r="I833" s="6" t="n">
        <v>7572</v>
      </c>
      <c r="J833" t="inlineStr">
        <is>
          <t>https://www2.census.gov/programs-surveys/susb/datasets/2022/msa_3digitnaics_2022.txt</t>
        </is>
      </c>
    </row>
    <row r="834">
      <c r="A834" t="inlineStr">
        <is>
          <t>micro</t>
        </is>
      </c>
      <c r="B834" t="inlineStr">
        <is>
          <t>Tullahoma-Manchester, TN Micro Area</t>
        </is>
      </c>
      <c r="C834" t="inlineStr">
        <is>
          <t>46100</t>
        </is>
      </c>
      <c r="D834" s="7" t="n">
        <v>44.8</v>
      </c>
      <c r="E834" t="n">
        <v>44.8230729677932</v>
      </c>
      <c r="F834" s="7" t="n">
        <v>55.2</v>
      </c>
      <c r="G834" s="6" t="n">
        <v>21393</v>
      </c>
      <c r="H834" s="6" t="n">
        <v>9589</v>
      </c>
      <c r="I834" s="6" t="n">
        <v>11804</v>
      </c>
      <c r="J834" t="inlineStr">
        <is>
          <t>https://www2.census.gov/programs-surveys/susb/datasets/2022/msa_3digitnaics_2022.txt</t>
        </is>
      </c>
    </row>
    <row r="835">
      <c r="A835" t="inlineStr">
        <is>
          <t>micro</t>
        </is>
      </c>
      <c r="B835" t="inlineStr">
        <is>
          <t>Camden, AR Micro Area</t>
        </is>
      </c>
      <c r="C835" t="inlineStr">
        <is>
          <t>15780</t>
        </is>
      </c>
      <c r="D835" s="7" t="n">
        <v>44.8</v>
      </c>
      <c r="E835" t="n">
        <v>44.77700930121631</v>
      </c>
      <c r="F835" s="7" t="n">
        <v>55.2</v>
      </c>
      <c r="G835" s="6" t="n">
        <v>8386</v>
      </c>
      <c r="H835" s="6" t="n">
        <v>3755</v>
      </c>
      <c r="I835" s="6" t="n">
        <v>4631</v>
      </c>
      <c r="J835" t="inlineStr">
        <is>
          <t>https://www2.census.gov/programs-surveys/susb/datasets/2022/msa_3digitnaics_2022.txt</t>
        </is>
      </c>
    </row>
    <row r="836">
      <c r="A836" t="inlineStr">
        <is>
          <t>micro</t>
        </is>
      </c>
      <c r="B836" t="inlineStr">
        <is>
          <t>Paragould, AR Micro Area</t>
        </is>
      </c>
      <c r="C836" t="inlineStr">
        <is>
          <t>37500</t>
        </is>
      </c>
      <c r="D836" s="7" t="n">
        <v>44.8</v>
      </c>
      <c r="E836" t="n">
        <v>44.76062439315857</v>
      </c>
      <c r="F836" s="7" t="n">
        <v>55.2</v>
      </c>
      <c r="G836" s="6" t="n">
        <v>13389</v>
      </c>
      <c r="H836" s="6" t="n">
        <v>5993</v>
      </c>
      <c r="I836" s="6" t="n">
        <v>7396</v>
      </c>
      <c r="J836" t="inlineStr">
        <is>
          <t>https://www2.census.gov/programs-surveys/susb/datasets/2022/msa_3digitnaics_2022.txt</t>
        </is>
      </c>
    </row>
    <row r="837">
      <c r="A837" t="inlineStr">
        <is>
          <t>micro</t>
        </is>
      </c>
      <c r="B837" t="inlineStr">
        <is>
          <t>Thomaston, GA Micro Area</t>
        </is>
      </c>
      <c r="C837" t="inlineStr">
        <is>
          <t>45580</t>
        </is>
      </c>
      <c r="D837" s="7" t="n">
        <v>44.7</v>
      </c>
      <c r="E837" t="n">
        <v>44.6994715984148</v>
      </c>
      <c r="F837" s="7" t="n">
        <v>55.3</v>
      </c>
      <c r="G837" s="6" t="n">
        <v>6056</v>
      </c>
      <c r="H837" s="6" t="n">
        <v>2707</v>
      </c>
      <c r="I837" s="6" t="n">
        <v>3349</v>
      </c>
      <c r="J837" t="inlineStr">
        <is>
          <t>https://www2.census.gov/programs-surveys/susb/datasets/2022/msa_3digitnaics_2022.txt</t>
        </is>
      </c>
    </row>
    <row r="838">
      <c r="A838" t="inlineStr">
        <is>
          <t>micro</t>
        </is>
      </c>
      <c r="B838" t="inlineStr">
        <is>
          <t>Milledgeville, GA Micro Area</t>
        </is>
      </c>
      <c r="C838" t="inlineStr">
        <is>
          <t>33300</t>
        </is>
      </c>
      <c r="D838" s="7" t="n">
        <v>44.7</v>
      </c>
      <c r="E838" t="n">
        <v>44.69099032017871</v>
      </c>
      <c r="F838" s="7" t="n">
        <v>55.3</v>
      </c>
      <c r="G838" s="6" t="n">
        <v>13430</v>
      </c>
      <c r="H838" s="6" t="n">
        <v>6002</v>
      </c>
      <c r="I838" s="6" t="n">
        <v>7428</v>
      </c>
      <c r="J838" t="inlineStr">
        <is>
          <t>https://www2.census.gov/programs-surveys/susb/datasets/2022/msa_3digitnaics_2022.txt</t>
        </is>
      </c>
    </row>
    <row r="839">
      <c r="A839" t="inlineStr">
        <is>
          <t>micro</t>
        </is>
      </c>
      <c r="B839" t="inlineStr">
        <is>
          <t>Scottsboro, AL Micro Area</t>
        </is>
      </c>
      <c r="C839" t="inlineStr">
        <is>
          <t>42460</t>
        </is>
      </c>
      <c r="D839" s="7" t="n">
        <v>44.6</v>
      </c>
      <c r="E839" t="n">
        <v>44.62877547983931</v>
      </c>
      <c r="F839" s="7" t="n">
        <v>55.4</v>
      </c>
      <c r="G839" s="6" t="n">
        <v>13442</v>
      </c>
      <c r="H839" s="6" t="n">
        <v>5999</v>
      </c>
      <c r="I839" s="6" t="n">
        <v>7443</v>
      </c>
      <c r="J839" t="inlineStr">
        <is>
          <t>https://www2.census.gov/programs-surveys/susb/datasets/2022/msa_3digitnaics_2022.txt</t>
        </is>
      </c>
    </row>
    <row r="840">
      <c r="A840" t="inlineStr">
        <is>
          <t>micro</t>
        </is>
      </c>
      <c r="B840" t="inlineStr">
        <is>
          <t>Lake City, FL Micro Area</t>
        </is>
      </c>
      <c r="C840" t="inlineStr">
        <is>
          <t>29380</t>
        </is>
      </c>
      <c r="D840" s="7" t="n">
        <v>44.6</v>
      </c>
      <c r="E840" t="n">
        <v>44.56900469625814</v>
      </c>
      <c r="F840" s="7" t="n">
        <v>55.4</v>
      </c>
      <c r="G840" s="6" t="n">
        <v>19803</v>
      </c>
      <c r="H840" s="6" t="n">
        <v>8826</v>
      </c>
      <c r="I840" s="6" t="n">
        <v>10977</v>
      </c>
      <c r="J840" t="inlineStr">
        <is>
          <t>https://www2.census.gov/programs-surveys/susb/datasets/2022/msa_3digitnaics_2022.txt</t>
        </is>
      </c>
    </row>
    <row r="841">
      <c r="A841" t="inlineStr">
        <is>
          <t>micro</t>
        </is>
      </c>
      <c r="B841" t="inlineStr">
        <is>
          <t>Fremont, OH Micro Area</t>
        </is>
      </c>
      <c r="C841" t="inlineStr">
        <is>
          <t>23380</t>
        </is>
      </c>
      <c r="D841" s="7" t="n">
        <v>44.4</v>
      </c>
      <c r="E841" t="n">
        <v>44.44545744632357</v>
      </c>
      <c r="F841" s="7" t="n">
        <v>55.6</v>
      </c>
      <c r="G841" s="6" t="n">
        <v>21937</v>
      </c>
      <c r="H841" s="6" t="n">
        <v>9750</v>
      </c>
      <c r="I841" s="6" t="n">
        <v>12187</v>
      </c>
      <c r="J841" t="inlineStr">
        <is>
          <t>https://www2.census.gov/programs-surveys/susb/datasets/2022/msa_3digitnaics_2022.txt</t>
        </is>
      </c>
    </row>
    <row r="842">
      <c r="A842" t="inlineStr">
        <is>
          <t>micro</t>
        </is>
      </c>
      <c r="B842" t="inlineStr">
        <is>
          <t>Laurel, MS Micro Area</t>
        </is>
      </c>
      <c r="C842" t="inlineStr">
        <is>
          <t>29860</t>
        </is>
      </c>
      <c r="D842" s="7" t="n">
        <v>44.4</v>
      </c>
      <c r="E842" t="n">
        <v>44.4292576248682</v>
      </c>
      <c r="F842" s="7" t="n">
        <v>55.6</v>
      </c>
      <c r="G842" s="6" t="n">
        <v>25607</v>
      </c>
      <c r="H842" s="6" t="n">
        <v>11377</v>
      </c>
      <c r="I842" s="6" t="n">
        <v>14230</v>
      </c>
      <c r="J842" t="inlineStr">
        <is>
          <t>https://www2.census.gov/programs-surveys/susb/datasets/2022/msa_3digitnaics_2022.txt</t>
        </is>
      </c>
    </row>
    <row r="843">
      <c r="A843" t="inlineStr">
        <is>
          <t>micro</t>
        </is>
      </c>
      <c r="B843" t="inlineStr">
        <is>
          <t>Pikeville, KY Micro Area</t>
        </is>
      </c>
      <c r="C843" t="inlineStr">
        <is>
          <t>38210</t>
        </is>
      </c>
      <c r="D843" s="7" t="n">
        <v>44.3</v>
      </c>
      <c r="E843" t="n">
        <v>44.33163433081224</v>
      </c>
      <c r="F843" s="7" t="n">
        <v>55.7</v>
      </c>
      <c r="G843" s="6" t="n">
        <v>24328</v>
      </c>
      <c r="H843" s="6" t="n">
        <v>10785</v>
      </c>
      <c r="I843" s="6" t="n">
        <v>13543</v>
      </c>
      <c r="J843" t="inlineStr">
        <is>
          <t>https://www2.census.gov/programs-surveys/susb/datasets/2022/msa_3digitnaics_2022.txt</t>
        </is>
      </c>
    </row>
    <row r="844">
      <c r="A844" t="inlineStr">
        <is>
          <t>micro</t>
        </is>
      </c>
      <c r="B844" t="inlineStr">
        <is>
          <t>Winona, MN Micro Area</t>
        </is>
      </c>
      <c r="C844" t="inlineStr">
        <is>
          <t>49100</t>
        </is>
      </c>
      <c r="D844" s="7" t="n">
        <v>44.2</v>
      </c>
      <c r="E844" t="n">
        <v>44.24705005044523</v>
      </c>
      <c r="F844" s="7" t="n">
        <v>55.8</v>
      </c>
      <c r="G844" s="6" t="n">
        <v>22797</v>
      </c>
      <c r="H844" s="6" t="n">
        <v>10087</v>
      </c>
      <c r="I844" s="6" t="n">
        <v>12710</v>
      </c>
      <c r="J844" t="inlineStr">
        <is>
          <t>https://www2.census.gov/programs-surveys/susb/datasets/2022/msa_3digitnaics_2022.txt</t>
        </is>
      </c>
    </row>
    <row r="845">
      <c r="A845" t="inlineStr">
        <is>
          <t>micro</t>
        </is>
      </c>
      <c r="B845" t="inlineStr">
        <is>
          <t>Rio Grande City-Roma, TX Micro Area</t>
        </is>
      </c>
      <c r="C845" t="inlineStr">
        <is>
          <t>40100</t>
        </is>
      </c>
      <c r="D845" s="7" t="n">
        <v>44.2</v>
      </c>
      <c r="E845" t="n">
        <v>44.24673784104389</v>
      </c>
      <c r="F845" s="7" t="n">
        <v>55.8</v>
      </c>
      <c r="G845" s="6" t="n">
        <v>8430</v>
      </c>
      <c r="H845" s="6" t="n">
        <v>3730</v>
      </c>
      <c r="I845" s="6" t="n">
        <v>4700</v>
      </c>
      <c r="J845" t="inlineStr">
        <is>
          <t>https://www2.census.gov/programs-surveys/susb/datasets/2022/msa_3digitnaics_2022.txt</t>
        </is>
      </c>
    </row>
    <row r="846">
      <c r="A846" t="inlineStr">
        <is>
          <t>micro</t>
        </is>
      </c>
      <c r="B846" t="inlineStr">
        <is>
          <t>Wapakoneta, OH Micro Area</t>
        </is>
      </c>
      <c r="C846" t="inlineStr">
        <is>
          <t>47540</t>
        </is>
      </c>
      <c r="D846" s="7" t="n">
        <v>44.2</v>
      </c>
      <c r="E846" t="n">
        <v>44.20046274064696</v>
      </c>
      <c r="F846" s="7" t="n">
        <v>55.8</v>
      </c>
      <c r="G846" s="6" t="n">
        <v>22907</v>
      </c>
      <c r="H846" s="6" t="n">
        <v>10125</v>
      </c>
      <c r="I846" s="6" t="n">
        <v>12782</v>
      </c>
      <c r="J846" t="inlineStr">
        <is>
          <t>https://www2.census.gov/programs-surveys/susb/datasets/2022/msa_3digitnaics_2022.txt</t>
        </is>
      </c>
    </row>
    <row r="847">
      <c r="A847" t="inlineStr">
        <is>
          <t>micro</t>
        </is>
      </c>
      <c r="B847" t="inlineStr">
        <is>
          <t>Kendallville, IN Micro Area</t>
        </is>
      </c>
      <c r="C847" t="inlineStr">
        <is>
          <t>28340</t>
        </is>
      </c>
      <c r="D847" s="7" t="n">
        <v>44.1</v>
      </c>
      <c r="E847" t="n">
        <v>44.1344</v>
      </c>
      <c r="F847" s="7" t="n">
        <v>55.9</v>
      </c>
      <c r="G847" s="6" t="n">
        <v>15625</v>
      </c>
      <c r="H847" s="6" t="n">
        <v>6896</v>
      </c>
      <c r="I847" s="6" t="n">
        <v>8729</v>
      </c>
      <c r="J847" t="inlineStr">
        <is>
          <t>https://www2.census.gov/programs-surveys/susb/datasets/2022/msa_3digitnaics_2022.txt</t>
        </is>
      </c>
    </row>
    <row r="848">
      <c r="A848" t="inlineStr">
        <is>
          <t>micro</t>
        </is>
      </c>
      <c r="B848" t="inlineStr">
        <is>
          <t>Alice, TX Micro Area</t>
        </is>
      </c>
      <c r="C848" t="inlineStr">
        <is>
          <t>10860</t>
        </is>
      </c>
      <c r="D848" s="7" t="n">
        <v>44.1</v>
      </c>
      <c r="E848" t="n">
        <v>44.1034507600317</v>
      </c>
      <c r="F848" s="7" t="n">
        <v>55.9</v>
      </c>
      <c r="G848" s="6" t="n">
        <v>13881</v>
      </c>
      <c r="H848" s="6" t="n">
        <v>6122</v>
      </c>
      <c r="I848" s="6" t="n">
        <v>7759</v>
      </c>
      <c r="J848" t="inlineStr">
        <is>
          <t>https://www2.census.gov/programs-surveys/susb/datasets/2022/msa_3digitnaics_2022.txt</t>
        </is>
      </c>
    </row>
    <row r="849">
      <c r="A849" t="inlineStr">
        <is>
          <t>micro</t>
        </is>
      </c>
      <c r="B849" t="inlineStr">
        <is>
          <t>Corning, NY Micro Area</t>
        </is>
      </c>
      <c r="C849" t="inlineStr">
        <is>
          <t>18500</t>
        </is>
      </c>
      <c r="D849" s="7" t="n">
        <v>44.1</v>
      </c>
      <c r="E849" t="n">
        <v>44.06454524937937</v>
      </c>
      <c r="F849" s="7" t="n">
        <v>55.9</v>
      </c>
      <c r="G849" s="6" t="n">
        <v>26586</v>
      </c>
      <c r="H849" s="6" t="n">
        <v>11715</v>
      </c>
      <c r="I849" s="6" t="n">
        <v>14871</v>
      </c>
      <c r="J849" t="inlineStr">
        <is>
          <t>https://www2.census.gov/programs-surveys/susb/datasets/2022/msa_3digitnaics_2022.txt</t>
        </is>
      </c>
    </row>
    <row r="850">
      <c r="A850" t="inlineStr">
        <is>
          <t>micro</t>
        </is>
      </c>
      <c r="B850" t="inlineStr">
        <is>
          <t>Corbin, KY Micro Area</t>
        </is>
      </c>
      <c r="C850" t="inlineStr">
        <is>
          <t>18340</t>
        </is>
      </c>
      <c r="D850" s="7" t="n">
        <v>44</v>
      </c>
      <c r="E850" t="n">
        <v>44.02826690300161</v>
      </c>
      <c r="F850" s="7" t="n">
        <v>56</v>
      </c>
      <c r="G850" s="6" t="n">
        <v>42877</v>
      </c>
      <c r="H850" s="6" t="n">
        <v>18878</v>
      </c>
      <c r="I850" s="6" t="n">
        <v>23999</v>
      </c>
      <c r="J850" t="inlineStr">
        <is>
          <t>https://www2.census.gov/programs-surveys/susb/datasets/2022/msa_3digitnaics_2022.txt</t>
        </is>
      </c>
    </row>
    <row r="851">
      <c r="A851" t="inlineStr">
        <is>
          <t>micro</t>
        </is>
      </c>
      <c r="B851" t="inlineStr">
        <is>
          <t>Chillicothe, OH Micro Area</t>
        </is>
      </c>
      <c r="C851" t="inlineStr">
        <is>
          <t>17060</t>
        </is>
      </c>
      <c r="D851" s="7" t="n">
        <v>44</v>
      </c>
      <c r="E851" t="n">
        <v>44.01300034211427</v>
      </c>
      <c r="F851" s="7" t="n">
        <v>56</v>
      </c>
      <c r="G851" s="6" t="n">
        <v>23384</v>
      </c>
      <c r="H851" s="6" t="n">
        <v>10292</v>
      </c>
      <c r="I851" s="6" t="n">
        <v>13092</v>
      </c>
      <c r="J851" t="inlineStr">
        <is>
          <t>https://www2.census.gov/programs-surveys/susb/datasets/2022/msa_3digitnaics_2022.txt</t>
        </is>
      </c>
    </row>
    <row r="852">
      <c r="A852" t="inlineStr">
        <is>
          <t>micro</t>
        </is>
      </c>
      <c r="B852" t="inlineStr">
        <is>
          <t>Richmond, IN Micro Area</t>
        </is>
      </c>
      <c r="C852" t="inlineStr">
        <is>
          <t>39980</t>
        </is>
      </c>
      <c r="D852" s="7" t="n">
        <v>44</v>
      </c>
      <c r="E852" t="n">
        <v>43.98553260996383</v>
      </c>
      <c r="F852" s="7" t="n">
        <v>56</v>
      </c>
      <c r="G852" s="6" t="n">
        <v>25713</v>
      </c>
      <c r="H852" s="6" t="n">
        <v>11310</v>
      </c>
      <c r="I852" s="6" t="n">
        <v>14403</v>
      </c>
      <c r="J852" t="inlineStr">
        <is>
          <t>https://www2.census.gov/programs-surveys/susb/datasets/2022/msa_3digitnaics_2022.txt</t>
        </is>
      </c>
    </row>
    <row r="853">
      <c r="A853" t="inlineStr">
        <is>
          <t>micro</t>
        </is>
      </c>
      <c r="B853" t="inlineStr">
        <is>
          <t>Logansport, IN Micro Area</t>
        </is>
      </c>
      <c r="C853" t="inlineStr">
        <is>
          <t>30900</t>
        </is>
      </c>
      <c r="D853" s="7" t="n">
        <v>43.8</v>
      </c>
      <c r="E853" t="n">
        <v>43.75496583505483</v>
      </c>
      <c r="F853" s="7" t="n">
        <v>56.2</v>
      </c>
      <c r="G853" s="6" t="n">
        <v>12586</v>
      </c>
      <c r="H853" s="6" t="n">
        <v>5507</v>
      </c>
      <c r="I853" s="6" t="n">
        <v>7079</v>
      </c>
      <c r="J853" t="inlineStr">
        <is>
          <t>https://www2.census.gov/programs-surveys/susb/datasets/2022/msa_3digitnaics_2022.txt</t>
        </is>
      </c>
    </row>
    <row r="854">
      <c r="A854" t="inlineStr">
        <is>
          <t>micro</t>
        </is>
      </c>
      <c r="B854" t="inlineStr">
        <is>
          <t>Sunbury, PA Micro Area</t>
        </is>
      </c>
      <c r="C854" t="inlineStr">
        <is>
          <t>44980</t>
        </is>
      </c>
      <c r="D854" s="7" t="n">
        <v>43.7</v>
      </c>
      <c r="E854" t="n">
        <v>43.74295997142779</v>
      </c>
      <c r="F854" s="7" t="n">
        <v>56.3</v>
      </c>
      <c r="G854" s="6" t="n">
        <v>36399</v>
      </c>
      <c r="H854" s="6" t="n">
        <v>15922</v>
      </c>
      <c r="I854" s="6" t="n">
        <v>20477</v>
      </c>
      <c r="J854" t="inlineStr">
        <is>
          <t>https://www2.census.gov/programs-surveys/susb/datasets/2022/msa_3digitnaics_2022.txt</t>
        </is>
      </c>
    </row>
    <row r="855">
      <c r="A855" t="inlineStr">
        <is>
          <t>micro</t>
        </is>
      </c>
      <c r="B855" t="inlineStr">
        <is>
          <t>Athens, TN Micro Area</t>
        </is>
      </c>
      <c r="C855" t="inlineStr">
        <is>
          <t>11940</t>
        </is>
      </c>
      <c r="D855" s="7" t="n">
        <v>43.7</v>
      </c>
      <c r="E855" t="n">
        <v>43.67755808464887</v>
      </c>
      <c r="F855" s="7" t="n">
        <v>56.3</v>
      </c>
      <c r="G855" s="6" t="n">
        <v>19067</v>
      </c>
      <c r="H855" s="6" t="n">
        <v>8328</v>
      </c>
      <c r="I855" s="6" t="n">
        <v>10739</v>
      </c>
      <c r="J855" t="inlineStr">
        <is>
          <t>https://www2.census.gov/programs-surveys/susb/datasets/2022/msa_3digitnaics_2022.txt</t>
        </is>
      </c>
    </row>
    <row r="856">
      <c r="A856" t="inlineStr">
        <is>
          <t>micro</t>
        </is>
      </c>
      <c r="B856" t="inlineStr">
        <is>
          <t>Dyersburg, TN Micro Area</t>
        </is>
      </c>
      <c r="C856" t="inlineStr">
        <is>
          <t>20540</t>
        </is>
      </c>
      <c r="D856" s="7" t="n">
        <v>43.6</v>
      </c>
      <c r="E856" t="n">
        <v>43.64112149532711</v>
      </c>
      <c r="F856" s="7" t="n">
        <v>56.4</v>
      </c>
      <c r="G856" s="6" t="n">
        <v>13375</v>
      </c>
      <c r="H856" s="6" t="n">
        <v>5837</v>
      </c>
      <c r="I856" s="6" t="n">
        <v>7538</v>
      </c>
      <c r="J856" t="inlineStr">
        <is>
          <t>https://www2.census.gov/programs-surveys/susb/datasets/2022/msa_3digitnaics_2022.txt</t>
        </is>
      </c>
    </row>
    <row r="857">
      <c r="A857" t="inlineStr">
        <is>
          <t>micro</t>
        </is>
      </c>
      <c r="B857" t="inlineStr">
        <is>
          <t>Franklin, KY Micro Area</t>
        </is>
      </c>
      <c r="C857" t="inlineStr">
        <is>
          <t>23190</t>
        </is>
      </c>
      <c r="D857" s="7" t="n">
        <v>43.6</v>
      </c>
      <c r="E857" t="n">
        <v>43.62173507462686</v>
      </c>
      <c r="F857" s="7" t="n">
        <v>56.4</v>
      </c>
      <c r="G857" s="6" t="n">
        <v>8576</v>
      </c>
      <c r="H857" s="6" t="n">
        <v>3741</v>
      </c>
      <c r="I857" s="6" t="n">
        <v>4835</v>
      </c>
      <c r="J857" t="inlineStr">
        <is>
          <t>https://www2.census.gov/programs-surveys/susb/datasets/2022/msa_3digitnaics_2022.txt</t>
        </is>
      </c>
    </row>
    <row r="858">
      <c r="A858" t="inlineStr">
        <is>
          <t>micro</t>
        </is>
      </c>
      <c r="B858" t="inlineStr">
        <is>
          <t>Stevens Point-Plover, WI Micro Area</t>
        </is>
      </c>
      <c r="C858" t="inlineStr">
        <is>
          <t>44620</t>
        </is>
      </c>
      <c r="D858" s="7" t="n">
        <v>43.6</v>
      </c>
      <c r="E858" t="n">
        <v>43.55838968501454</v>
      </c>
      <c r="F858" s="7" t="n">
        <v>56.4</v>
      </c>
      <c r="G858" s="6" t="n">
        <v>28541</v>
      </c>
      <c r="H858" s="6" t="n">
        <v>12432</v>
      </c>
      <c r="I858" s="6" t="n">
        <v>16109</v>
      </c>
      <c r="J858" t="inlineStr">
        <is>
          <t>https://www2.census.gov/programs-surveys/susb/datasets/2022/msa_3digitnaics_2022.txt</t>
        </is>
      </c>
    </row>
    <row r="859">
      <c r="A859" t="inlineStr">
        <is>
          <t>micro</t>
        </is>
      </c>
      <c r="B859" t="inlineStr">
        <is>
          <t>Albertville, AL Micro Area</t>
        </is>
      </c>
      <c r="C859" t="inlineStr">
        <is>
          <t>10700</t>
        </is>
      </c>
      <c r="D859" s="7" t="n">
        <v>43.6</v>
      </c>
      <c r="E859" t="n">
        <v>43.55502228316764</v>
      </c>
      <c r="F859" s="7" t="n">
        <v>56.4</v>
      </c>
      <c r="G859" s="6" t="n">
        <v>35004</v>
      </c>
      <c r="H859" s="6" t="n">
        <v>15246</v>
      </c>
      <c r="I859" s="6" t="n">
        <v>19758</v>
      </c>
      <c r="J859" t="inlineStr">
        <is>
          <t>https://www2.census.gov/programs-surveys/susb/datasets/2022/msa_3digitnaics_2022.txt</t>
        </is>
      </c>
    </row>
    <row r="860">
      <c r="A860" t="inlineStr">
        <is>
          <t>micro</t>
        </is>
      </c>
      <c r="B860" t="inlineStr">
        <is>
          <t>Lewisburg, PA Micro Area</t>
        </is>
      </c>
      <c r="C860" t="inlineStr">
        <is>
          <t>30260</t>
        </is>
      </c>
      <c r="D860" s="7" t="n">
        <v>43.4</v>
      </c>
      <c r="E860" t="n">
        <v>43.42800323162016</v>
      </c>
      <c r="F860" s="7" t="n">
        <v>56.6</v>
      </c>
      <c r="G860" s="6" t="n">
        <v>16091</v>
      </c>
      <c r="H860" s="6" t="n">
        <v>6988</v>
      </c>
      <c r="I860" s="6" t="n">
        <v>9103</v>
      </c>
      <c r="J860" t="inlineStr">
        <is>
          <t>https://www2.census.gov/programs-surveys/susb/datasets/2022/msa_3digitnaics_2022.txt</t>
        </is>
      </c>
    </row>
    <row r="861">
      <c r="A861" t="inlineStr">
        <is>
          <t>micro</t>
        </is>
      </c>
      <c r="B861" t="inlineStr">
        <is>
          <t>Storm Lake, IA Micro Area</t>
        </is>
      </c>
      <c r="C861" t="inlineStr">
        <is>
          <t>44740</t>
        </is>
      </c>
      <c r="D861" s="7" t="n">
        <v>43.4</v>
      </c>
      <c r="E861" t="n">
        <v>43.3659217877095</v>
      </c>
      <c r="F861" s="7" t="n">
        <v>56.6</v>
      </c>
      <c r="G861" s="6" t="n">
        <v>8592</v>
      </c>
      <c r="H861" s="6" t="n">
        <v>3726</v>
      </c>
      <c r="I861" s="6" t="n">
        <v>4866</v>
      </c>
      <c r="J861" t="inlineStr">
        <is>
          <t>https://www2.census.gov/programs-surveys/susb/datasets/2022/msa_3digitnaics_2022.txt</t>
        </is>
      </c>
    </row>
    <row r="862">
      <c r="A862" t="inlineStr">
        <is>
          <t>micro</t>
        </is>
      </c>
      <c r="B862" t="inlineStr">
        <is>
          <t>Warsaw, IN Micro Area</t>
        </is>
      </c>
      <c r="C862" t="inlineStr">
        <is>
          <t>47700</t>
        </is>
      </c>
      <c r="D862" s="7" t="n">
        <v>43.3</v>
      </c>
      <c r="E862" t="n">
        <v>43.3467633628794</v>
      </c>
      <c r="F862" s="7" t="n">
        <v>56.7</v>
      </c>
      <c r="G862" s="6" t="n">
        <v>37230</v>
      </c>
      <c r="H862" s="6" t="n">
        <v>16138</v>
      </c>
      <c r="I862" s="6" t="n">
        <v>21092</v>
      </c>
      <c r="J862" t="inlineStr">
        <is>
          <t>https://www2.census.gov/programs-surveys/susb/datasets/2022/msa_3digitnaics_2022.txt</t>
        </is>
      </c>
    </row>
    <row r="863">
      <c r="A863" t="inlineStr">
        <is>
          <t>micro</t>
        </is>
      </c>
      <c r="B863" t="inlineStr">
        <is>
          <t>Austin, MN Micro Area</t>
        </is>
      </c>
      <c r="C863" t="inlineStr">
        <is>
          <t>12380</t>
        </is>
      </c>
      <c r="D863" s="7" t="n">
        <v>43.2</v>
      </c>
      <c r="E863" t="n">
        <v>43.24029655473179</v>
      </c>
      <c r="F863" s="7" t="n">
        <v>56.8</v>
      </c>
      <c r="G863" s="6" t="n">
        <v>13758</v>
      </c>
      <c r="H863" s="6" t="n">
        <v>5949</v>
      </c>
      <c r="I863" s="6" t="n">
        <v>7809</v>
      </c>
      <c r="J863" t="inlineStr">
        <is>
          <t>https://www2.census.gov/programs-surveys/susb/datasets/2022/msa_3digitnaics_2022.txt</t>
        </is>
      </c>
    </row>
    <row r="864">
      <c r="A864" t="inlineStr">
        <is>
          <t>micro</t>
        </is>
      </c>
      <c r="B864" t="inlineStr">
        <is>
          <t>Charleston-Mattoon, IL Micro Area</t>
        </is>
      </c>
      <c r="C864" t="inlineStr">
        <is>
          <t>16660</t>
        </is>
      </c>
      <c r="D864" s="7" t="n">
        <v>43.2</v>
      </c>
      <c r="E864" t="n">
        <v>43.2054293918037</v>
      </c>
      <c r="F864" s="7" t="n">
        <v>56.8</v>
      </c>
      <c r="G864" s="6" t="n">
        <v>19155</v>
      </c>
      <c r="H864" s="6" t="n">
        <v>8276</v>
      </c>
      <c r="I864" s="6" t="n">
        <v>10879</v>
      </c>
      <c r="J864" t="inlineStr">
        <is>
          <t>https://www2.census.gov/programs-surveys/susb/datasets/2022/msa_3digitnaics_2022.txt</t>
        </is>
      </c>
    </row>
    <row r="865">
      <c r="A865" t="inlineStr">
        <is>
          <t>micro</t>
        </is>
      </c>
      <c r="B865" t="inlineStr">
        <is>
          <t>Rexburg, ID Micro Area</t>
        </is>
      </c>
      <c r="C865" t="inlineStr">
        <is>
          <t>39940</t>
        </is>
      </c>
      <c r="D865" s="7" t="n">
        <v>43.1</v>
      </c>
      <c r="E865" t="n">
        <v>43.13816343723673</v>
      </c>
      <c r="F865" s="7" t="n">
        <v>56.9</v>
      </c>
      <c r="G865" s="6" t="n">
        <v>23740</v>
      </c>
      <c r="H865" s="6" t="n">
        <v>10241</v>
      </c>
      <c r="I865" s="6" t="n">
        <v>13499</v>
      </c>
      <c r="J865" t="inlineStr">
        <is>
          <t>https://www2.census.gov/programs-surveys/susb/datasets/2022/msa_3digitnaics_2022.txt</t>
        </is>
      </c>
    </row>
    <row r="866">
      <c r="A866" t="inlineStr">
        <is>
          <t>micro</t>
        </is>
      </c>
      <c r="B866" t="inlineStr">
        <is>
          <t>Moultrie, GA Micro Area</t>
        </is>
      </c>
      <c r="C866" t="inlineStr">
        <is>
          <t>34220</t>
        </is>
      </c>
      <c r="D866" s="7" t="n">
        <v>43.1</v>
      </c>
      <c r="E866" t="n">
        <v>43.06346786488005</v>
      </c>
      <c r="F866" s="7" t="n">
        <v>56.9</v>
      </c>
      <c r="G866" s="6" t="n">
        <v>12463</v>
      </c>
      <c r="H866" s="6" t="n">
        <v>5367</v>
      </c>
      <c r="I866" s="6" t="n">
        <v>7096</v>
      </c>
      <c r="J866" t="inlineStr">
        <is>
          <t>https://www2.census.gov/programs-surveys/susb/datasets/2022/msa_3digitnaics_2022.txt</t>
        </is>
      </c>
    </row>
    <row r="867">
      <c r="A867" t="inlineStr">
        <is>
          <t>micro</t>
        </is>
      </c>
      <c r="B867" t="inlineStr">
        <is>
          <t>Oneonta, NY Micro Area</t>
        </is>
      </c>
      <c r="C867" t="inlineStr">
        <is>
          <t>36580</t>
        </is>
      </c>
      <c r="D867" s="7" t="n">
        <v>42.8</v>
      </c>
      <c r="E867" t="n">
        <v>42.82309608926443</v>
      </c>
      <c r="F867" s="7" t="n">
        <v>57.2</v>
      </c>
      <c r="G867" s="6" t="n">
        <v>18462</v>
      </c>
      <c r="H867" s="6" t="n">
        <v>7906</v>
      </c>
      <c r="I867" s="6" t="n">
        <v>10556</v>
      </c>
      <c r="J867" t="inlineStr">
        <is>
          <t>https://www2.census.gov/programs-surveys/susb/datasets/2022/msa_3digitnaics_2022.txt</t>
        </is>
      </c>
    </row>
    <row r="868">
      <c r="A868" t="inlineStr">
        <is>
          <t>micro</t>
        </is>
      </c>
      <c r="B868" t="inlineStr">
        <is>
          <t>Fort Dodge, IA Micro Area</t>
        </is>
      </c>
      <c r="C868" t="inlineStr">
        <is>
          <t>22700</t>
        </is>
      </c>
      <c r="D868" s="7" t="n">
        <v>42.8</v>
      </c>
      <c r="E868" t="n">
        <v>42.79628687690742</v>
      </c>
      <c r="F868" s="7" t="n">
        <v>57.2</v>
      </c>
      <c r="G868" s="6" t="n">
        <v>15728</v>
      </c>
      <c r="H868" s="6" t="n">
        <v>6731</v>
      </c>
      <c r="I868" s="6" t="n">
        <v>8997</v>
      </c>
      <c r="J868" t="inlineStr">
        <is>
          <t>https://www2.census.gov/programs-surveys/susb/datasets/2022/msa_3digitnaics_2022.txt</t>
        </is>
      </c>
    </row>
    <row r="869">
      <c r="A869" t="inlineStr">
        <is>
          <t>micro</t>
        </is>
      </c>
      <c r="B869" t="inlineStr">
        <is>
          <t>Danville, KY Micro Area</t>
        </is>
      </c>
      <c r="C869" t="inlineStr">
        <is>
          <t>19220</t>
        </is>
      </c>
      <c r="D869" s="7" t="n">
        <v>42.5</v>
      </c>
      <c r="E869" t="n">
        <v>42.49735712953174</v>
      </c>
      <c r="F869" s="7" t="n">
        <v>57.5</v>
      </c>
      <c r="G869" s="6" t="n">
        <v>16081</v>
      </c>
      <c r="H869" s="6" t="n">
        <v>6834</v>
      </c>
      <c r="I869" s="6" t="n">
        <v>9247</v>
      </c>
      <c r="J869" t="inlineStr">
        <is>
          <t>https://www2.census.gov/programs-surveys/susb/datasets/2022/msa_3digitnaics_2022.txt</t>
        </is>
      </c>
    </row>
    <row r="870">
      <c r="A870" t="inlineStr">
        <is>
          <t>micro</t>
        </is>
      </c>
      <c r="B870" t="inlineStr">
        <is>
          <t>Port Lavaca, TX Micro Area</t>
        </is>
      </c>
      <c r="C870" t="inlineStr">
        <is>
          <t>38920</t>
        </is>
      </c>
      <c r="D870" s="7" t="n">
        <v>42.4</v>
      </c>
      <c r="E870" t="n">
        <v>42.43501444123528</v>
      </c>
      <c r="F870" s="7" t="n">
        <v>57.6</v>
      </c>
      <c r="G870" s="6" t="n">
        <v>9002</v>
      </c>
      <c r="H870" s="6" t="n">
        <v>3820</v>
      </c>
      <c r="I870" s="6" t="n">
        <v>5182</v>
      </c>
      <c r="J870" t="inlineStr">
        <is>
          <t>https://www2.census.gov/programs-surveys/susb/datasets/2022/msa_3digitnaics_2022.txt</t>
        </is>
      </c>
    </row>
    <row r="871">
      <c r="A871" t="inlineStr">
        <is>
          <t>micro</t>
        </is>
      </c>
      <c r="B871" t="inlineStr">
        <is>
          <t>LaGrange, GA-AL Micro Area</t>
        </is>
      </c>
      <c r="C871" t="inlineStr">
        <is>
          <t>29300</t>
        </is>
      </c>
      <c r="D871" s="7" t="n">
        <v>42.4</v>
      </c>
      <c r="E871" t="n">
        <v>42.42846525455221</v>
      </c>
      <c r="F871" s="7" t="n">
        <v>57.6</v>
      </c>
      <c r="G871" s="6" t="n">
        <v>43056</v>
      </c>
      <c r="H871" s="6" t="n">
        <v>18268</v>
      </c>
      <c r="I871" s="6" t="n">
        <v>24788</v>
      </c>
      <c r="J871" t="inlineStr">
        <is>
          <t>https://www2.census.gov/programs-surveys/susb/datasets/2022/msa_3digitnaics_2022.txt</t>
        </is>
      </c>
    </row>
    <row r="872">
      <c r="A872" t="inlineStr">
        <is>
          <t>micro</t>
        </is>
      </c>
      <c r="B872" t="inlineStr">
        <is>
          <t>Hermiston-Pendleton, OR Micro Area</t>
        </is>
      </c>
      <c r="C872" t="inlineStr">
        <is>
          <t>25840</t>
        </is>
      </c>
      <c r="D872" s="7" t="n">
        <v>42.3</v>
      </c>
      <c r="E872" t="n">
        <v>42.34013024447528</v>
      </c>
      <c r="F872" s="7" t="n">
        <v>57.7</v>
      </c>
      <c r="G872" s="6" t="n">
        <v>28101</v>
      </c>
      <c r="H872" s="6" t="n">
        <v>11898</v>
      </c>
      <c r="I872" s="6" t="n">
        <v>16203</v>
      </c>
      <c r="J872" t="inlineStr">
        <is>
          <t>https://www2.census.gov/programs-surveys/susb/datasets/2022/msa_3digitnaics_2022.txt</t>
        </is>
      </c>
    </row>
    <row r="873">
      <c r="A873" t="inlineStr">
        <is>
          <t>micro</t>
        </is>
      </c>
      <c r="B873" t="inlineStr">
        <is>
          <t>Wilson, NC Micro Area</t>
        </is>
      </c>
      <c r="C873" t="inlineStr">
        <is>
          <t>48980</t>
        </is>
      </c>
      <c r="D873" s="7" t="n">
        <v>42.2</v>
      </c>
      <c r="E873" t="n">
        <v>42.23062828772386</v>
      </c>
      <c r="F873" s="7" t="n">
        <v>57.8</v>
      </c>
      <c r="G873" s="6" t="n">
        <v>33838</v>
      </c>
      <c r="H873" s="6" t="n">
        <v>14290</v>
      </c>
      <c r="I873" s="6" t="n">
        <v>19548</v>
      </c>
      <c r="J873" t="inlineStr">
        <is>
          <t>https://www2.census.gov/programs-surveys/susb/datasets/2022/msa_3digitnaics_2022.txt</t>
        </is>
      </c>
    </row>
    <row r="874">
      <c r="A874" t="inlineStr">
        <is>
          <t>micro</t>
        </is>
      </c>
      <c r="B874" t="inlineStr">
        <is>
          <t>Ottumwa, IA Micro Area</t>
        </is>
      </c>
      <c r="C874" t="inlineStr">
        <is>
          <t>36900</t>
        </is>
      </c>
      <c r="D874" s="7" t="n">
        <v>42</v>
      </c>
      <c r="E874" t="n">
        <v>42.00490545138064</v>
      </c>
      <c r="F874" s="7" t="n">
        <v>58</v>
      </c>
      <c r="G874" s="6" t="n">
        <v>12639</v>
      </c>
      <c r="H874" s="6" t="n">
        <v>5309</v>
      </c>
      <c r="I874" s="6" t="n">
        <v>7330</v>
      </c>
      <c r="J874" t="inlineStr">
        <is>
          <t>https://www2.census.gov/programs-surveys/susb/datasets/2022/msa_3digitnaics_2022.txt</t>
        </is>
      </c>
    </row>
    <row r="875">
      <c r="A875" t="inlineStr">
        <is>
          <t>micro</t>
        </is>
      </c>
      <c r="B875" t="inlineStr">
        <is>
          <t>Elko, NV Micro Area</t>
        </is>
      </c>
      <c r="C875" t="inlineStr">
        <is>
          <t>21220</t>
        </is>
      </c>
      <c r="D875" s="7" t="n">
        <v>41.9</v>
      </c>
      <c r="E875" t="n">
        <v>41.87113245921503</v>
      </c>
      <c r="F875" s="7" t="n">
        <v>58.1</v>
      </c>
      <c r="G875" s="6" t="n">
        <v>23109</v>
      </c>
      <c r="H875" s="6" t="n">
        <v>9676</v>
      </c>
      <c r="I875" s="6" t="n">
        <v>13433</v>
      </c>
      <c r="J875" t="inlineStr">
        <is>
          <t>https://www2.census.gov/programs-surveys/susb/datasets/2022/msa_3digitnaics_2022.txt</t>
        </is>
      </c>
    </row>
    <row r="876">
      <c r="A876" t="inlineStr">
        <is>
          <t>micro</t>
        </is>
      </c>
      <c r="B876" t="inlineStr">
        <is>
          <t>Madisonville, KY Micro Area</t>
        </is>
      </c>
      <c r="C876" t="inlineStr">
        <is>
          <t>31580</t>
        </is>
      </c>
      <c r="D876" s="7" t="n">
        <v>41.7</v>
      </c>
      <c r="E876" t="n">
        <v>41.71796113147521</v>
      </c>
      <c r="F876" s="7" t="n">
        <v>58.3</v>
      </c>
      <c r="G876" s="6" t="n">
        <v>14459</v>
      </c>
      <c r="H876" s="6" t="n">
        <v>6032</v>
      </c>
      <c r="I876" s="6" t="n">
        <v>8427</v>
      </c>
      <c r="J876" t="inlineStr">
        <is>
          <t>https://www2.census.gov/programs-surveys/susb/datasets/2022/msa_3digitnaics_2022.txt</t>
        </is>
      </c>
    </row>
    <row r="877">
      <c r="A877" t="inlineStr">
        <is>
          <t>micro</t>
        </is>
      </c>
      <c r="B877" t="inlineStr">
        <is>
          <t>Auburn, IN Micro Area</t>
        </is>
      </c>
      <c r="C877" t="inlineStr">
        <is>
          <t>12140</t>
        </is>
      </c>
      <c r="D877" s="7" t="n">
        <v>41.6</v>
      </c>
      <c r="E877" t="n">
        <v>41.64593301435406</v>
      </c>
      <c r="F877" s="7" t="n">
        <v>58.4</v>
      </c>
      <c r="G877" s="6" t="n">
        <v>20900</v>
      </c>
      <c r="H877" s="6" t="n">
        <v>8704</v>
      </c>
      <c r="I877" s="6" t="n">
        <v>12196</v>
      </c>
      <c r="J877" t="inlineStr">
        <is>
          <t>https://www2.census.gov/programs-surveys/susb/datasets/2022/msa_3digitnaics_2022.txt</t>
        </is>
      </c>
    </row>
    <row r="878">
      <c r="A878" t="inlineStr">
        <is>
          <t>micro</t>
        </is>
      </c>
      <c r="B878" t="inlineStr">
        <is>
          <t>Mount Pleasant, MI Micro Area</t>
        </is>
      </c>
      <c r="C878" t="inlineStr">
        <is>
          <t>34380</t>
        </is>
      </c>
      <c r="D878" s="7" t="n">
        <v>41.6</v>
      </c>
      <c r="E878" t="n">
        <v>41.58598976780795</v>
      </c>
      <c r="F878" s="7" t="n">
        <v>58.4</v>
      </c>
      <c r="G878" s="6" t="n">
        <v>25410</v>
      </c>
      <c r="H878" s="6" t="n">
        <v>10567</v>
      </c>
      <c r="I878" s="6" t="n">
        <v>14843</v>
      </c>
      <c r="J878" t="inlineStr">
        <is>
          <t>https://www2.census.gov/programs-surveys/susb/datasets/2022/msa_3digitnaics_2022.txt</t>
        </is>
      </c>
    </row>
    <row r="879">
      <c r="A879" t="inlineStr">
        <is>
          <t>micro</t>
        </is>
      </c>
      <c r="B879" t="inlineStr">
        <is>
          <t>Martinsville, VA Micro Area</t>
        </is>
      </c>
      <c r="C879" t="inlineStr">
        <is>
          <t>32300</t>
        </is>
      </c>
      <c r="D879" s="7" t="n">
        <v>41.4</v>
      </c>
      <c r="E879" t="n">
        <v>41.39998066325051</v>
      </c>
      <c r="F879" s="7" t="n">
        <v>58.6</v>
      </c>
      <c r="G879" s="6" t="n">
        <v>20686</v>
      </c>
      <c r="H879" s="6" t="n">
        <v>8564</v>
      </c>
      <c r="I879" s="6" t="n">
        <v>12122</v>
      </c>
      <c r="J879" t="inlineStr">
        <is>
          <t>https://www2.census.gov/programs-surveys/susb/datasets/2022/msa_3digitnaics_2022.txt</t>
        </is>
      </c>
    </row>
    <row r="880">
      <c r="A880" t="inlineStr">
        <is>
          <t>micro</t>
        </is>
      </c>
      <c r="B880" t="inlineStr">
        <is>
          <t>Amsterdam, NY Micro Area</t>
        </is>
      </c>
      <c r="C880" t="inlineStr">
        <is>
          <t>11220</t>
        </is>
      </c>
      <c r="D880" s="7" t="n">
        <v>41.2</v>
      </c>
      <c r="E880" t="n">
        <v>41.15800050238634</v>
      </c>
      <c r="F880" s="7" t="n">
        <v>58.8</v>
      </c>
      <c r="G880" s="6" t="n">
        <v>15924</v>
      </c>
      <c r="H880" s="6" t="n">
        <v>6554</v>
      </c>
      <c r="I880" s="6" t="n">
        <v>9370</v>
      </c>
      <c r="J880" t="inlineStr">
        <is>
          <t>https://www2.census.gov/programs-surveys/susb/datasets/2022/msa_3digitnaics_2022.txt</t>
        </is>
      </c>
    </row>
    <row r="881">
      <c r="A881" t="inlineStr">
        <is>
          <t>micro</t>
        </is>
      </c>
      <c r="B881" t="inlineStr">
        <is>
          <t>Sidney, OH Micro Area</t>
        </is>
      </c>
      <c r="C881" t="inlineStr">
        <is>
          <t>43380</t>
        </is>
      </c>
      <c r="D881" s="7" t="n">
        <v>41</v>
      </c>
      <c r="E881" t="n">
        <v>40.96482089911051</v>
      </c>
      <c r="F881" s="7" t="n">
        <v>59</v>
      </c>
      <c r="G881" s="6" t="n">
        <v>24958</v>
      </c>
      <c r="H881" s="6" t="n">
        <v>10224</v>
      </c>
      <c r="I881" s="6" t="n">
        <v>14734</v>
      </c>
      <c r="J881" t="inlineStr">
        <is>
          <t>https://www2.census.gov/programs-surveys/susb/datasets/2022/msa_3digitnaics_2022.txt</t>
        </is>
      </c>
    </row>
    <row r="882">
      <c r="A882" t="inlineStr">
        <is>
          <t>micro</t>
        </is>
      </c>
      <c r="B882" t="inlineStr">
        <is>
          <t>Danville, IL Micro Area</t>
        </is>
      </c>
      <c r="C882" t="inlineStr">
        <is>
          <t>19180</t>
        </is>
      </c>
      <c r="D882" s="7" t="n">
        <v>40.8</v>
      </c>
      <c r="E882" t="n">
        <v>40.8013617912793</v>
      </c>
      <c r="F882" s="7" t="n">
        <v>59.2</v>
      </c>
      <c r="G882" s="6" t="n">
        <v>22911</v>
      </c>
      <c r="H882" s="6" t="n">
        <v>9348</v>
      </c>
      <c r="I882" s="6" t="n">
        <v>13563</v>
      </c>
      <c r="J882" t="inlineStr">
        <is>
          <t>https://www2.census.gov/programs-surveys/susb/datasets/2022/msa_3digitnaics_2022.txt</t>
        </is>
      </c>
    </row>
    <row r="883">
      <c r="A883" t="inlineStr">
        <is>
          <t>micro</t>
        </is>
      </c>
      <c r="B883" t="inlineStr">
        <is>
          <t>Marion, OH Micro Area</t>
        </is>
      </c>
      <c r="C883" t="inlineStr">
        <is>
          <t>32020</t>
        </is>
      </c>
      <c r="D883" s="7" t="n">
        <v>40.7</v>
      </c>
      <c r="E883" t="n">
        <v>40.70327782814066</v>
      </c>
      <c r="F883" s="7" t="n">
        <v>59.3</v>
      </c>
      <c r="G883" s="6" t="n">
        <v>20959</v>
      </c>
      <c r="H883" s="6" t="n">
        <v>8531</v>
      </c>
      <c r="I883" s="6" t="n">
        <v>12428</v>
      </c>
      <c r="J883" t="inlineStr">
        <is>
          <t>https://www2.census.gov/programs-surveys/susb/datasets/2022/msa_3digitnaics_2022.txt</t>
        </is>
      </c>
    </row>
    <row r="884">
      <c r="A884" t="inlineStr">
        <is>
          <t>micro</t>
        </is>
      </c>
      <c r="B884" t="inlineStr">
        <is>
          <t>Dodge City, KS Micro Area</t>
        </is>
      </c>
      <c r="C884" t="inlineStr">
        <is>
          <t>19980</t>
        </is>
      </c>
      <c r="D884" s="7" t="n">
        <v>40.6</v>
      </c>
      <c r="E884" t="n">
        <v>40.63132335087009</v>
      </c>
      <c r="F884" s="7" t="n">
        <v>59.4</v>
      </c>
      <c r="G884" s="6" t="n">
        <v>14826</v>
      </c>
      <c r="H884" s="6" t="n">
        <v>6024</v>
      </c>
      <c r="I884" s="6" t="n">
        <v>8802</v>
      </c>
      <c r="J884" t="inlineStr">
        <is>
          <t>https://www2.census.gov/programs-surveys/susb/datasets/2022/msa_3digitnaics_2022.txt</t>
        </is>
      </c>
    </row>
    <row r="885">
      <c r="A885" t="inlineStr">
        <is>
          <t>micro</t>
        </is>
      </c>
      <c r="B885" t="inlineStr">
        <is>
          <t>Frankfort, IN Micro Area</t>
        </is>
      </c>
      <c r="C885" t="inlineStr">
        <is>
          <t>23140</t>
        </is>
      </c>
      <c r="D885" s="7" t="n">
        <v>40.5</v>
      </c>
      <c r="E885" t="n">
        <v>40.52257409288154</v>
      </c>
      <c r="F885" s="7" t="n">
        <v>59.5</v>
      </c>
      <c r="G885" s="6" t="n">
        <v>10831</v>
      </c>
      <c r="H885" s="6" t="n">
        <v>4389</v>
      </c>
      <c r="I885" s="6" t="n">
        <v>6442</v>
      </c>
      <c r="J885" t="inlineStr">
        <is>
          <t>https://www2.census.gov/programs-surveys/susb/datasets/2022/msa_3digitnaics_2022.txt</t>
        </is>
      </c>
    </row>
    <row r="886">
      <c r="A886" t="inlineStr">
        <is>
          <t>micro</t>
        </is>
      </c>
      <c r="B886" t="inlineStr">
        <is>
          <t>Ottawa, KS Micro Area</t>
        </is>
      </c>
      <c r="C886" t="inlineStr">
        <is>
          <t>36840</t>
        </is>
      </c>
      <c r="D886" s="7" t="n">
        <v>40.3</v>
      </c>
      <c r="E886" t="n">
        <v>40.30221019395579</v>
      </c>
      <c r="F886" s="7" t="n">
        <v>59.7</v>
      </c>
      <c r="G886" s="6" t="n">
        <v>8868</v>
      </c>
      <c r="H886" s="6" t="n">
        <v>3574</v>
      </c>
      <c r="I886" s="6" t="n">
        <v>5294</v>
      </c>
      <c r="J886" t="inlineStr">
        <is>
          <t>https://www2.census.gov/programs-surveys/susb/datasets/2022/msa_3digitnaics_2022.txt</t>
        </is>
      </c>
    </row>
    <row r="887">
      <c r="A887" t="inlineStr">
        <is>
          <t>micro</t>
        </is>
      </c>
      <c r="B887" t="inlineStr">
        <is>
          <t>Sedalia, MO Micro Area</t>
        </is>
      </c>
      <c r="C887" t="inlineStr">
        <is>
          <t>42740</t>
        </is>
      </c>
      <c r="D887" s="7" t="n">
        <v>40.2</v>
      </c>
      <c r="E887" t="n">
        <v>40.23785334369211</v>
      </c>
      <c r="F887" s="7" t="n">
        <v>59.8</v>
      </c>
      <c r="G887" s="6" t="n">
        <v>16733</v>
      </c>
      <c r="H887" s="6" t="n">
        <v>6733</v>
      </c>
      <c r="I887" s="6" t="n">
        <v>10000</v>
      </c>
      <c r="J887" t="inlineStr">
        <is>
          <t>https://www2.census.gov/programs-surveys/susb/datasets/2022/msa_3digitnaics_2022.txt</t>
        </is>
      </c>
    </row>
    <row r="888">
      <c r="A888" t="inlineStr">
        <is>
          <t>micro</t>
        </is>
      </c>
      <c r="B888" t="inlineStr">
        <is>
          <t>North Wilkesboro, NC Micro Area</t>
        </is>
      </c>
      <c r="C888" t="inlineStr">
        <is>
          <t>35900</t>
        </is>
      </c>
      <c r="D888" s="7" t="n">
        <v>40.1</v>
      </c>
      <c r="E888" t="n">
        <v>40.07457199873963</v>
      </c>
      <c r="F888" s="7" t="n">
        <v>59.9</v>
      </c>
      <c r="G888" s="6" t="n">
        <v>19042</v>
      </c>
      <c r="H888" s="6" t="n">
        <v>7631</v>
      </c>
      <c r="I888" s="6" t="n">
        <v>11411</v>
      </c>
      <c r="J888" t="inlineStr">
        <is>
          <t>https://www2.census.gov/programs-surveys/susb/datasets/2022/msa_3digitnaics_2022.txt</t>
        </is>
      </c>
    </row>
    <row r="889">
      <c r="A889" t="inlineStr">
        <is>
          <t>micro</t>
        </is>
      </c>
      <c r="B889" t="inlineStr">
        <is>
          <t>Lumberton, NC Micro Area</t>
        </is>
      </c>
      <c r="C889" t="inlineStr">
        <is>
          <t>31300</t>
        </is>
      </c>
      <c r="D889" s="7" t="n">
        <v>40</v>
      </c>
      <c r="E889" t="n">
        <v>40.03154878794707</v>
      </c>
      <c r="F889" s="7" t="n">
        <v>60</v>
      </c>
      <c r="G889" s="6" t="n">
        <v>31063</v>
      </c>
      <c r="H889" s="6" t="n">
        <v>12435</v>
      </c>
      <c r="I889" s="6" t="n">
        <v>18628</v>
      </c>
      <c r="J889" t="inlineStr">
        <is>
          <t>https://www2.census.gov/programs-surveys/susb/datasets/2022/msa_3digitnaics_2022.txt</t>
        </is>
      </c>
    </row>
    <row r="890">
      <c r="A890" t="inlineStr">
        <is>
          <t>micro</t>
        </is>
      </c>
      <c r="B890" t="inlineStr">
        <is>
          <t>Cedartown, GA Micro Area</t>
        </is>
      </c>
      <c r="C890" t="inlineStr">
        <is>
          <t>16340</t>
        </is>
      </c>
      <c r="D890" s="7" t="n">
        <v>40</v>
      </c>
      <c r="E890" t="n">
        <v>39.99041686631529</v>
      </c>
      <c r="F890" s="7" t="n">
        <v>60</v>
      </c>
      <c r="G890" s="6" t="n">
        <v>10435</v>
      </c>
      <c r="H890" s="6" t="n">
        <v>4173</v>
      </c>
      <c r="I890" s="6" t="n">
        <v>6262</v>
      </c>
      <c r="J890" t="inlineStr">
        <is>
          <t>https://www2.census.gov/programs-surveys/susb/datasets/2022/msa_3digitnaics_2022.txt</t>
        </is>
      </c>
    </row>
    <row r="891">
      <c r="A891" t="inlineStr">
        <is>
          <t>micro</t>
        </is>
      </c>
      <c r="B891" t="inlineStr">
        <is>
          <t>Mount Airy, NC Micro Area</t>
        </is>
      </c>
      <c r="C891" t="inlineStr">
        <is>
          <t>34340</t>
        </is>
      </c>
      <c r="D891" s="7" t="n">
        <v>40</v>
      </c>
      <c r="E891" t="n">
        <v>39.97714140580354</v>
      </c>
      <c r="F891" s="7" t="n">
        <v>60</v>
      </c>
      <c r="G891" s="6" t="n">
        <v>31498</v>
      </c>
      <c r="H891" s="6" t="n">
        <v>12592</v>
      </c>
      <c r="I891" s="6" t="n">
        <v>18906</v>
      </c>
      <c r="J891" t="inlineStr">
        <is>
          <t>https://www2.census.gov/programs-surveys/susb/datasets/2022/msa_3digitnaics_2022.txt</t>
        </is>
      </c>
    </row>
    <row r="892">
      <c r="A892" t="inlineStr">
        <is>
          <t>micro</t>
        </is>
      </c>
      <c r="B892" t="inlineStr">
        <is>
          <t>Gaffney, SC Micro Area</t>
        </is>
      </c>
      <c r="C892" t="inlineStr">
        <is>
          <t>23500</t>
        </is>
      </c>
      <c r="D892" s="7" t="n">
        <v>40</v>
      </c>
      <c r="E892" t="n">
        <v>39.96098104793757</v>
      </c>
      <c r="F892" s="7" t="n">
        <v>60</v>
      </c>
      <c r="G892" s="6" t="n">
        <v>17940</v>
      </c>
      <c r="H892" s="6" t="n">
        <v>7169</v>
      </c>
      <c r="I892" s="6" t="n">
        <v>10771</v>
      </c>
      <c r="J892" t="inlineStr">
        <is>
          <t>https://www2.census.gov/programs-surveys/susb/datasets/2022/msa_3digitnaics_2022.txt</t>
        </is>
      </c>
    </row>
    <row r="893">
      <c r="A893" t="inlineStr">
        <is>
          <t>micro</t>
        </is>
      </c>
      <c r="B893" t="inlineStr">
        <is>
          <t>Findlay, OH Micro Area</t>
        </is>
      </c>
      <c r="C893" t="inlineStr">
        <is>
          <t>22300</t>
        </is>
      </c>
      <c r="D893" s="7" t="n">
        <v>39.6</v>
      </c>
      <c r="E893" t="n">
        <v>39.59941017449005</v>
      </c>
      <c r="F893" s="7" t="n">
        <v>60.4</v>
      </c>
      <c r="G893" s="6" t="n">
        <v>40690</v>
      </c>
      <c r="H893" s="6" t="n">
        <v>16113</v>
      </c>
      <c r="I893" s="6" t="n">
        <v>24577</v>
      </c>
      <c r="J893" t="inlineStr">
        <is>
          <t>https://www2.census.gov/programs-surveys/susb/datasets/2022/msa_3digitnaics_2022.txt</t>
        </is>
      </c>
    </row>
    <row r="894">
      <c r="A894" t="inlineStr">
        <is>
          <t>micro</t>
        </is>
      </c>
      <c r="B894" t="inlineStr">
        <is>
          <t>Sanford, NC Micro Area</t>
        </is>
      </c>
      <c r="C894" t="inlineStr">
        <is>
          <t>41820</t>
        </is>
      </c>
      <c r="D894" s="7" t="n">
        <v>39.5</v>
      </c>
      <c r="E894" t="n">
        <v>39.47774480712166</v>
      </c>
      <c r="F894" s="7" t="n">
        <v>60.5</v>
      </c>
      <c r="G894" s="6" t="n">
        <v>25275</v>
      </c>
      <c r="H894" s="6" t="n">
        <v>9978</v>
      </c>
      <c r="I894" s="6" t="n">
        <v>15297</v>
      </c>
      <c r="J894" t="inlineStr">
        <is>
          <t>https://www2.census.gov/programs-surveys/susb/datasets/2022/msa_3digitnaics_2022.txt</t>
        </is>
      </c>
    </row>
    <row r="895">
      <c r="A895" t="inlineStr">
        <is>
          <t>micro</t>
        </is>
      </c>
      <c r="B895" t="inlineStr">
        <is>
          <t>Marion, NC Micro Area</t>
        </is>
      </c>
      <c r="C895" t="inlineStr">
        <is>
          <t>32000</t>
        </is>
      </c>
      <c r="D895" s="7" t="n">
        <v>39.2</v>
      </c>
      <c r="E895" t="n">
        <v>39.23189465983906</v>
      </c>
      <c r="F895" s="7" t="n">
        <v>60.8</v>
      </c>
      <c r="G895" s="6" t="n">
        <v>13670</v>
      </c>
      <c r="H895" s="6" t="n">
        <v>5363</v>
      </c>
      <c r="I895" s="6" t="n">
        <v>8307</v>
      </c>
      <c r="J895" t="inlineStr">
        <is>
          <t>https://www2.census.gov/programs-surveys/susb/datasets/2022/msa_3digitnaics_2022.txt</t>
        </is>
      </c>
    </row>
    <row r="896">
      <c r="A896" t="inlineStr">
        <is>
          <t>micro</t>
        </is>
      </c>
      <c r="B896" t="inlineStr">
        <is>
          <t>Calhoun, GA Micro Area</t>
        </is>
      </c>
      <c r="C896" t="inlineStr">
        <is>
          <t>15660</t>
        </is>
      </c>
      <c r="D896" s="7" t="n">
        <v>39.1</v>
      </c>
      <c r="E896" t="n">
        <v>39.14893617021276</v>
      </c>
      <c r="F896" s="7" t="n">
        <v>60.9</v>
      </c>
      <c r="G896" s="6" t="n">
        <v>20915</v>
      </c>
      <c r="H896" s="6" t="n">
        <v>8188</v>
      </c>
      <c r="I896" s="6" t="n">
        <v>12727</v>
      </c>
      <c r="J896" t="inlineStr">
        <is>
          <t>https://www2.census.gov/programs-surveys/susb/datasets/2022/msa_3digitnaics_2022.txt</t>
        </is>
      </c>
    </row>
    <row r="897">
      <c r="A897" t="inlineStr">
        <is>
          <t>micro</t>
        </is>
      </c>
      <c r="B897" t="inlineStr">
        <is>
          <t>Marshalltown, IA Micro Area</t>
        </is>
      </c>
      <c r="C897" t="inlineStr">
        <is>
          <t>32260</t>
        </is>
      </c>
      <c r="D897" s="7" t="n">
        <v>39.1</v>
      </c>
      <c r="E897" t="n">
        <v>39.05655985724261</v>
      </c>
      <c r="F897" s="7" t="n">
        <v>60.9</v>
      </c>
      <c r="G897" s="6" t="n">
        <v>12889</v>
      </c>
      <c r="H897" s="6" t="n">
        <v>5034</v>
      </c>
      <c r="I897" s="6" t="n">
        <v>7855</v>
      </c>
      <c r="J897" t="inlineStr">
        <is>
          <t>https://www2.census.gov/programs-surveys/susb/datasets/2022/msa_3digitnaics_2022.txt</t>
        </is>
      </c>
    </row>
    <row r="898">
      <c r="A898" t="inlineStr">
        <is>
          <t>micro</t>
        </is>
      </c>
      <c r="B898" t="inlineStr">
        <is>
          <t>Bellefontaine, OH Micro Area</t>
        </is>
      </c>
      <c r="C898" t="inlineStr">
        <is>
          <t>13340</t>
        </is>
      </c>
      <c r="D898" s="7" t="n">
        <v>39</v>
      </c>
      <c r="E898" t="n">
        <v>38.95966652967768</v>
      </c>
      <c r="F898" s="7" t="n">
        <v>61</v>
      </c>
      <c r="G898" s="6" t="n">
        <v>17033</v>
      </c>
      <c r="H898" s="6" t="n">
        <v>6636</v>
      </c>
      <c r="I898" s="6" t="n">
        <v>10397</v>
      </c>
      <c r="J898" t="inlineStr">
        <is>
          <t>https://www2.census.gov/programs-surveys/susb/datasets/2022/msa_3digitnaics_2022.txt</t>
        </is>
      </c>
    </row>
    <row r="899">
      <c r="A899" t="inlineStr">
        <is>
          <t>micro</t>
        </is>
      </c>
      <c r="B899" t="inlineStr">
        <is>
          <t>Jasper, IN Micro Area</t>
        </is>
      </c>
      <c r="C899" t="inlineStr">
        <is>
          <t>27540</t>
        </is>
      </c>
      <c r="D899" s="7" t="n">
        <v>38.9</v>
      </c>
      <c r="E899" t="n">
        <v>38.86746569393782</v>
      </c>
      <c r="F899" s="7" t="n">
        <v>61.1</v>
      </c>
      <c r="G899" s="6" t="n">
        <v>28785</v>
      </c>
      <c r="H899" s="6" t="n">
        <v>11188</v>
      </c>
      <c r="I899" s="6" t="n">
        <v>17597</v>
      </c>
      <c r="J899" t="inlineStr">
        <is>
          <t>https://www2.census.gov/programs-surveys/susb/datasets/2022/msa_3digitnaics_2022.txt</t>
        </is>
      </c>
    </row>
    <row r="900">
      <c r="A900" t="inlineStr">
        <is>
          <t>micro</t>
        </is>
      </c>
      <c r="B900" t="inlineStr">
        <is>
          <t>Marion, IN Micro Area</t>
        </is>
      </c>
      <c r="C900" t="inlineStr">
        <is>
          <t>31980</t>
        </is>
      </c>
      <c r="D900" s="7" t="n">
        <v>38.8</v>
      </c>
      <c r="E900" t="n">
        <v>38.83342279477545</v>
      </c>
      <c r="F900" s="7" t="n">
        <v>61.2</v>
      </c>
      <c r="G900" s="6" t="n">
        <v>27945</v>
      </c>
      <c r="H900" s="6" t="n">
        <v>10852</v>
      </c>
      <c r="I900" s="6" t="n">
        <v>17093</v>
      </c>
      <c r="J900" t="inlineStr">
        <is>
          <t>https://www2.census.gov/programs-surveys/susb/datasets/2022/msa_3digitnaics_2022.txt</t>
        </is>
      </c>
    </row>
    <row r="901">
      <c r="A901" t="inlineStr">
        <is>
          <t>micro</t>
        </is>
      </c>
      <c r="B901" t="inlineStr">
        <is>
          <t>Summerville, GA Micro Area</t>
        </is>
      </c>
      <c r="C901" t="inlineStr">
        <is>
          <t>44900</t>
        </is>
      </c>
      <c r="D901" s="7" t="n">
        <v>38.3</v>
      </c>
      <c r="E901" t="n">
        <v>38.34554973821989</v>
      </c>
      <c r="F901" s="7" t="n">
        <v>61.7</v>
      </c>
      <c r="G901" s="6" t="n">
        <v>4775</v>
      </c>
      <c r="H901" s="6" t="n">
        <v>1831</v>
      </c>
      <c r="I901" s="6" t="n">
        <v>2944</v>
      </c>
      <c r="J901" t="inlineStr">
        <is>
          <t>https://www2.census.gov/programs-surveys/susb/datasets/2022/msa_3digitnaics_2022.txt</t>
        </is>
      </c>
    </row>
    <row r="902">
      <c r="A902" t="inlineStr">
        <is>
          <t>micro</t>
        </is>
      </c>
      <c r="B902" t="inlineStr">
        <is>
          <t>Russellville, AL Micro Area</t>
        </is>
      </c>
      <c r="C902" t="inlineStr">
        <is>
          <t>40770</t>
        </is>
      </c>
      <c r="D902" s="7" t="n">
        <v>38.2</v>
      </c>
      <c r="E902" t="n">
        <v>38.17706061927606</v>
      </c>
      <c r="F902" s="7" t="n">
        <v>61.8</v>
      </c>
      <c r="G902" s="6" t="n">
        <v>11465</v>
      </c>
      <c r="H902" s="6" t="n">
        <v>4377</v>
      </c>
      <c r="I902" s="6" t="n">
        <v>7088</v>
      </c>
      <c r="J902" t="inlineStr">
        <is>
          <t>https://www2.census.gov/programs-surveys/susb/datasets/2022/msa_3digitnaics_2022.txt</t>
        </is>
      </c>
    </row>
    <row r="903">
      <c r="A903" t="inlineStr">
        <is>
          <t>micro</t>
        </is>
      </c>
      <c r="B903" t="inlineStr">
        <is>
          <t>Vernon, TX Micro Area</t>
        </is>
      </c>
      <c r="C903" t="inlineStr">
        <is>
          <t>46900</t>
        </is>
      </c>
      <c r="D903" s="7" t="n">
        <v>38.1</v>
      </c>
      <c r="E903" t="n">
        <v>38.10962451445835</v>
      </c>
      <c r="F903" s="7" t="n">
        <v>61.9</v>
      </c>
      <c r="G903" s="6" t="n">
        <v>4634</v>
      </c>
      <c r="H903" s="6" t="n">
        <v>1766</v>
      </c>
      <c r="I903" s="6" t="n">
        <v>2868</v>
      </c>
      <c r="J903" t="inlineStr">
        <is>
          <t>https://www2.census.gov/programs-surveys/susb/datasets/2022/msa_3digitnaics_2022.txt</t>
        </is>
      </c>
    </row>
    <row r="904">
      <c r="A904" t="inlineStr">
        <is>
          <t>micro</t>
        </is>
      </c>
      <c r="B904" t="inlineStr">
        <is>
          <t>Winchester, TN Micro Area</t>
        </is>
      </c>
      <c r="C904" t="inlineStr">
        <is>
          <t>49010</t>
        </is>
      </c>
      <c r="D904" s="7" t="n">
        <v>37.8</v>
      </c>
      <c r="E904" t="n">
        <v>37.81729865246005</v>
      </c>
      <c r="F904" s="7" t="n">
        <v>62.2</v>
      </c>
      <c r="G904" s="6" t="n">
        <v>12764</v>
      </c>
      <c r="H904" s="6" t="n">
        <v>4827</v>
      </c>
      <c r="I904" s="6" t="n">
        <v>7937</v>
      </c>
      <c r="J904" t="inlineStr">
        <is>
          <t>https://www2.census.gov/programs-surveys/susb/datasets/2022/msa_3digitnaics_2022.txt</t>
        </is>
      </c>
    </row>
    <row r="905">
      <c r="A905" t="inlineStr">
        <is>
          <t>micro</t>
        </is>
      </c>
      <c r="B905" t="inlineStr">
        <is>
          <t>Guymon, OK Micro Area</t>
        </is>
      </c>
      <c r="C905" t="inlineStr">
        <is>
          <t>25100</t>
        </is>
      </c>
      <c r="D905" s="7" t="n">
        <v>37.6</v>
      </c>
      <c r="E905" t="n">
        <v>37.55048705155619</v>
      </c>
      <c r="F905" s="7" t="n">
        <v>62.4</v>
      </c>
      <c r="G905" s="6" t="n">
        <v>8418</v>
      </c>
      <c r="H905" s="6" t="n">
        <v>3161</v>
      </c>
      <c r="I905" s="6" t="n">
        <v>5257</v>
      </c>
      <c r="J905" t="inlineStr">
        <is>
          <t>https://www2.census.gov/programs-surveys/susb/datasets/2022/msa_3digitnaics_2022.txt</t>
        </is>
      </c>
    </row>
    <row r="906">
      <c r="A906" t="inlineStr">
        <is>
          <t>micro</t>
        </is>
      </c>
      <c r="B906" t="inlineStr">
        <is>
          <t>Effingham, IL Micro Area</t>
        </is>
      </c>
      <c r="C906" t="inlineStr">
        <is>
          <t>20820</t>
        </is>
      </c>
      <c r="D906" s="7" t="n">
        <v>37.4</v>
      </c>
      <c r="E906" t="n">
        <v>37.44282925976636</v>
      </c>
      <c r="F906" s="7" t="n">
        <v>62.6</v>
      </c>
      <c r="G906" s="6" t="n">
        <v>34327</v>
      </c>
      <c r="H906" s="6" t="n">
        <v>12853</v>
      </c>
      <c r="I906" s="6" t="n">
        <v>21474</v>
      </c>
      <c r="J906" t="inlineStr">
        <is>
          <t>https://www2.census.gov/programs-surveys/susb/datasets/2022/msa_3digitnaics_2022.txt</t>
        </is>
      </c>
    </row>
    <row r="907">
      <c r="A907" t="inlineStr">
        <is>
          <t>micro</t>
        </is>
      </c>
      <c r="B907" t="inlineStr">
        <is>
          <t>Blytheville, AR Micro Area</t>
        </is>
      </c>
      <c r="C907" t="inlineStr">
        <is>
          <t>14180</t>
        </is>
      </c>
      <c r="D907" s="7" t="n">
        <v>36.9</v>
      </c>
      <c r="E907" t="n">
        <v>36.9352460115297</v>
      </c>
      <c r="F907" s="7" t="n">
        <v>63.1</v>
      </c>
      <c r="G907" s="6" t="n">
        <v>14918</v>
      </c>
      <c r="H907" s="6" t="n">
        <v>5510</v>
      </c>
      <c r="I907" s="6" t="n">
        <v>9408</v>
      </c>
      <c r="J907" t="inlineStr">
        <is>
          <t>https://www2.census.gov/programs-surveys/susb/datasets/2022/msa_3digitnaics_2022.txt</t>
        </is>
      </c>
    </row>
    <row r="908">
      <c r="A908" t="inlineStr">
        <is>
          <t>micro</t>
        </is>
      </c>
      <c r="B908" t="inlineStr">
        <is>
          <t>Owatonna, MN Micro Area</t>
        </is>
      </c>
      <c r="C908" t="inlineStr">
        <is>
          <t>36940</t>
        </is>
      </c>
      <c r="D908" s="7" t="n">
        <v>36.4</v>
      </c>
      <c r="E908" t="n">
        <v>36.44528098951331</v>
      </c>
      <c r="F908" s="7" t="n">
        <v>63.6</v>
      </c>
      <c r="G908" s="6" t="n">
        <v>18595</v>
      </c>
      <c r="H908" s="6" t="n">
        <v>6777</v>
      </c>
      <c r="I908" s="6" t="n">
        <v>11818</v>
      </c>
      <c r="J908" t="inlineStr">
        <is>
          <t>https://www2.census.gov/programs-surveys/susb/datasets/2022/msa_3digitnaics_2022.txt</t>
        </is>
      </c>
    </row>
    <row r="909">
      <c r="A909" t="inlineStr">
        <is>
          <t>micro</t>
        </is>
      </c>
      <c r="B909" t="inlineStr">
        <is>
          <t>Lebanon, MO Micro Area</t>
        </is>
      </c>
      <c r="C909" t="inlineStr">
        <is>
          <t>30060</t>
        </is>
      </c>
      <c r="D909" s="7" t="n">
        <v>36.4</v>
      </c>
      <c r="E909" t="n">
        <v>36.39341577266399</v>
      </c>
      <c r="F909" s="7" t="n">
        <v>63.6</v>
      </c>
      <c r="G909" s="6" t="n">
        <v>12211</v>
      </c>
      <c r="H909" s="6" t="n">
        <v>4444</v>
      </c>
      <c r="I909" s="6" t="n">
        <v>7767</v>
      </c>
      <c r="J909" t="inlineStr">
        <is>
          <t>https://www2.census.gov/programs-surveys/susb/datasets/2022/msa_3digitnaics_2022.txt</t>
        </is>
      </c>
    </row>
    <row r="910">
      <c r="A910" t="inlineStr">
        <is>
          <t>micro</t>
        </is>
      </c>
      <c r="B910" t="inlineStr">
        <is>
          <t>Laurinburg, NC Micro Area</t>
        </is>
      </c>
      <c r="C910" t="inlineStr">
        <is>
          <t>29900</t>
        </is>
      </c>
      <c r="D910" s="7" t="n">
        <v>36.3</v>
      </c>
      <c r="E910" t="n">
        <v>36.29133934632916</v>
      </c>
      <c r="F910" s="7" t="n">
        <v>63.7</v>
      </c>
      <c r="G910" s="6" t="n">
        <v>10311</v>
      </c>
      <c r="H910" s="6" t="n">
        <v>3742</v>
      </c>
      <c r="I910" s="6" t="n">
        <v>6569</v>
      </c>
      <c r="J910" t="inlineStr">
        <is>
          <t>https://www2.census.gov/programs-surveys/susb/datasets/2022/msa_3digitnaics_2022.txt</t>
        </is>
      </c>
    </row>
    <row r="911">
      <c r="A911" t="inlineStr">
        <is>
          <t>micro</t>
        </is>
      </c>
      <c r="B911" t="inlineStr">
        <is>
          <t>Kinston, NC Micro Area</t>
        </is>
      </c>
      <c r="C911" t="inlineStr">
        <is>
          <t>28820</t>
        </is>
      </c>
      <c r="D911" s="7" t="n">
        <v>36.3</v>
      </c>
      <c r="E911" t="n">
        <v>36.27607688839706</v>
      </c>
      <c r="F911" s="7" t="n">
        <v>63.7</v>
      </c>
      <c r="G911" s="6" t="n">
        <v>24399</v>
      </c>
      <c r="H911" s="6" t="n">
        <v>8851</v>
      </c>
      <c r="I911" s="6" t="n">
        <v>15548</v>
      </c>
      <c r="J911" t="inlineStr">
        <is>
          <t>https://www2.census.gov/programs-surveys/susb/datasets/2022/msa_3digitnaics_2022.txt</t>
        </is>
      </c>
    </row>
    <row r="912">
      <c r="A912" t="inlineStr">
        <is>
          <t>micro</t>
        </is>
      </c>
      <c r="B912" t="inlineStr">
        <is>
          <t>Liberal, KS Micro Area</t>
        </is>
      </c>
      <c r="C912" t="inlineStr">
        <is>
          <t>30580</t>
        </is>
      </c>
      <c r="D912" s="7" t="n">
        <v>36.1</v>
      </c>
      <c r="E912" t="n">
        <v>36.13217768147346</v>
      </c>
      <c r="F912" s="7" t="n">
        <v>63.9</v>
      </c>
      <c r="G912" s="6" t="n">
        <v>9230</v>
      </c>
      <c r="H912" s="6" t="n">
        <v>3335</v>
      </c>
      <c r="I912" s="6" t="n">
        <v>5895</v>
      </c>
      <c r="J912" t="inlineStr">
        <is>
          <t>https://www2.census.gov/programs-surveys/susb/datasets/2022/msa_3digitnaics_2022.txt</t>
        </is>
      </c>
    </row>
    <row r="913">
      <c r="A913" t="inlineStr">
        <is>
          <t>micro</t>
        </is>
      </c>
      <c r="B913" t="inlineStr">
        <is>
          <t>Rockingham, NC Micro Area</t>
        </is>
      </c>
      <c r="C913" t="inlineStr">
        <is>
          <t>40460</t>
        </is>
      </c>
      <c r="D913" s="7" t="n">
        <v>36</v>
      </c>
      <c r="E913" t="n">
        <v>36.0430364614465</v>
      </c>
      <c r="F913" s="7" t="n">
        <v>64</v>
      </c>
      <c r="G913" s="6" t="n">
        <v>11711</v>
      </c>
      <c r="H913" s="6" t="n">
        <v>4221</v>
      </c>
      <c r="I913" s="6" t="n">
        <v>7490</v>
      </c>
      <c r="J913" t="inlineStr">
        <is>
          <t>https://www2.census.gov/programs-surveys/susb/datasets/2022/msa_3digitnaics_2022.txt</t>
        </is>
      </c>
    </row>
    <row r="914">
      <c r="A914" t="inlineStr">
        <is>
          <t>micro</t>
        </is>
      </c>
      <c r="B914" t="inlineStr">
        <is>
          <t>Crawfordsville, IN Micro Area</t>
        </is>
      </c>
      <c r="C914" t="inlineStr">
        <is>
          <t>18820</t>
        </is>
      </c>
      <c r="D914" s="7" t="n">
        <v>35.8</v>
      </c>
      <c r="E914" t="n">
        <v>35.79373104145601</v>
      </c>
      <c r="F914" s="7" t="n">
        <v>64.2</v>
      </c>
      <c r="G914" s="6" t="n">
        <v>13846</v>
      </c>
      <c r="H914" s="6" t="n">
        <v>4956</v>
      </c>
      <c r="I914" s="6" t="n">
        <v>8890</v>
      </c>
      <c r="J914" t="inlineStr">
        <is>
          <t>https://www2.census.gov/programs-surveys/susb/datasets/2022/msa_3digitnaics_2022.txt</t>
        </is>
      </c>
    </row>
    <row r="915">
      <c r="A915" t="inlineStr">
        <is>
          <t>micro</t>
        </is>
      </c>
      <c r="B915" t="inlineStr">
        <is>
          <t>Greensburg, IN Micro Area</t>
        </is>
      </c>
      <c r="C915" t="inlineStr">
        <is>
          <t>24700</t>
        </is>
      </c>
      <c r="D915" s="7" t="n">
        <v>35.5</v>
      </c>
      <c r="E915" t="n">
        <v>35.45492662473794</v>
      </c>
      <c r="F915" s="7" t="n">
        <v>64.5</v>
      </c>
      <c r="G915" s="6" t="n">
        <v>11925</v>
      </c>
      <c r="H915" s="6" t="n">
        <v>4228</v>
      </c>
      <c r="I915" s="6" t="n">
        <v>7697</v>
      </c>
      <c r="J915" t="inlineStr">
        <is>
          <t>https://www2.census.gov/programs-surveys/susb/datasets/2022/msa_3digitnaics_2022.txt</t>
        </is>
      </c>
    </row>
    <row r="916">
      <c r="A916" t="inlineStr">
        <is>
          <t>micro</t>
        </is>
      </c>
      <c r="B916" t="inlineStr">
        <is>
          <t>Greeneville, TN Micro Area</t>
        </is>
      </c>
      <c r="C916" t="inlineStr">
        <is>
          <t>24620</t>
        </is>
      </c>
      <c r="D916" s="7" t="n">
        <v>35</v>
      </c>
      <c r="E916" t="n">
        <v>34.96117695136903</v>
      </c>
      <c r="F916" s="7" t="n">
        <v>65</v>
      </c>
      <c r="G916" s="6" t="n">
        <v>24470</v>
      </c>
      <c r="H916" s="6" t="n">
        <v>8555</v>
      </c>
      <c r="I916" s="6" t="n">
        <v>15915</v>
      </c>
      <c r="J916" t="inlineStr">
        <is>
          <t>https://www2.census.gov/programs-surveys/susb/datasets/2022/msa_3digitnaics_2022.txt</t>
        </is>
      </c>
    </row>
    <row r="917">
      <c r="A917" t="inlineStr">
        <is>
          <t>micro</t>
        </is>
      </c>
      <c r="B917" t="inlineStr">
        <is>
          <t>Talladega-Sylacauga, AL Micro Area</t>
        </is>
      </c>
      <c r="C917" t="inlineStr">
        <is>
          <t>45180</t>
        </is>
      </c>
      <c r="D917" s="7" t="n">
        <v>34.6</v>
      </c>
      <c r="E917" t="n">
        <v>34.55731324997297</v>
      </c>
      <c r="F917" s="7" t="n">
        <v>65.40000000000001</v>
      </c>
      <c r="G917" s="6" t="n">
        <v>27751</v>
      </c>
      <c r="H917" s="6" t="n">
        <v>9590</v>
      </c>
      <c r="I917" s="6" t="n">
        <v>18161</v>
      </c>
      <c r="J917" t="inlineStr">
        <is>
          <t>https://www2.census.gov/programs-surveys/susb/datasets/2022/msa_3digitnaics_2022.txt</t>
        </is>
      </c>
    </row>
    <row r="918">
      <c r="A918" t="inlineStr">
        <is>
          <t>micro</t>
        </is>
      </c>
      <c r="B918" t="inlineStr">
        <is>
          <t>Pella, IA Micro Area</t>
        </is>
      </c>
      <c r="C918" t="inlineStr">
        <is>
          <t>37800</t>
        </is>
      </c>
      <c r="D918" s="7" t="n">
        <v>32.7</v>
      </c>
      <c r="E918" t="n">
        <v>32.7457892675284</v>
      </c>
      <c r="F918" s="7" t="n">
        <v>67.3</v>
      </c>
      <c r="G918" s="6" t="n">
        <v>17871</v>
      </c>
      <c r="H918" s="6" t="n">
        <v>5852</v>
      </c>
      <c r="I918" s="6" t="n">
        <v>12019</v>
      </c>
      <c r="J918" t="inlineStr">
        <is>
          <t>https://www2.census.gov/programs-surveys/susb/datasets/2022/msa_3digitnaics_2022.txt</t>
        </is>
      </c>
    </row>
    <row r="919">
      <c r="A919" t="inlineStr">
        <is>
          <t>micro</t>
        </is>
      </c>
      <c r="B919" t="inlineStr">
        <is>
          <t>Seymour, IN Micro Area</t>
        </is>
      </c>
      <c r="C919" t="inlineStr">
        <is>
          <t>42980</t>
        </is>
      </c>
      <c r="D919" s="7" t="n">
        <v>31.7</v>
      </c>
      <c r="E919" t="n">
        <v>31.7056216873751</v>
      </c>
      <c r="F919" s="7" t="n">
        <v>68.3</v>
      </c>
      <c r="G919" s="6" t="n">
        <v>23018</v>
      </c>
      <c r="H919" s="6" t="n">
        <v>7298</v>
      </c>
      <c r="I919" s="6" t="n">
        <v>15720</v>
      </c>
      <c r="J919" t="inlineStr">
        <is>
          <t>https://www2.census.gov/programs-surveys/susb/datasets/2022/msa_3digitnaics_2022.txt</t>
        </is>
      </c>
    </row>
    <row r="920">
      <c r="A920" t="inlineStr">
        <is>
          <t>micro</t>
        </is>
      </c>
      <c r="B920" t="inlineStr">
        <is>
          <t>Muscatine, IA Micro Area</t>
        </is>
      </c>
      <c r="C920" t="inlineStr">
        <is>
          <t>34700</t>
        </is>
      </c>
      <c r="D920" s="7" t="n">
        <v>31.6</v>
      </c>
      <c r="E920" t="n">
        <v>31.61162992201791</v>
      </c>
      <c r="F920" s="7" t="n">
        <v>68.40000000000001</v>
      </c>
      <c r="G920" s="6" t="n">
        <v>20774</v>
      </c>
      <c r="H920" s="6" t="n">
        <v>6567</v>
      </c>
      <c r="I920" s="6" t="n">
        <v>14207</v>
      </c>
      <c r="J920" t="inlineStr">
        <is>
          <t>https://www2.census.gov/programs-surveys/susb/datasets/2022/msa_3digitnaics_2022.txt</t>
        </is>
      </c>
    </row>
    <row r="921">
      <c r="A921" t="inlineStr">
        <is>
          <t>micro</t>
        </is>
      </c>
      <c r="B921" t="inlineStr">
        <is>
          <t>Jefferson, GA Micro Area</t>
        </is>
      </c>
      <c r="C921" t="inlineStr">
        <is>
          <t>27600</t>
        </is>
      </c>
      <c r="D921" s="7" t="n">
        <v>31.3</v>
      </c>
      <c r="E921" t="n">
        <v>31.31070767807585</v>
      </c>
      <c r="F921" s="7" t="n">
        <v>68.7</v>
      </c>
      <c r="G921" s="6" t="n">
        <v>34592</v>
      </c>
      <c r="H921" s="6" t="n">
        <v>10831</v>
      </c>
      <c r="I921" s="6" t="n">
        <v>23761</v>
      </c>
      <c r="J921" t="inlineStr">
        <is>
          <t>https://www2.census.gov/programs-surveys/susb/datasets/2022/msa_3digitnaics_2022.txt</t>
        </is>
      </c>
    </row>
    <row r="922">
      <c r="A922" t="inlineStr">
        <is>
          <t>micro</t>
        </is>
      </c>
      <c r="B922" t="inlineStr">
        <is>
          <t>Wilmington, OH Micro Area</t>
        </is>
      </c>
      <c r="C922" t="inlineStr">
        <is>
          <t>48940</t>
        </is>
      </c>
      <c r="D922" s="7" t="n">
        <v>30.5</v>
      </c>
      <c r="E922" t="n">
        <v>30.47239612976665</v>
      </c>
      <c r="F922" s="7" t="n">
        <v>69.5</v>
      </c>
      <c r="G922" s="6" t="n">
        <v>17570</v>
      </c>
      <c r="H922" s="6" t="n">
        <v>5354</v>
      </c>
      <c r="I922" s="6" t="n">
        <v>12216</v>
      </c>
      <c r="J922" t="inlineStr">
        <is>
          <t>https://www2.census.gov/programs-surveys/susb/datasets/2022/msa_3digitnaics_2022.txt</t>
        </is>
      </c>
    </row>
    <row r="923">
      <c r="A923" t="inlineStr">
        <is>
          <t>micro</t>
        </is>
      </c>
      <c r="B923" t="inlineStr">
        <is>
          <t>Mount Vernon, IL Micro Area</t>
        </is>
      </c>
      <c r="C923" t="inlineStr">
        <is>
          <t>34500</t>
        </is>
      </c>
      <c r="D923" s="7" t="n">
        <v>29.9</v>
      </c>
      <c r="E923" t="n">
        <v>29.88167264549981</v>
      </c>
      <c r="F923" s="7" t="n">
        <v>70.09999999999999</v>
      </c>
      <c r="G923" s="6" t="n">
        <v>18677</v>
      </c>
      <c r="H923" s="6" t="n">
        <v>5581</v>
      </c>
      <c r="I923" s="6" t="n">
        <v>13096</v>
      </c>
      <c r="J923" t="inlineStr">
        <is>
          <t>https://www2.census.gov/programs-surveys/susb/datasets/2022/msa_3digitnaics_2022.txt</t>
        </is>
      </c>
    </row>
    <row r="924">
      <c r="A924" t="inlineStr">
        <is>
          <t>micro</t>
        </is>
      </c>
      <c r="B924" t="inlineStr">
        <is>
          <t>Dumas, TX Micro Area</t>
        </is>
      </c>
      <c r="C924" t="inlineStr">
        <is>
          <t>20300</t>
        </is>
      </c>
      <c r="D924" s="7" t="n">
        <v>29.4</v>
      </c>
      <c r="E924" t="n">
        <v>29.44432838938793</v>
      </c>
      <c r="F924" s="7" t="n">
        <v>70.59999999999999</v>
      </c>
      <c r="G924" s="6" t="n">
        <v>9574</v>
      </c>
      <c r="H924" s="6" t="n">
        <v>2819</v>
      </c>
      <c r="I924" s="6" t="n">
        <v>6755</v>
      </c>
      <c r="J924" t="inlineStr">
        <is>
          <t>https://www2.census.gov/programs-surveys/susb/datasets/2022/msa_3digitnaics_2022.txt</t>
        </is>
      </c>
    </row>
    <row r="925">
      <c r="A925" t="inlineStr">
        <is>
          <t>micro</t>
        </is>
      </c>
      <c r="B925" t="inlineStr">
        <is>
          <t>Raymondville, TX Micro Area</t>
        </is>
      </c>
      <c r="C925" t="inlineStr">
        <is>
          <t>39700</t>
        </is>
      </c>
      <c r="D925" s="7" t="n">
        <v>29.2</v>
      </c>
      <c r="E925" t="n">
        <v>29.19753086419753</v>
      </c>
      <c r="F925" s="7" t="n">
        <v>70.8</v>
      </c>
      <c r="G925" s="6" t="n">
        <v>3240</v>
      </c>
      <c r="H925" s="6" t="n">
        <v>946</v>
      </c>
      <c r="I925" s="6" t="n">
        <v>2294</v>
      </c>
      <c r="J925" t="inlineStr">
        <is>
          <t>https://www2.census.gov/programs-surveys/susb/datasets/2022/msa_3digitnaics_2022.txt</t>
        </is>
      </c>
    </row>
    <row r="926">
      <c r="A926" t="inlineStr">
        <is>
          <t>micro</t>
        </is>
      </c>
      <c r="B926" t="inlineStr">
        <is>
          <t>Los Alamos, NM Micro Area</t>
        </is>
      </c>
      <c r="C926" t="inlineStr">
        <is>
          <t>31060</t>
        </is>
      </c>
      <c r="D926" s="7" t="n">
        <v>21.4</v>
      </c>
      <c r="E926" t="n">
        <v>21.39657605694299</v>
      </c>
      <c r="F926" s="7" t="n">
        <v>78.59999999999999</v>
      </c>
      <c r="G926" s="6" t="n">
        <v>16297</v>
      </c>
      <c r="H926" s="6" t="n">
        <v>3487</v>
      </c>
      <c r="I926" s="6" t="n">
        <v>12810</v>
      </c>
      <c r="J926" t="inlineStr">
        <is>
          <t>https://www2.census.gov/programs-surveys/susb/datasets/2022/msa_3digitnaics_2022.txt</t>
        </is>
      </c>
    </row>
  </sheetData>
  <autoFilter ref="A1:J9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4.5"/>
  <cols>
    <col width="18" customWidth="1" style="34" min="1" max="1"/>
    <col width="16" customWidth="1" style="34" min="2" max="2"/>
    <col width="28" customWidth="1" style="34" min="3" max="3"/>
    <col width="24" customWidth="1" style="34" min="4" max="4"/>
    <col width="55" customWidth="1" style="34" min="5" max="5"/>
  </cols>
  <sheetData>
    <row r="1">
      <c r="A1" s="3" t="inlineStr">
        <is>
          <t>Cutoff definition</t>
        </is>
      </c>
      <c r="B1" s="3" t="inlineStr">
        <is>
          <t>Employment</t>
        </is>
      </c>
      <c r="C1" s="3" t="inlineStr">
        <is>
          <t>Share of U.S. employment (%)</t>
        </is>
      </c>
      <c r="D1" s="3" t="inlineStr">
        <is>
          <t>Share (full precision)</t>
        </is>
      </c>
      <c r="E1" s="3" t="inlineStr">
        <is>
          <t>How derived</t>
        </is>
      </c>
    </row>
    <row r="2">
      <c r="A2" t="inlineStr">
        <is>
          <t>&lt;100</t>
        </is>
      </c>
      <c r="B2" s="6" t="n">
        <v>43926885</v>
      </c>
      <c r="C2" s="7" t="n">
        <v>32.4</v>
      </c>
      <c r="D2" t="n">
        <v>32.35904271053435</v>
      </c>
      <c r="E2" t="inlineStr">
        <is>
          <t>Sum of enterprise classes &lt;5 + 5–9 + 10–19 + 20–99 ÷ U.S. total</t>
        </is>
      </c>
    </row>
    <row r="3">
      <c r="A3" t="inlineStr">
        <is>
          <t>&lt;500 (SBA)</t>
        </is>
      </c>
      <c r="B3" s="6" t="n">
        <v>62250556</v>
      </c>
      <c r="C3" s="7" t="n">
        <v>45.9</v>
      </c>
      <c r="D3" t="n">
        <v>45.85730129415073</v>
      </c>
      <c r="E3" t="inlineStr">
        <is>
          <t>Published cumulative class firms &lt;500 ÷ U.S. total</t>
        </is>
      </c>
    </row>
    <row r="4">
      <c r="A4" t="inlineStr">
        <is>
          <t>500+</t>
        </is>
      </c>
      <c r="B4" s="6" t="n">
        <v>73497851</v>
      </c>
      <c r="C4" s="7" t="n">
        <v>54.1</v>
      </c>
      <c r="D4" t="n">
        <v>54.14269870584927</v>
      </c>
      <c r="E4" t="inlineStr">
        <is>
          <t>Published / residual class firms 500+ ÷ U.S. total</t>
        </is>
      </c>
    </row>
    <row r="6">
      <c r="A6" t="inlineStr">
        <is>
          <t>U.S. total employment</t>
        </is>
      </c>
      <c r="B6" s="6" t="n">
        <v>135748407</v>
      </c>
    </row>
    <row r="7" ht="60" customHeight="1" s="34">
      <c r="A7" t="inlineStr">
        <is>
          <t>Citation</t>
        </is>
      </c>
      <c r="B7" s="38" t="inlineStr">
        <is>
          <t>U.S. Census Bureau, Statistics of U.S. Businesses (SUSB), 2022 Annual Datasets by Establishment Industry — us_state_naics_detailedsizes_2022.txt (all-industry NAICS=--, enterprise employment size); reference year 2022; datasets page April 2025; file last-modified 2025-04-10; measures mid-March payroll employment at employer establishments, classified by enterprise (firm) employment size; primary split firms &lt;500 vs 500+ employees (SBA cutoff). File: https://www2.census.gov/programs-surveys/susb/tables/2022/us_state_naics_detailedsizes_2022.txt Landing page: https://www.census.gov/data/datasets/2022/econ/susb/2022-susb.html</t>
        </is>
      </c>
    </row>
  </sheetData>
  <autoFilter ref="A1:E7"/>
  <mergeCells count="1">
    <mergeCell ref="B7:E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4.5"/>
  <cols>
    <col width="28" customWidth="1" style="34" min="1" max="1"/>
    <col width="42" customWidth="1" style="34" min="2" max="2"/>
    <col width="48" customWidth="1" style="34" min="3" max="4"/>
  </cols>
  <sheetData>
    <row r="1">
      <c r="A1" s="3" t="inlineStr">
        <is>
          <t>Field</t>
        </is>
      </c>
      <c r="B1" s="3" t="inlineStr">
        <is>
          <t>ACS 2024 (usually WFH)</t>
        </is>
      </c>
      <c r="C1" s="3" t="inlineStr">
        <is>
          <t>ATUS 2024 (any work at home on days worked)</t>
        </is>
      </c>
      <c r="D1" s="3" t="inlineStr">
        <is>
          <t>ABS 2023 (share of firms with any WFH employees)</t>
        </is>
      </c>
    </row>
    <row r="2" ht="72" customHeight="1" s="34">
      <c r="A2" t="inlineStr">
        <is>
          <t>Definition (do not mix)</t>
        </is>
      </c>
      <c r="B2" s="38" t="inlineStr">
        <is>
          <t>Percent of workers 16+ whose usual means of transportation to work was “Worked from home” (journey-to-work). Headline US rate: 13.3%.</t>
        </is>
      </c>
      <c r="C2" s="38" t="inlineStr">
        <is>
          <t>Percent of employed persons (15+) who did any work at home on days they worked. US overall on that question: 32.5%. Seniority figures are proxies (occupation, earnings, education), not job titles.</t>
        </is>
      </c>
      <c r="D2" s="38" t="inlineStr">
        <is>
          <t>Percent of employer FIRMS that had any employees who worked from home (EMPSZFI &lt;500 vs 500+). Not a worker rate. Firms &lt;500: 35.8%; firms 500+: 77.5%.</t>
        </is>
      </c>
    </row>
    <row r="3" ht="36" customHeight="1" s="34">
      <c r="A3" t="inlineStr">
        <is>
          <t>Agency</t>
        </is>
      </c>
      <c r="B3" s="38" t="inlineStr">
        <is>
          <t>U.S. Census Bureau</t>
        </is>
      </c>
      <c r="C3" s="38" t="inlineStr">
        <is>
          <t>U.S. Bureau of Labor Statistics</t>
        </is>
      </c>
      <c r="D3" s="38" t="inlineStr">
        <is>
          <t>U.S. Census Bureau</t>
        </is>
      </c>
    </row>
    <row r="4" ht="36" customHeight="1" s="34">
      <c r="A4" t="inlineStr">
        <is>
          <t>Program</t>
        </is>
      </c>
      <c r="B4" s="38" t="inlineStr">
        <is>
          <t>American Community Survey (ACS) 1-Year Estimates Detailed Tables</t>
        </is>
      </c>
      <c r="C4" s="38" t="inlineStr">
        <is>
          <t>American Time Use Survey (ATUS)</t>
        </is>
      </c>
      <c r="D4" s="38" t="inlineStr">
        <is>
          <t>Annual Business Survey (ABS) Characteristics of Businesses</t>
        </is>
      </c>
    </row>
    <row r="5" ht="36" customHeight="1" s="34">
      <c r="A5" t="inlineStr">
        <is>
          <t>Table / file</t>
        </is>
      </c>
      <c r="B5" s="38" t="inlineStr">
        <is>
          <t>B08301 Means of Transportation to Work</t>
        </is>
      </c>
      <c r="C5" s="38" t="inlineStr">
        <is>
          <t>Tables 6 and 7, 2024 annual averages (news release)</t>
        </is>
      </c>
      <c r="D5" s="38" t="inlineStr">
        <is>
          <t>ABSCB2023.AB2300CSCB04 (Sex/Ethnicity/Race/Veteran × Employment Size of Firm)</t>
        </is>
      </c>
    </row>
    <row r="6" ht="36" customHeight="1" s="34">
      <c r="A6" t="inlineStr">
        <is>
          <t>Year</t>
        </is>
      </c>
      <c r="B6" s="38" t="inlineStr">
        <is>
          <t>2024</t>
        </is>
      </c>
      <c r="C6" s="38" t="inlineStr">
        <is>
          <t>2024</t>
        </is>
      </c>
      <c r="D6" s="38" t="inlineStr">
        <is>
          <t>2023</t>
        </is>
      </c>
    </row>
    <row r="7" ht="72" customHeight="1" s="34">
      <c r="A7" t="inlineStr">
        <is>
          <t>Exact question / variable</t>
        </is>
      </c>
      <c r="B7" s="38" t="inlineStr">
        <is>
          <t>B08301_021E Worked from home / B08301_001E Total; universe = Workers 16 years and over; usually worked from home as means of transportation to work (journey-to-work)</t>
        </is>
      </c>
      <c r="C7" s="38" t="inlineStr">
        <is>
          <t>Employed persons who worked at home on an average day as percent of employed persons who worked on an average day; 'Working at home' includes any time persons did work at home and is not restricted to persons whose usual workplace is their home. Persons 15+. Table 6: education / full- vs part-time. Table 7: occupation / usual weekly earnings quartiles (full-time wage and salary, single jobholders).</t>
        </is>
      </c>
      <c r="D7"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8" ht="36" customHeight="1" s="34">
      <c r="A8" t="inlineStr">
        <is>
          <t>URL used</t>
        </is>
      </c>
      <c r="B8" s="38" t="inlineStr">
        <is>
          <t>https://api.censusreporter.org/1.0/data/show/latest?table_ids=B08301&amp;geo_ids=040%7C01000US,01000US</t>
        </is>
      </c>
      <c r="C8" s="38" t="inlineStr">
        <is>
          <t>https://www.bls.gov/news.release/archives/atus_06262025.htm</t>
        </is>
      </c>
      <c r="D8" s="38" t="inlineStr">
        <is>
          <t>https://www2.census.gov/programs-surveys/abs/data/2023/AB2300CSCB04.zip</t>
        </is>
      </c>
    </row>
    <row r="9" ht="36" customHeight="1" s="34">
      <c r="A9" t="inlineStr">
        <is>
          <t>Secondary URL</t>
        </is>
      </c>
      <c r="B9" s="38" t="inlineStr">
        <is>
          <t>https://data.census.gov/table/ACSDT1Y2024.B08301</t>
        </is>
      </c>
      <c r="C9" s="38" t="inlineStr">
        <is>
          <t>https://www.bls.gov/news.release/archives/atus_06262025.pdf</t>
        </is>
      </c>
      <c r="D9" s="38" t="inlineStr">
        <is>
          <t>https://data.census.gov/table/ABSCB2023.AB2300CSCB04</t>
        </is>
      </c>
    </row>
    <row r="10" ht="36" customHeight="1" s="34">
      <c r="A10" t="inlineStr">
        <is>
          <t>Funded by</t>
        </is>
      </c>
      <c r="B10" s="38" t="inlineStr">
        <is>
          <t>U.S. Census Bureau (federal statistical agency)</t>
        </is>
      </c>
      <c r="C10" s="38" t="inlineStr">
        <is>
          <t>U.S. Bureau of Labor Statistics (federal statistical agency)</t>
        </is>
      </c>
      <c r="D10" s="38" t="inlineStr">
        <is>
          <t>U.S. Census Bureau (federal statistical agency)</t>
        </is>
      </c>
    </row>
    <row r="11" ht="36" customHeight="1" s="34">
      <c r="A11" t="inlineStr">
        <is>
          <t>Origin</t>
        </is>
      </c>
      <c r="B11" s="38" t="inlineStr">
        <is>
          <t>RETRIEVED</t>
        </is>
      </c>
      <c r="C11" s="38" t="inlineStr">
        <is>
          <t>RETRIEVED</t>
        </is>
      </c>
      <c r="D11" s="38" t="inlineStr">
        <is>
          <t>RETRIEVED</t>
        </is>
      </c>
    </row>
    <row r="12" ht="36" customHeight="1" s="34">
      <c r="A12" t="inlineStr">
        <is>
          <t>Confidence</t>
        </is>
      </c>
      <c r="B12" s="38" t="inlineStr">
        <is>
          <t>high</t>
        </is>
      </c>
      <c r="C12" s="38" t="inlineStr">
        <is>
          <t>high</t>
        </is>
      </c>
      <c r="D12" s="38" t="inlineStr">
        <is>
          <t>high</t>
        </is>
      </c>
    </row>
    <row r="13" ht="72" customHeight="1" s="34">
      <c r="A13" t="inlineStr">
        <is>
          <t>Notes</t>
        </is>
      </c>
      <c r="B13" s="38" t="inlineStr">
        <is>
          <t>Pulled via Census Reporter API wrapping ACS 2024 1-year release (release id acs2024_1yr). Direct api.census.gov calls required a key; counts match ACS table B08301.</t>
        </is>
      </c>
      <c r="C13" s="38" t="inlineStr">
        <is>
          <t>Different metric than ACS usually-WFH. Do not mix with ACS state rates in one comparison. Job level (VP vs IC) is not published; occupation and earnings quartiles are seniority proxies only.</t>
        </is>
      </c>
      <c r="D13" s="38" t="inlineStr">
        <is>
          <t>FTP YEAR field = 2023. Table notes on data.census.gov. This is not a worker telework rate and is not interchangeable with ACS/ATUS. SBA-style &lt;500 vs 500+ bins are published as EMPSZFI 655 and 657.</t>
        </is>
      </c>
    </row>
    <row r="14" ht="36" customHeight="1" s="34">
      <c r="A14" t="inlineStr">
        <is>
          <t>Canvas</t>
        </is>
      </c>
      <c r="B14" s="38" t="inlineStr">
        <is>
          <t>Chtr Work from Home Rates (chtr-work-from-home-rates.canvas.tsx)</t>
        </is>
      </c>
      <c r="C14" s="38" t="inlineStr">
        <is>
          <t>Same canvas — ATUS section only</t>
        </is>
      </c>
      <c r="D14" s="38" t="inlineStr">
        <is>
          <t>Same canvas — ABS firm-size section only</t>
        </is>
      </c>
    </row>
    <row r="15" ht="36" customHeight="1" s="34">
      <c r="A15" t="inlineStr">
        <is>
          <t>Source CSVs / script</t>
        </is>
      </c>
      <c r="B15" s="38" t="inlineStr">
        <is>
          <t>Analysis/work-from-home/out/acs2024_wfh_by_state.csv · build_wfh_rates.py (CSV is source of truth if canvas differs)</t>
        </is>
      </c>
      <c r="C15" s="38" t="inlineStr">
        <is>
          <t>Analysis/work-from-home/out/atus2024_work_at_home_breaks.csv</t>
        </is>
      </c>
      <c r="D15" s="38" t="inlineStr">
        <is>
          <t>Analysis/work-from-home/out/abs2023_workhome_by_firm_size.csv</t>
        </is>
      </c>
    </row>
    <row r="16" ht="36" customHeight="1" s="34">
      <c r="A16" t="inlineStr">
        <is>
          <t>Sheet guide</t>
        </is>
      </c>
      <c r="B16" s="38" t="inlineStr">
        <is>
          <t>United States = ACS national rate. States = all 50+DC sorted by rate.</t>
        </is>
      </c>
      <c r="C16" s="38" t="inlineStr">
        <is>
          <t>Seniority proxies = ATUS breaks; column is the ATUS question.</t>
        </is>
      </c>
      <c r="D16" s="38" t="inlineStr">
        <is>
          <t>Firm size = ABS &lt;500 vs 500+ share of firms (EMPSZFI 655 / 657).</t>
        </is>
      </c>
    </row>
  </sheetData>
  <autoFilter ref="A1:D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4.5"/>
  <cols>
    <col width="16" customWidth="1" style="34" min="1" max="1"/>
    <col width="22" customWidth="1" style="34" min="2" max="3"/>
    <col width="18" customWidth="1" style="34" min="4" max="4"/>
    <col width="22" customWidth="1" style="34" min="5" max="5"/>
    <col width="55" customWidth="1" style="34" min="6" max="6"/>
    <col width="45" customWidth="1" style="34" min="7" max="7"/>
    <col width="22" customWidth="1" style="34" min="8" max="8"/>
    <col width="40" customWidth="1" style="34" min="9" max="10"/>
    <col width="8" customWidth="1" style="34" min="11" max="11"/>
    <col width="55" customWidth="1" style="34" min="12" max="12"/>
  </cols>
  <sheetData>
    <row r="1" ht="29" customHeight="1" s="34">
      <c r="A1" s="3" t="inlineStr">
        <is>
          <t>Geography</t>
        </is>
      </c>
      <c r="B1" s="3" t="inlineStr">
        <is>
          <t>Usually WFH (numerator)</t>
        </is>
      </c>
      <c r="C1" s="3" t="inlineStr">
        <is>
          <t>Workers 16+ (denominator)</t>
        </is>
      </c>
      <c r="D1" s="3" t="inlineStr">
        <is>
          <t>Usually WFH % (exhibit, 1 decimal)</t>
        </is>
      </c>
      <c r="E1" s="3" t="inlineStr">
        <is>
          <t>Usually WFH % (full precision)</t>
        </is>
      </c>
      <c r="F1" s="3" t="inlineStr">
        <is>
          <t>Source URL</t>
        </is>
      </c>
      <c r="G1" s="3" t="inlineStr">
        <is>
          <t>Secondary URL</t>
        </is>
      </c>
      <c r="H1" s="3" t="inlineStr">
        <is>
          <t>Agency</t>
        </is>
      </c>
      <c r="I1" s="3" t="inlineStr">
        <is>
          <t>Program</t>
        </is>
      </c>
      <c r="J1" s="3" t="inlineStr">
        <is>
          <t>Table</t>
        </is>
      </c>
      <c r="K1" s="3" t="inlineStr">
        <is>
          <t>Year</t>
        </is>
      </c>
      <c r="L1" s="3" t="inlineStr">
        <is>
          <t>Question / variable</t>
        </is>
      </c>
    </row>
    <row r="2" ht="60" customHeight="1" s="34">
      <c r="A2" t="inlineStr">
        <is>
          <t>United States</t>
        </is>
      </c>
      <c r="B2" s="6" t="n">
        <v>22026372</v>
      </c>
      <c r="C2" s="6" t="n">
        <v>165360450</v>
      </c>
      <c r="D2" s="7" t="n">
        <v>13.3</v>
      </c>
      <c r="E2" s="8" t="n">
        <v>13.3202177425134</v>
      </c>
      <c r="F2" s="38" t="inlineStr">
        <is>
          <t>https://api.censusreporter.org/1.0/data/show/latest?table_ids=B08301&amp;geo_ids=040%7C01000US,01000US</t>
        </is>
      </c>
      <c r="G2" s="38" t="inlineStr">
        <is>
          <t>https://data.census.gov/table/ACSDT1Y2024.B08301</t>
        </is>
      </c>
      <c r="H2" t="inlineStr">
        <is>
          <t>U.S. Census Bureau</t>
        </is>
      </c>
      <c r="I2" t="inlineStr">
        <is>
          <t>American Community Survey (ACS) 1-Year Estimates Detailed Tables</t>
        </is>
      </c>
      <c r="J2" t="inlineStr">
        <is>
          <t>B08301 Means of Transportation to Work</t>
        </is>
      </c>
      <c r="K2" t="inlineStr">
        <is>
          <t>2024</t>
        </is>
      </c>
      <c r="L2" s="38" t="inlineStr">
        <is>
          <t>B08301_021E Worked from home / B08301_001E Total; universe = Workers 16 years and over; usually worked from home as means of transportation to work (journey-to-work)</t>
        </is>
      </c>
    </row>
  </sheetData>
  <autoFilter ref="A1:L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4.5"/>
  <cols>
    <col width="14" customWidth="1" style="34" min="1" max="1"/>
    <col width="22" customWidth="1" style="34" min="2" max="2"/>
    <col width="18" customWidth="1" style="34" min="3" max="3"/>
    <col width="22" customWidth="1" style="34" min="4" max="4"/>
    <col width="18" customWidth="1" style="34" min="5" max="5"/>
    <col width="16" customWidth="1" style="34" min="6" max="6"/>
    <col width="55" customWidth="1" style="34" min="7" max="7"/>
    <col width="45" customWidth="1" style="34" min="8" max="8"/>
  </cols>
  <sheetData>
    <row r="1" ht="29" customHeight="1" s="34">
      <c r="A1" s="3" t="inlineStr">
        <is>
          <t>Rank (by WFH rate)</t>
        </is>
      </c>
      <c r="B1" s="3" t="inlineStr">
        <is>
          <t>State / DC</t>
        </is>
      </c>
      <c r="C1" s="3" t="inlineStr">
        <is>
          <t>Usually WFH % (exhibit, 1 decimal)</t>
        </is>
      </c>
      <c r="D1" s="3" t="inlineStr">
        <is>
          <t>Usually WFH % (full precision)</t>
        </is>
      </c>
      <c r="E1" s="3" t="inlineStr">
        <is>
          <t>Workers 16+ (base)</t>
        </is>
      </c>
      <c r="F1" s="3" t="inlineStr">
        <is>
          <t>Worked from home</t>
        </is>
      </c>
      <c r="G1" s="3" t="inlineStr">
        <is>
          <t>Source URL</t>
        </is>
      </c>
      <c r="H1" s="3" t="inlineStr">
        <is>
          <t>Secondary URL</t>
        </is>
      </c>
    </row>
    <row r="2">
      <c r="A2" t="n">
        <v>1</v>
      </c>
      <c r="B2" t="inlineStr">
        <is>
          <t>D.C.</t>
        </is>
      </c>
      <c r="C2" s="7" t="n">
        <v>22.9</v>
      </c>
      <c r="D2" s="8" t="n">
        <v>22.85951316033555</v>
      </c>
      <c r="E2" s="6" t="n">
        <v>388136</v>
      </c>
      <c r="F2" s="6" t="n">
        <v>88726</v>
      </c>
      <c r="G2" t="inlineStr">
        <is>
          <t>https://api.censusreporter.org/1.0/data/show/latest?table_ids=B08301&amp;geo_ids=040%7C01000US,01000US</t>
        </is>
      </c>
      <c r="H2" t="inlineStr">
        <is>
          <t>https://data.census.gov/table/ACSDT1Y2024.B08301</t>
        </is>
      </c>
    </row>
    <row r="3">
      <c r="A3" t="n">
        <v>2</v>
      </c>
      <c r="B3" t="inlineStr">
        <is>
          <t>Colorado</t>
        </is>
      </c>
      <c r="C3" s="7" t="n">
        <v>19.9</v>
      </c>
      <c r="D3" s="8" t="n">
        <v>19.87205756714894</v>
      </c>
      <c r="E3" s="6" t="n">
        <v>3167362</v>
      </c>
      <c r="F3" s="6" t="n">
        <v>629420</v>
      </c>
      <c r="G3" t="inlineStr">
        <is>
          <t>https://api.censusreporter.org/1.0/data/show/latest?table_ids=B08301&amp;geo_ids=040%7C01000US,01000US</t>
        </is>
      </c>
      <c r="H3" t="inlineStr">
        <is>
          <t>https://data.census.gov/table/ACSDT1Y2024.B08301</t>
        </is>
      </c>
    </row>
    <row r="4">
      <c r="A4" t="n">
        <v>3</v>
      </c>
      <c r="B4" t="inlineStr">
        <is>
          <t>Oregon</t>
        </is>
      </c>
      <c r="C4" s="7" t="n">
        <v>17.1</v>
      </c>
      <c r="D4" s="8" t="n">
        <v>17.06258878502426</v>
      </c>
      <c r="E4" s="6" t="n">
        <v>2080165</v>
      </c>
      <c r="F4" s="6" t="n">
        <v>354930</v>
      </c>
      <c r="G4" t="inlineStr">
        <is>
          <t>https://api.censusreporter.org/1.0/data/show/latest?table_ids=B08301&amp;geo_ids=040%7C01000US,01000US</t>
        </is>
      </c>
      <c r="H4" t="inlineStr">
        <is>
          <t>https://data.census.gov/table/ACSDT1Y2024.B08301</t>
        </is>
      </c>
    </row>
    <row r="5">
      <c r="A5" t="n">
        <v>4</v>
      </c>
      <c r="B5" t="inlineStr">
        <is>
          <t>Washington</t>
        </is>
      </c>
      <c r="C5" s="7" t="n">
        <v>16.4</v>
      </c>
      <c r="D5" s="8" t="n">
        <v>16.41353585154654</v>
      </c>
      <c r="E5" s="6" t="n">
        <v>3932815</v>
      </c>
      <c r="F5" s="6" t="n">
        <v>645514</v>
      </c>
      <c r="G5" t="inlineStr">
        <is>
          <t>https://api.censusreporter.org/1.0/data/show/latest?table_ids=B08301&amp;geo_ids=040%7C01000US,01000US</t>
        </is>
      </c>
      <c r="H5" t="inlineStr">
        <is>
          <t>https://data.census.gov/table/ACSDT1Y2024.B08301</t>
        </is>
      </c>
    </row>
    <row r="6">
      <c r="A6" t="n">
        <v>5</v>
      </c>
      <c r="B6" t="inlineStr">
        <is>
          <t>Arizona</t>
        </is>
      </c>
      <c r="C6" s="7" t="n">
        <v>16.3</v>
      </c>
      <c r="D6" s="8" t="n">
        <v>16.3020542432196</v>
      </c>
      <c r="E6" s="6" t="n">
        <v>3571875</v>
      </c>
      <c r="F6" s="6" t="n">
        <v>582289</v>
      </c>
      <c r="G6" t="inlineStr">
        <is>
          <t>https://api.censusreporter.org/1.0/data/show/latest?table_ids=B08301&amp;geo_ids=040%7C01000US,01000US</t>
        </is>
      </c>
      <c r="H6" t="inlineStr">
        <is>
          <t>https://data.census.gov/table/ACSDT1Y2024.B08301</t>
        </is>
      </c>
    </row>
    <row r="7">
      <c r="A7" t="n">
        <v>6</v>
      </c>
      <c r="B7" t="inlineStr">
        <is>
          <t>New Hampshire</t>
        </is>
      </c>
      <c r="C7" s="7" t="n">
        <v>16</v>
      </c>
      <c r="D7" s="8" t="n">
        <v>16.03909321769803</v>
      </c>
      <c r="E7" s="6" t="n">
        <v>754095</v>
      </c>
      <c r="F7" s="6" t="n">
        <v>120950</v>
      </c>
      <c r="G7" t="inlineStr">
        <is>
          <t>https://api.censusreporter.org/1.0/data/show/latest?table_ids=B08301&amp;geo_ids=040%7C01000US,01000US</t>
        </is>
      </c>
      <c r="H7" t="inlineStr">
        <is>
          <t>https://data.census.gov/table/ACSDT1Y2024.B08301</t>
        </is>
      </c>
    </row>
    <row r="8">
      <c r="A8" t="n">
        <v>7</v>
      </c>
      <c r="B8" t="inlineStr">
        <is>
          <t>Vermont</t>
        </is>
      </c>
      <c r="C8" s="7" t="n">
        <v>16</v>
      </c>
      <c r="D8" s="8" t="n">
        <v>15.96082979754232</v>
      </c>
      <c r="E8" s="6" t="n">
        <v>340565</v>
      </c>
      <c r="F8" s="6" t="n">
        <v>54357</v>
      </c>
      <c r="G8" t="inlineStr">
        <is>
          <t>https://api.censusreporter.org/1.0/data/show/latest?table_ids=B08301&amp;geo_ids=040%7C01000US,01000US</t>
        </is>
      </c>
      <c r="H8" t="inlineStr">
        <is>
          <t>https://data.census.gov/table/ACSDT1Y2024.B08301</t>
        </is>
      </c>
    </row>
    <row r="9">
      <c r="A9" t="n">
        <v>8</v>
      </c>
      <c r="B9" t="inlineStr">
        <is>
          <t>Virginia</t>
        </is>
      </c>
      <c r="C9" s="7" t="n">
        <v>15.8</v>
      </c>
      <c r="D9" s="8" t="n">
        <v>15.81802209767022</v>
      </c>
      <c r="E9" s="6" t="n">
        <v>4445265</v>
      </c>
      <c r="F9" s="6" t="n">
        <v>703153</v>
      </c>
      <c r="G9" t="inlineStr">
        <is>
          <t>https://api.censusreporter.org/1.0/data/show/latest?table_ids=B08301&amp;geo_ids=040%7C01000US,01000US</t>
        </is>
      </c>
      <c r="H9" t="inlineStr">
        <is>
          <t>https://data.census.gov/table/ACSDT1Y2024.B08301</t>
        </is>
      </c>
    </row>
    <row r="10">
      <c r="A10" t="n">
        <v>9</v>
      </c>
      <c r="B10" t="inlineStr">
        <is>
          <t>Utah</t>
        </is>
      </c>
      <c r="C10" s="7" t="n">
        <v>15.7</v>
      </c>
      <c r="D10" s="8" t="n">
        <v>15.69297075863595</v>
      </c>
      <c r="E10" s="6" t="n">
        <v>1771258</v>
      </c>
      <c r="F10" s="6" t="n">
        <v>277963</v>
      </c>
      <c r="G10" t="inlineStr">
        <is>
          <t>https://api.censusreporter.org/1.0/data/show/latest?table_ids=B08301&amp;geo_ids=040%7C01000US,01000US</t>
        </is>
      </c>
      <c r="H10" t="inlineStr">
        <is>
          <t>https://data.census.gov/table/ACSDT1Y2024.B08301</t>
        </is>
      </c>
    </row>
    <row r="11">
      <c r="A11" t="n">
        <v>10</v>
      </c>
      <c r="B11" t="inlineStr">
        <is>
          <t>Maryland</t>
        </is>
      </c>
      <c r="C11" s="7" t="n">
        <v>15.6</v>
      </c>
      <c r="D11" s="8" t="n">
        <v>15.62963339308274</v>
      </c>
      <c r="E11" s="6" t="n">
        <v>3227926</v>
      </c>
      <c r="F11" s="6" t="n">
        <v>504513</v>
      </c>
      <c r="G11" t="inlineStr">
        <is>
          <t>https://api.censusreporter.org/1.0/data/show/latest?table_ids=B08301&amp;geo_ids=040%7C01000US,01000US</t>
        </is>
      </c>
      <c r="H11" t="inlineStr">
        <is>
          <t>https://data.census.gov/table/ACSDT1Y2024.B08301</t>
        </is>
      </c>
    </row>
    <row r="12">
      <c r="A12" t="n">
        <v>11</v>
      </c>
      <c r="B12" t="inlineStr">
        <is>
          <t>Florida</t>
        </is>
      </c>
      <c r="C12" s="7" t="n">
        <v>15.5</v>
      </c>
      <c r="D12" s="8" t="n">
        <v>15.52614873632195</v>
      </c>
      <c r="E12" s="6" t="n">
        <v>11086922</v>
      </c>
      <c r="F12" s="6" t="n">
        <v>1721372</v>
      </c>
      <c r="G12" t="inlineStr">
        <is>
          <t>https://api.censusreporter.org/1.0/data/show/latest?table_ids=B08301&amp;geo_ids=040%7C01000US,01000US</t>
        </is>
      </c>
      <c r="H12" t="inlineStr">
        <is>
          <t>https://data.census.gov/table/ACSDT1Y2024.B08301</t>
        </is>
      </c>
    </row>
    <row r="13">
      <c r="A13" t="n">
        <v>12</v>
      </c>
      <c r="B13" t="inlineStr">
        <is>
          <t>North Carolina</t>
        </is>
      </c>
      <c r="C13" s="7" t="n">
        <v>15.4</v>
      </c>
      <c r="D13" s="8" t="n">
        <v>15.40536171715129</v>
      </c>
      <c r="E13" s="6" t="n">
        <v>5375927</v>
      </c>
      <c r="F13" s="6" t="n">
        <v>828181</v>
      </c>
      <c r="G13" t="inlineStr">
        <is>
          <t>https://api.censusreporter.org/1.0/data/show/latest?table_ids=B08301&amp;geo_ids=040%7C01000US,01000US</t>
        </is>
      </c>
      <c r="H13" t="inlineStr">
        <is>
          <t>https://data.census.gov/table/ACSDT1Y2024.B08301</t>
        </is>
      </c>
    </row>
    <row r="14">
      <c r="A14" t="n">
        <v>13</v>
      </c>
      <c r="B14" t="inlineStr">
        <is>
          <t>Georgia</t>
        </is>
      </c>
      <c r="C14" s="7" t="n">
        <v>14.9</v>
      </c>
      <c r="D14" s="8" t="n">
        <v>14.8755035751685</v>
      </c>
      <c r="E14" s="6" t="n">
        <v>5402123</v>
      </c>
      <c r="F14" s="6" t="n">
        <v>803593</v>
      </c>
      <c r="G14" t="inlineStr">
        <is>
          <t>https://api.censusreporter.org/1.0/data/show/latest?table_ids=B08301&amp;geo_ids=040%7C01000US,01000US</t>
        </is>
      </c>
      <c r="H14" t="inlineStr">
        <is>
          <t>https://data.census.gov/table/ACSDT1Y2024.B08301</t>
        </is>
      </c>
    </row>
    <row r="15">
      <c r="A15" t="n">
        <v>14</v>
      </c>
      <c r="B15" t="inlineStr">
        <is>
          <t>Massachusetts</t>
        </is>
      </c>
      <c r="C15" s="7" t="n">
        <v>14.8</v>
      </c>
      <c r="D15" s="8" t="n">
        <v>14.835228237253</v>
      </c>
      <c r="E15" s="6" t="n">
        <v>3752433</v>
      </c>
      <c r="F15" s="6" t="n">
        <v>556682</v>
      </c>
      <c r="G15" t="inlineStr">
        <is>
          <t>https://api.censusreporter.org/1.0/data/show/latest?table_ids=B08301&amp;geo_ids=040%7C01000US,01000US</t>
        </is>
      </c>
      <c r="H15" t="inlineStr">
        <is>
          <t>https://data.census.gov/table/ACSDT1Y2024.B08301</t>
        </is>
      </c>
    </row>
    <row r="16">
      <c r="A16" t="n">
        <v>15</v>
      </c>
      <c r="B16" t="inlineStr">
        <is>
          <t>Minnesota</t>
        </is>
      </c>
      <c r="C16" s="7" t="n">
        <v>14.7</v>
      </c>
      <c r="D16" s="8" t="n">
        <v>14.73305767161338</v>
      </c>
      <c r="E16" s="6" t="n">
        <v>3009002</v>
      </c>
      <c r="F16" s="6" t="n">
        <v>443318</v>
      </c>
      <c r="G16" t="inlineStr">
        <is>
          <t>https://api.censusreporter.org/1.0/data/show/latest?table_ids=B08301&amp;geo_ids=040%7C01000US,01000US</t>
        </is>
      </c>
      <c r="H16" t="inlineStr">
        <is>
          <t>https://data.census.gov/table/ACSDT1Y2024.B08301</t>
        </is>
      </c>
    </row>
    <row r="17">
      <c r="A17" t="n">
        <v>16</v>
      </c>
      <c r="B17" t="inlineStr">
        <is>
          <t>Maine</t>
        </is>
      </c>
      <c r="C17" s="7" t="n">
        <v>14.7</v>
      </c>
      <c r="D17" s="8" t="n">
        <v>14.67232472429781</v>
      </c>
      <c r="E17" s="6" t="n">
        <v>702479</v>
      </c>
      <c r="F17" s="6" t="n">
        <v>103070</v>
      </c>
      <c r="G17" t="inlineStr">
        <is>
          <t>https://api.censusreporter.org/1.0/data/show/latest?table_ids=B08301&amp;geo_ids=040%7C01000US,01000US</t>
        </is>
      </c>
      <c r="H17" t="inlineStr">
        <is>
          <t>https://data.census.gov/table/ACSDT1Y2024.B08301</t>
        </is>
      </c>
    </row>
    <row r="18">
      <c r="A18" t="n">
        <v>17</v>
      </c>
      <c r="B18" t="inlineStr">
        <is>
          <t>California</t>
        </is>
      </c>
      <c r="C18" s="7" t="n">
        <v>14.1</v>
      </c>
      <c r="D18" s="8" t="n">
        <v>14.14278886638294</v>
      </c>
      <c r="E18" s="6" t="n">
        <v>18893770</v>
      </c>
      <c r="F18" s="6" t="n">
        <v>2672106</v>
      </c>
      <c r="G18" t="inlineStr">
        <is>
          <t>https://api.censusreporter.org/1.0/data/show/latest?table_ids=B08301&amp;geo_ids=040%7C01000US,01000US</t>
        </is>
      </c>
      <c r="H18" t="inlineStr">
        <is>
          <t>https://data.census.gov/table/ACSDT1Y2024.B08301</t>
        </is>
      </c>
    </row>
    <row r="19">
      <c r="A19" t="n">
        <v>18</v>
      </c>
      <c r="B19" t="inlineStr">
        <is>
          <t>Pennsylvania</t>
        </is>
      </c>
      <c r="C19" s="7" t="n">
        <v>13.8</v>
      </c>
      <c r="D19" s="8" t="n">
        <v>13.82743087606819</v>
      </c>
      <c r="E19" s="6" t="n">
        <v>6390587</v>
      </c>
      <c r="F19" s="6" t="n">
        <v>883654</v>
      </c>
      <c r="G19" t="inlineStr">
        <is>
          <t>https://api.censusreporter.org/1.0/data/show/latest?table_ids=B08301&amp;geo_ids=040%7C01000US,01000US</t>
        </is>
      </c>
      <c r="H19" t="inlineStr">
        <is>
          <t>https://data.census.gov/table/ACSDT1Y2024.B08301</t>
        </is>
      </c>
    </row>
    <row r="20">
      <c r="A20" t="n">
        <v>19</v>
      </c>
      <c r="B20" t="inlineStr">
        <is>
          <t>Illinois</t>
        </is>
      </c>
      <c r="C20" s="7" t="n">
        <v>13.6</v>
      </c>
      <c r="D20" s="8" t="n">
        <v>13.57742472678494</v>
      </c>
      <c r="E20" s="6" t="n">
        <v>6314165</v>
      </c>
      <c r="F20" s="6" t="n">
        <v>857301</v>
      </c>
      <c r="G20" t="inlineStr">
        <is>
          <t>https://api.censusreporter.org/1.0/data/show/latest?table_ids=B08301&amp;geo_ids=040%7C01000US,01000US</t>
        </is>
      </c>
      <c r="H20" t="inlineStr">
        <is>
          <t>https://data.census.gov/table/ACSDT1Y2024.B08301</t>
        </is>
      </c>
    </row>
    <row r="21">
      <c r="A21" t="n">
        <v>20</v>
      </c>
      <c r="B21" t="inlineStr">
        <is>
          <t>New Jersey</t>
        </is>
      </c>
      <c r="C21" s="7" t="n">
        <v>13.5</v>
      </c>
      <c r="D21" s="8" t="n">
        <v>13.50596040089432</v>
      </c>
      <c r="E21" s="6" t="n">
        <v>4772330</v>
      </c>
      <c r="F21" s="6" t="n">
        <v>644549</v>
      </c>
      <c r="G21" t="inlineStr">
        <is>
          <t>https://api.censusreporter.org/1.0/data/show/latest?table_ids=B08301&amp;geo_ids=040%7C01000US,01000US</t>
        </is>
      </c>
      <c r="H21" t="inlineStr">
        <is>
          <t>https://data.census.gov/table/ACSDT1Y2024.B08301</t>
        </is>
      </c>
    </row>
    <row r="22">
      <c r="A22" t="n">
        <v>21</v>
      </c>
      <c r="B22" t="inlineStr">
        <is>
          <t>Connecticut</t>
        </is>
      </c>
      <c r="C22" s="7" t="n">
        <v>13.4</v>
      </c>
      <c r="D22" s="8" t="n">
        <v>13.37001730698233</v>
      </c>
      <c r="E22" s="6" t="n">
        <v>1874388</v>
      </c>
      <c r="F22" s="6" t="n">
        <v>250606</v>
      </c>
      <c r="G22" t="inlineStr">
        <is>
          <t>https://api.censusreporter.org/1.0/data/show/latest?table_ids=B08301&amp;geo_ids=040%7C01000US,01000US</t>
        </is>
      </c>
      <c r="H22" t="inlineStr">
        <is>
          <t>https://data.census.gov/table/ACSDT1Y2024.B08301</t>
        </is>
      </c>
    </row>
    <row r="23">
      <c r="A23" t="n">
        <v>22</v>
      </c>
      <c r="B23" t="inlineStr">
        <is>
          <t>Texas</t>
        </is>
      </c>
      <c r="C23" s="7" t="n">
        <v>12.9</v>
      </c>
      <c r="D23" s="8" t="n">
        <v>12.92974906551973</v>
      </c>
      <c r="E23" s="6" t="n">
        <v>15130603</v>
      </c>
      <c r="F23" s="6" t="n">
        <v>1956349</v>
      </c>
      <c r="G23" t="inlineStr">
        <is>
          <t>https://api.censusreporter.org/1.0/data/show/latest?table_ids=B08301&amp;geo_ids=040%7C01000US,01000US</t>
        </is>
      </c>
      <c r="H23" t="inlineStr">
        <is>
          <t>https://data.census.gov/table/ACSDT1Y2024.B08301</t>
        </is>
      </c>
    </row>
    <row r="24">
      <c r="A24" t="n">
        <v>23</v>
      </c>
      <c r="B24" t="inlineStr">
        <is>
          <t>Delaware</t>
        </is>
      </c>
      <c r="C24" s="7" t="n">
        <v>12.9</v>
      </c>
      <c r="D24" s="8" t="n">
        <v>12.88963504816725</v>
      </c>
      <c r="E24" s="6" t="n">
        <v>500340</v>
      </c>
      <c r="F24" s="6" t="n">
        <v>64492</v>
      </c>
      <c r="G24" t="inlineStr">
        <is>
          <t>https://api.censusreporter.org/1.0/data/show/latest?table_ids=B08301&amp;geo_ids=040%7C01000US,01000US</t>
        </is>
      </c>
      <c r="H24" t="inlineStr">
        <is>
          <t>https://data.census.gov/table/ACSDT1Y2024.B08301</t>
        </is>
      </c>
    </row>
    <row r="25">
      <c r="A25" t="n">
        <v>24</v>
      </c>
      <c r="B25" t="inlineStr">
        <is>
          <t>Idaho</t>
        </is>
      </c>
      <c r="C25" s="7" t="n">
        <v>12.7</v>
      </c>
      <c r="D25" s="8" t="n">
        <v>12.70697572801257</v>
      </c>
      <c r="E25" s="6" t="n">
        <v>952044</v>
      </c>
      <c r="F25" s="6" t="n">
        <v>120976</v>
      </c>
      <c r="G25" t="inlineStr">
        <is>
          <t>https://api.censusreporter.org/1.0/data/show/latest?table_ids=B08301&amp;geo_ids=040%7C01000US,01000US</t>
        </is>
      </c>
      <c r="H25" t="inlineStr">
        <is>
          <t>https://data.census.gov/table/ACSDT1Y2024.B08301</t>
        </is>
      </c>
    </row>
    <row r="26">
      <c r="A26" t="n">
        <v>25</v>
      </c>
      <c r="B26" t="inlineStr">
        <is>
          <t>Tennessee</t>
        </is>
      </c>
      <c r="C26" s="7" t="n">
        <v>12.7</v>
      </c>
      <c r="D26" s="8" t="n">
        <v>12.67718356972178</v>
      </c>
      <c r="E26" s="6" t="n">
        <v>3479795</v>
      </c>
      <c r="F26" s="6" t="n">
        <v>441140</v>
      </c>
      <c r="G26" t="inlineStr">
        <is>
          <t>https://api.censusreporter.org/1.0/data/show/latest?table_ids=B08301&amp;geo_ids=040%7C01000US,01000US</t>
        </is>
      </c>
      <c r="H26" t="inlineStr">
        <is>
          <t>https://data.census.gov/table/ACSDT1Y2024.B08301</t>
        </is>
      </c>
    </row>
    <row r="27">
      <c r="A27" t="n">
        <v>26</v>
      </c>
      <c r="B27" t="inlineStr">
        <is>
          <t>South Carolina</t>
        </is>
      </c>
      <c r="C27" s="7" t="n">
        <v>12.3</v>
      </c>
      <c r="D27" s="8" t="n">
        <v>12.3202859790688</v>
      </c>
      <c r="E27" s="6" t="n">
        <v>2571377</v>
      </c>
      <c r="F27" s="6" t="n">
        <v>316801</v>
      </c>
      <c r="G27" t="inlineStr">
        <is>
          <t>https://api.censusreporter.org/1.0/data/show/latest?table_ids=B08301&amp;geo_ids=040%7C01000US,01000US</t>
        </is>
      </c>
      <c r="H27" t="inlineStr">
        <is>
          <t>https://data.census.gov/table/ACSDT1Y2024.B08301</t>
        </is>
      </c>
    </row>
    <row r="28">
      <c r="A28" t="n">
        <v>27</v>
      </c>
      <c r="B28" t="inlineStr">
        <is>
          <t>Ohio</t>
        </is>
      </c>
      <c r="C28" s="7" t="n">
        <v>11.9</v>
      </c>
      <c r="D28" s="8" t="n">
        <v>11.91578982421641</v>
      </c>
      <c r="E28" s="6" t="n">
        <v>5765669</v>
      </c>
      <c r="F28" s="6" t="n">
        <v>687025</v>
      </c>
      <c r="G28" t="inlineStr">
        <is>
          <t>https://api.censusreporter.org/1.0/data/show/latest?table_ids=B08301&amp;geo_ids=040%7C01000US,01000US</t>
        </is>
      </c>
      <c r="H28" t="inlineStr">
        <is>
          <t>https://data.census.gov/table/ACSDT1Y2024.B08301</t>
        </is>
      </c>
    </row>
    <row r="29">
      <c r="A29" t="n">
        <v>28</v>
      </c>
      <c r="B29" t="inlineStr">
        <is>
          <t>Wisconsin</t>
        </is>
      </c>
      <c r="C29" s="7" t="n">
        <v>11.8</v>
      </c>
      <c r="D29" s="8" t="n">
        <v>11.80526735729351</v>
      </c>
      <c r="E29" s="6" t="n">
        <v>3050562</v>
      </c>
      <c r="F29" s="6" t="n">
        <v>360127</v>
      </c>
      <c r="G29" t="inlineStr">
        <is>
          <t>https://api.censusreporter.org/1.0/data/show/latest?table_ids=B08301&amp;geo_ids=040%7C01000US,01000US</t>
        </is>
      </c>
      <c r="H29" t="inlineStr">
        <is>
          <t>https://data.census.gov/table/ACSDT1Y2024.B08301</t>
        </is>
      </c>
    </row>
    <row r="30">
      <c r="A30" t="n">
        <v>29</v>
      </c>
      <c r="B30" t="inlineStr">
        <is>
          <t>Missouri</t>
        </is>
      </c>
      <c r="C30" s="7" t="n">
        <v>11.8</v>
      </c>
      <c r="D30" s="8" t="n">
        <v>11.78992988647522</v>
      </c>
      <c r="E30" s="6" t="n">
        <v>3054047</v>
      </c>
      <c r="F30" s="6" t="n">
        <v>360070</v>
      </c>
      <c r="G30" t="inlineStr">
        <is>
          <t>https://api.censusreporter.org/1.0/data/show/latest?table_ids=B08301&amp;geo_ids=040%7C01000US,01000US</t>
        </is>
      </c>
      <c r="H30" t="inlineStr">
        <is>
          <t>https://data.census.gov/table/ACSDT1Y2024.B08301</t>
        </is>
      </c>
    </row>
    <row r="31">
      <c r="A31" t="n">
        <v>30</v>
      </c>
      <c r="B31" t="inlineStr">
        <is>
          <t>New York</t>
        </is>
      </c>
      <c r="C31" s="7" t="n">
        <v>11.8</v>
      </c>
      <c r="D31" s="8" t="n">
        <v>11.7689727472086</v>
      </c>
      <c r="E31" s="6" t="n">
        <v>9557920</v>
      </c>
      <c r="F31" s="6" t="n">
        <v>1124869</v>
      </c>
      <c r="G31" t="inlineStr">
        <is>
          <t>https://api.censusreporter.org/1.0/data/show/latest?table_ids=B08301&amp;geo_ids=040%7C01000US,01000US</t>
        </is>
      </c>
      <c r="H31" t="inlineStr">
        <is>
          <t>https://data.census.gov/table/ACSDT1Y2024.B08301</t>
        </is>
      </c>
    </row>
    <row r="32">
      <c r="A32" t="n">
        <v>31</v>
      </c>
      <c r="B32" t="inlineStr">
        <is>
          <t>Montana</t>
        </is>
      </c>
      <c r="C32" s="7" t="n">
        <v>11.7</v>
      </c>
      <c r="D32" s="8" t="n">
        <v>11.6851216400121</v>
      </c>
      <c r="E32" s="6" t="n">
        <v>565069</v>
      </c>
      <c r="F32" s="6" t="n">
        <v>66029</v>
      </c>
      <c r="G32" t="inlineStr">
        <is>
          <t>https://api.censusreporter.org/1.0/data/show/latest?table_ids=B08301&amp;geo_ids=040%7C01000US,01000US</t>
        </is>
      </c>
      <c r="H32" t="inlineStr">
        <is>
          <t>https://data.census.gov/table/ACSDT1Y2024.B08301</t>
        </is>
      </c>
    </row>
    <row r="33">
      <c r="A33" t="n">
        <v>32</v>
      </c>
      <c r="B33" t="inlineStr">
        <is>
          <t>Rhode Island</t>
        </is>
      </c>
      <c r="C33" s="7" t="n">
        <v>11.6</v>
      </c>
      <c r="D33" s="8" t="n">
        <v>11.57893806717269</v>
      </c>
      <c r="E33" s="6" t="n">
        <v>565855</v>
      </c>
      <c r="F33" s="6" t="n">
        <v>65520</v>
      </c>
      <c r="G33" t="inlineStr">
        <is>
          <t>https://api.censusreporter.org/1.0/data/show/latest?table_ids=B08301&amp;geo_ids=040%7C01000US,01000US</t>
        </is>
      </c>
      <c r="H33" t="inlineStr">
        <is>
          <t>https://data.census.gov/table/ACSDT1Y2024.B08301</t>
        </is>
      </c>
    </row>
    <row r="34">
      <c r="A34" t="n">
        <v>33</v>
      </c>
      <c r="B34" t="inlineStr">
        <is>
          <t>Nevada</t>
        </is>
      </c>
      <c r="C34" s="7" t="n">
        <v>11.3</v>
      </c>
      <c r="D34" s="8" t="n">
        <v>11.33208478254407</v>
      </c>
      <c r="E34" s="6" t="n">
        <v>1581033</v>
      </c>
      <c r="F34" s="6" t="n">
        <v>179164</v>
      </c>
      <c r="G34" t="inlineStr">
        <is>
          <t>https://api.censusreporter.org/1.0/data/show/latest?table_ids=B08301&amp;geo_ids=040%7C01000US,01000US</t>
        </is>
      </c>
      <c r="H34" t="inlineStr">
        <is>
          <t>https://data.census.gov/table/ACSDT1Y2024.B08301</t>
        </is>
      </c>
    </row>
    <row r="35">
      <c r="A35" t="n">
        <v>34</v>
      </c>
      <c r="B35" t="inlineStr">
        <is>
          <t>Michigan</t>
        </is>
      </c>
      <c r="C35" s="7" t="n">
        <v>11.2</v>
      </c>
      <c r="D35" s="8" t="n">
        <v>11.23113908175998</v>
      </c>
      <c r="E35" s="6" t="n">
        <v>4800270</v>
      </c>
      <c r="F35" s="6" t="n">
        <v>539125</v>
      </c>
      <c r="G35" t="inlineStr">
        <is>
          <t>https://api.censusreporter.org/1.0/data/show/latest?table_ids=B08301&amp;geo_ids=040%7C01000US,01000US</t>
        </is>
      </c>
      <c r="H35" t="inlineStr">
        <is>
          <t>https://data.census.gov/table/ACSDT1Y2024.B08301</t>
        </is>
      </c>
    </row>
    <row r="36">
      <c r="A36" t="n">
        <v>35</v>
      </c>
      <c r="B36" t="inlineStr">
        <is>
          <t>Kansas</t>
        </is>
      </c>
      <c r="C36" s="7" t="n">
        <v>10.3</v>
      </c>
      <c r="D36" s="8" t="n">
        <v>10.27245533620532</v>
      </c>
      <c r="E36" s="6" t="n">
        <v>1494667</v>
      </c>
      <c r="F36" s="6" t="n">
        <v>153539</v>
      </c>
      <c r="G36" t="inlineStr">
        <is>
          <t>https://api.censusreporter.org/1.0/data/show/latest?table_ids=B08301&amp;geo_ids=040%7C01000US,01000US</t>
        </is>
      </c>
      <c r="H36" t="inlineStr">
        <is>
          <t>https://data.census.gov/table/ACSDT1Y2024.B08301</t>
        </is>
      </c>
    </row>
    <row r="37">
      <c r="A37" t="n">
        <v>36</v>
      </c>
      <c r="B37" t="inlineStr">
        <is>
          <t>New Mexico</t>
        </is>
      </c>
      <c r="C37" s="7" t="n">
        <v>10.3</v>
      </c>
      <c r="D37" s="8" t="n">
        <v>10.26659650785199</v>
      </c>
      <c r="E37" s="6" t="n">
        <v>954026</v>
      </c>
      <c r="F37" s="6" t="n">
        <v>97946</v>
      </c>
      <c r="G37" t="inlineStr">
        <is>
          <t>https://api.censusreporter.org/1.0/data/show/latest?table_ids=B08301&amp;geo_ids=040%7C01000US,01000US</t>
        </is>
      </c>
      <c r="H37" t="inlineStr">
        <is>
          <t>https://data.census.gov/table/ACSDT1Y2024.B08301</t>
        </is>
      </c>
    </row>
    <row r="38">
      <c r="A38" t="n">
        <v>37</v>
      </c>
      <c r="B38" t="inlineStr">
        <is>
          <t>Iowa</t>
        </is>
      </c>
      <c r="C38" s="7" t="n">
        <v>9.9</v>
      </c>
      <c r="D38" s="8" t="n">
        <v>9.866779653619826</v>
      </c>
      <c r="E38" s="6" t="n">
        <v>1649748</v>
      </c>
      <c r="F38" s="6" t="n">
        <v>162777</v>
      </c>
      <c r="G38" t="inlineStr">
        <is>
          <t>https://api.censusreporter.org/1.0/data/show/latest?table_ids=B08301&amp;geo_ids=040%7C01000US,01000US</t>
        </is>
      </c>
      <c r="H38" t="inlineStr">
        <is>
          <t>https://data.census.gov/table/ACSDT1Y2024.B08301</t>
        </is>
      </c>
    </row>
    <row r="39">
      <c r="A39" t="n">
        <v>38</v>
      </c>
      <c r="B39" t="inlineStr">
        <is>
          <t>Nebraska</t>
        </is>
      </c>
      <c r="C39" s="7" t="n">
        <v>9.699999999999999</v>
      </c>
      <c r="D39" s="8" t="n">
        <v>9.739549050984147</v>
      </c>
      <c r="E39" s="6" t="n">
        <v>1036126</v>
      </c>
      <c r="F39" s="6" t="n">
        <v>100914</v>
      </c>
      <c r="G39" t="inlineStr">
        <is>
          <t>https://api.censusreporter.org/1.0/data/show/latest?table_ids=B08301&amp;geo_ids=040%7C01000US,01000US</t>
        </is>
      </c>
      <c r="H39" t="inlineStr">
        <is>
          <t>https://data.census.gov/table/ACSDT1Y2024.B08301</t>
        </is>
      </c>
    </row>
    <row r="40">
      <c r="A40" t="n">
        <v>39</v>
      </c>
      <c r="B40" t="inlineStr">
        <is>
          <t>Wyoming</t>
        </is>
      </c>
      <c r="C40" s="7" t="n">
        <v>9.699999999999999</v>
      </c>
      <c r="D40" s="8" t="n">
        <v>9.72433202224332</v>
      </c>
      <c r="E40" s="6" t="n">
        <v>294920</v>
      </c>
      <c r="F40" s="6" t="n">
        <v>28679</v>
      </c>
      <c r="G40" t="inlineStr">
        <is>
          <t>https://api.censusreporter.org/1.0/data/show/latest?table_ids=B08301&amp;geo_ids=040%7C01000US,01000US</t>
        </is>
      </c>
      <c r="H40" t="inlineStr">
        <is>
          <t>https://data.census.gov/table/ACSDT1Y2024.B08301</t>
        </is>
      </c>
    </row>
    <row r="41">
      <c r="A41" t="n">
        <v>40</v>
      </c>
      <c r="B41" t="inlineStr">
        <is>
          <t>Indiana</t>
        </is>
      </c>
      <c r="C41" s="7" t="n">
        <v>9.6</v>
      </c>
      <c r="D41" s="8" t="n">
        <v>9.636304682000544</v>
      </c>
      <c r="E41" s="6" t="n">
        <v>3355446</v>
      </c>
      <c r="F41" s="6" t="n">
        <v>323341</v>
      </c>
      <c r="G41" t="inlineStr">
        <is>
          <t>https://api.censusreporter.org/1.0/data/show/latest?table_ids=B08301&amp;geo_ids=040%7C01000US,01000US</t>
        </is>
      </c>
      <c r="H41" t="inlineStr">
        <is>
          <t>https://data.census.gov/table/ACSDT1Y2024.B08301</t>
        </is>
      </c>
    </row>
    <row r="42">
      <c r="A42" t="n">
        <v>41</v>
      </c>
      <c r="B42" t="inlineStr">
        <is>
          <t>Kentucky</t>
        </is>
      </c>
      <c r="C42" s="7" t="n">
        <v>9.5</v>
      </c>
      <c r="D42" s="8" t="n">
        <v>9.483188272489883</v>
      </c>
      <c r="E42" s="6" t="n">
        <v>2078668</v>
      </c>
      <c r="F42" s="6" t="n">
        <v>197124</v>
      </c>
      <c r="G42" t="inlineStr">
        <is>
          <t>https://api.censusreporter.org/1.0/data/show/latest?table_ids=B08301&amp;geo_ids=040%7C01000US,01000US</t>
        </is>
      </c>
      <c r="H42" t="inlineStr">
        <is>
          <t>https://data.census.gov/table/ACSDT1Y2024.B08301</t>
        </is>
      </c>
    </row>
    <row r="43">
      <c r="A43" t="n">
        <v>42</v>
      </c>
      <c r="B43" t="inlineStr">
        <is>
          <t>Oklahoma</t>
        </is>
      </c>
      <c r="C43" s="7" t="n">
        <v>8.9</v>
      </c>
      <c r="D43" s="8" t="n">
        <v>8.927082822537145</v>
      </c>
      <c r="E43" s="6" t="n">
        <v>1876156</v>
      </c>
      <c r="F43" s="6" t="n">
        <v>167486</v>
      </c>
      <c r="G43" t="inlineStr">
        <is>
          <t>https://api.censusreporter.org/1.0/data/show/latest?table_ids=B08301&amp;geo_ids=040%7C01000US,01000US</t>
        </is>
      </c>
      <c r="H43" t="inlineStr">
        <is>
          <t>https://data.census.gov/table/ACSDT1Y2024.B08301</t>
        </is>
      </c>
    </row>
    <row r="44">
      <c r="A44" t="n">
        <v>43</v>
      </c>
      <c r="B44" t="inlineStr">
        <is>
          <t>Hawaii</t>
        </is>
      </c>
      <c r="C44" s="7" t="n">
        <v>8.9</v>
      </c>
      <c r="D44" s="8" t="n">
        <v>8.874679378937115</v>
      </c>
      <c r="E44" s="6" t="n">
        <v>716578</v>
      </c>
      <c r="F44" s="6" t="n">
        <v>63594</v>
      </c>
      <c r="G44" t="inlineStr">
        <is>
          <t>https://api.censusreporter.org/1.0/data/show/latest?table_ids=B08301&amp;geo_ids=040%7C01000US,01000US</t>
        </is>
      </c>
      <c r="H44" t="inlineStr">
        <is>
          <t>https://data.census.gov/table/ACSDT1Y2024.B08301</t>
        </is>
      </c>
    </row>
    <row r="45">
      <c r="A45" t="n">
        <v>44</v>
      </c>
      <c r="B45" t="inlineStr">
        <is>
          <t>West Virginia</t>
        </is>
      </c>
      <c r="C45" s="7" t="n">
        <v>8.800000000000001</v>
      </c>
      <c r="D45" s="8" t="n">
        <v>8.810796006667843</v>
      </c>
      <c r="E45" s="6" t="n">
        <v>759466</v>
      </c>
      <c r="F45" s="6" t="n">
        <v>66915</v>
      </c>
      <c r="G45" t="inlineStr">
        <is>
          <t>https://api.censusreporter.org/1.0/data/show/latest?table_ids=B08301&amp;geo_ids=040%7C01000US,01000US</t>
        </is>
      </c>
      <c r="H45" t="inlineStr">
        <is>
          <t>https://data.census.gov/table/ACSDT1Y2024.B08301</t>
        </is>
      </c>
    </row>
    <row r="46">
      <c r="A46" t="n">
        <v>45</v>
      </c>
      <c r="B46" t="inlineStr">
        <is>
          <t>Arkansas</t>
        </is>
      </c>
      <c r="C46" s="7" t="n">
        <v>8.6</v>
      </c>
      <c r="D46" s="8" t="n">
        <v>8.586016658854073</v>
      </c>
      <c r="E46" s="6" t="n">
        <v>1386650</v>
      </c>
      <c r="F46" s="6" t="n">
        <v>119058</v>
      </c>
      <c r="G46" t="inlineStr">
        <is>
          <t>https://api.censusreporter.org/1.0/data/show/latest?table_ids=B08301&amp;geo_ids=040%7C01000US,01000US</t>
        </is>
      </c>
      <c r="H46" t="inlineStr">
        <is>
          <t>https://data.census.gov/table/ACSDT1Y2024.B08301</t>
        </is>
      </c>
    </row>
    <row r="47">
      <c r="A47" t="n">
        <v>46</v>
      </c>
      <c r="B47" t="inlineStr">
        <is>
          <t>Alaska</t>
        </is>
      </c>
      <c r="C47" s="7" t="n">
        <v>8.4</v>
      </c>
      <c r="D47" s="8" t="n">
        <v>8.419456162305964</v>
      </c>
      <c r="E47" s="6" t="n">
        <v>361983</v>
      </c>
      <c r="F47" s="6" t="n">
        <v>30477</v>
      </c>
      <c r="G47" t="inlineStr">
        <is>
          <t>https://api.censusreporter.org/1.0/data/show/latest?table_ids=B08301&amp;geo_ids=040%7C01000US,01000US</t>
        </is>
      </c>
      <c r="H47" t="inlineStr">
        <is>
          <t>https://data.census.gov/table/ACSDT1Y2024.B08301</t>
        </is>
      </c>
    </row>
    <row r="48">
      <c r="A48" t="n">
        <v>47</v>
      </c>
      <c r="B48" t="inlineStr">
        <is>
          <t>Alabama</t>
        </is>
      </c>
      <c r="C48" s="7" t="n">
        <v>8.300000000000001</v>
      </c>
      <c r="D48" s="8" t="n">
        <v>8.33751814314072</v>
      </c>
      <c r="E48" s="6" t="n">
        <v>2323881</v>
      </c>
      <c r="F48" s="6" t="n">
        <v>193754</v>
      </c>
      <c r="G48" t="inlineStr">
        <is>
          <t>https://api.censusreporter.org/1.0/data/show/latest?table_ids=B08301&amp;geo_ids=040%7C01000US,01000US</t>
        </is>
      </c>
      <c r="H48" t="inlineStr">
        <is>
          <t>https://data.census.gov/table/ACSDT1Y2024.B08301</t>
        </is>
      </c>
    </row>
    <row r="49">
      <c r="A49" t="n">
        <v>48</v>
      </c>
      <c r="B49" t="inlineStr">
        <is>
          <t>South Dakota</t>
        </is>
      </c>
      <c r="C49" s="7" t="n">
        <v>8</v>
      </c>
      <c r="D49" s="8" t="n">
        <v>8.038654123757913</v>
      </c>
      <c r="E49" s="6" t="n">
        <v>475913</v>
      </c>
      <c r="F49" s="6" t="n">
        <v>38257</v>
      </c>
      <c r="G49" t="inlineStr">
        <is>
          <t>https://api.censusreporter.org/1.0/data/show/latest?table_ids=B08301&amp;geo_ids=040%7C01000US,01000US</t>
        </is>
      </c>
      <c r="H49" t="inlineStr">
        <is>
          <t>https://data.census.gov/table/ACSDT1Y2024.B08301</t>
        </is>
      </c>
    </row>
    <row r="50">
      <c r="A50" t="n">
        <v>49</v>
      </c>
      <c r="B50" t="inlineStr">
        <is>
          <t>Louisiana</t>
        </is>
      </c>
      <c r="C50" s="7" t="n">
        <v>8</v>
      </c>
      <c r="D50" s="8" t="n">
        <v>7.994403286380841</v>
      </c>
      <c r="E50" s="6" t="n">
        <v>2043342</v>
      </c>
      <c r="F50" s="6" t="n">
        <v>163353</v>
      </c>
      <c r="G50" t="inlineStr">
        <is>
          <t>https://api.censusreporter.org/1.0/data/show/latest?table_ids=B08301&amp;geo_ids=040%7C01000US,01000US</t>
        </is>
      </c>
      <c r="H50" t="inlineStr">
        <is>
          <t>https://data.census.gov/table/ACSDT1Y2024.B08301</t>
        </is>
      </c>
    </row>
    <row r="51">
      <c r="A51" t="n">
        <v>50</v>
      </c>
      <c r="B51" t="inlineStr">
        <is>
          <t>North Dakota</t>
        </is>
      </c>
      <c r="C51" s="7" t="n">
        <v>7.1</v>
      </c>
      <c r="D51" s="8" t="n">
        <v>7.090189060661795</v>
      </c>
      <c r="E51" s="6" t="n">
        <v>422457</v>
      </c>
      <c r="F51" s="6" t="n">
        <v>29953</v>
      </c>
      <c r="G51" t="inlineStr">
        <is>
          <t>https://api.censusreporter.org/1.0/data/show/latest?table_ids=B08301&amp;geo_ids=040%7C01000US,01000US</t>
        </is>
      </c>
      <c r="H51" t="inlineStr">
        <is>
          <t>https://data.census.gov/table/ACSDT1Y2024.B08301</t>
        </is>
      </c>
    </row>
    <row r="52">
      <c r="A52" t="n">
        <v>51</v>
      </c>
      <c r="B52" t="inlineStr">
        <is>
          <t>Mississippi</t>
        </is>
      </c>
      <c r="C52" s="7" t="n">
        <v>6.2</v>
      </c>
      <c r="D52" s="8" t="n">
        <v>6.240732393371171</v>
      </c>
      <c r="E52" s="6" t="n">
        <v>1302251</v>
      </c>
      <c r="F52" s="6" t="n">
        <v>81270</v>
      </c>
      <c r="G52" t="inlineStr">
        <is>
          <t>https://api.censusreporter.org/1.0/data/show/latest?table_ids=B08301&amp;geo_ids=040%7C01000US,01000US</t>
        </is>
      </c>
      <c r="H52" t="inlineStr">
        <is>
          <t>https://data.census.gov/table/ACSDT1Y2024.B08301</t>
        </is>
      </c>
    </row>
  </sheetData>
  <autoFilter ref="A1:H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4.5"/>
  <cols>
    <col width="16" customWidth="1" style="34" min="1" max="1"/>
    <col width="48" customWidth="1" style="34" min="2" max="2"/>
    <col width="12" customWidth="1" style="34" min="3" max="3"/>
    <col width="18" customWidth="1" style="34" min="4" max="5"/>
    <col width="16" customWidth="1" style="34" min="6" max="6"/>
    <col width="18" customWidth="1" style="34" min="7" max="7"/>
    <col width="16" customWidth="1" style="34" min="8" max="8"/>
    <col width="12" customWidth="1" style="34" min="9" max="9"/>
    <col width="50" customWidth="1" style="34" min="10" max="11"/>
    <col width="22" customWidth="1" style="34" min="12" max="12"/>
    <col width="8" customWidth="1" style="34" min="13" max="13"/>
    <col width="50" customWidth="1" style="34" min="14" max="14"/>
  </cols>
  <sheetData>
    <row r="1" ht="116" customHeight="1" s="34">
      <c r="A1" s="3" t="inlineStr">
        <is>
          <t>Break type</t>
        </is>
      </c>
      <c r="B1" s="3" t="inlineStr">
        <is>
          <t>Group</t>
        </is>
      </c>
      <c r="C1" s="3" t="inlineStr">
        <is>
          <t>Source table</t>
        </is>
      </c>
      <c r="D1" s="3" t="inlineStr">
        <is>
          <t>Percent who did any work at home on days they worked (% of employed persons who worked on an average day) — exhibit (1 decimal)</t>
        </is>
      </c>
      <c r="E1" s="3" t="inlineStr">
        <is>
          <t>Percent who did any work at home on days they worked (% of employed persons who worked on an average day) — full precision</t>
        </is>
      </c>
      <c r="F1" s="3" t="inlineStr">
        <is>
          <t>Worked at home (000s)</t>
        </is>
      </c>
      <c r="G1" s="3" t="inlineStr">
        <is>
          <t>Worked on average day (000s)</t>
        </is>
      </c>
      <c r="H1" s="3" t="inlineStr">
        <is>
          <t>Total employed (000s)</t>
        </is>
      </c>
      <c r="I1" s="3" t="inlineStr">
        <is>
          <t>Seniority proxy?</t>
        </is>
      </c>
      <c r="J1" s="3" t="inlineStr">
        <is>
          <t>Source URL</t>
        </is>
      </c>
      <c r="K1" s="3" t="inlineStr">
        <is>
          <t>Secondary URL (PDF)</t>
        </is>
      </c>
      <c r="L1" s="3" t="inlineStr">
        <is>
          <t>Agency</t>
        </is>
      </c>
      <c r="M1" s="3" t="inlineStr">
        <is>
          <t>Year</t>
        </is>
      </c>
      <c r="N1" s="3" t="inlineStr">
        <is>
          <t>Notes</t>
        </is>
      </c>
    </row>
    <row r="2" ht="58" customHeight="1" s="34">
      <c r="A2" t="inlineStr">
        <is>
          <t>overall</t>
        </is>
      </c>
      <c r="B2" t="inlineStr">
        <is>
          <t>Total, 15 years and over</t>
        </is>
      </c>
      <c r="C2" t="inlineStr">
        <is>
          <t>Table 6</t>
        </is>
      </c>
      <c r="D2" s="7" t="n">
        <v>32.5</v>
      </c>
      <c r="E2" s="8" t="n">
        <v>32.47701026518392</v>
      </c>
      <c r="F2" s="9" t="n">
        <v>36447</v>
      </c>
      <c r="G2" s="9" t="n">
        <v>112224</v>
      </c>
      <c r="H2" s="9" t="n">
        <v>172537</v>
      </c>
      <c r="I2" t="inlineStr">
        <is>
          <t>No</t>
        </is>
      </c>
      <c r="J2" t="inlineStr">
        <is>
          <t>https://www.bls.gov/news.release/archives/atus_06262025.htm</t>
        </is>
      </c>
      <c r="K2" t="inlineStr">
        <is>
          <t>https://www.bls.gov/news.release/archives/atus_06262025.pdf</t>
        </is>
      </c>
      <c r="L2" t="inlineStr">
        <is>
          <t>U.S. Bureau of Labor Statistics</t>
        </is>
      </c>
      <c r="M2" t="inlineStr">
        <is>
          <t>2024</t>
        </is>
      </c>
      <c r="N2" s="38" t="inlineStr">
        <is>
          <t>Different metric than ACS usually-WFH. Do not mix with ACS state rates in one comparison. Job level (VP vs IC) is not published; occupation and earnings quartiles are seniority proxies only.</t>
        </is>
      </c>
    </row>
    <row r="3" ht="58" customHeight="1" s="34">
      <c r="A3" t="inlineStr">
        <is>
          <t>occupation</t>
        </is>
      </c>
      <c r="B3" t="inlineStr">
        <is>
          <t>Management, business, and financial operations</t>
        </is>
      </c>
      <c r="C3" t="inlineStr">
        <is>
          <t>Table 7</t>
        </is>
      </c>
      <c r="D3" s="7" t="n">
        <v>48.1</v>
      </c>
      <c r="E3" s="8" t="n">
        <v>48.11507936507937</v>
      </c>
      <c r="F3" s="9" t="n">
        <v>10670</v>
      </c>
      <c r="G3" s="9" t="n">
        <v>22176</v>
      </c>
      <c r="H3" s="9" t="n">
        <v>31374</v>
      </c>
      <c r="I3" t="inlineStr">
        <is>
          <t>Yes</t>
        </is>
      </c>
      <c r="J3" t="inlineStr">
        <is>
          <t>https://www.bls.gov/news.release/archives/atus_06262025.htm</t>
        </is>
      </c>
      <c r="K3" t="inlineStr">
        <is>
          <t>https://www.bls.gov/news.release/archives/atus_06262025.pdf</t>
        </is>
      </c>
      <c r="L3" t="inlineStr">
        <is>
          <t>U.S. Bureau of Labor Statistics</t>
        </is>
      </c>
      <c r="M3" t="inlineStr">
        <is>
          <t>2024</t>
        </is>
      </c>
      <c r="N3" s="38" t="inlineStr">
        <is>
          <t>Different metric than ACS usually-WFH. Do not mix with ACS state rates in one comparison. Job level (VP vs IC) is not published; occupation and earnings quartiles are seniority proxies only.</t>
        </is>
      </c>
    </row>
    <row r="4" ht="58" customHeight="1" s="34">
      <c r="A4" t="inlineStr">
        <is>
          <t>occupation</t>
        </is>
      </c>
      <c r="B4" t="inlineStr">
        <is>
          <t>Professional and related</t>
        </is>
      </c>
      <c r="C4" t="inlineStr">
        <is>
          <t>Table 7</t>
        </is>
      </c>
      <c r="D4" s="7" t="n">
        <v>46.5</v>
      </c>
      <c r="E4" s="8" t="n">
        <v>46.4573623882101</v>
      </c>
      <c r="F4" s="9" t="n">
        <v>14753</v>
      </c>
      <c r="G4" s="9" t="n">
        <v>31756</v>
      </c>
      <c r="H4" s="9" t="n">
        <v>48324</v>
      </c>
      <c r="I4" t="inlineStr">
        <is>
          <t>Yes</t>
        </is>
      </c>
      <c r="J4" t="inlineStr">
        <is>
          <t>https://www.bls.gov/news.release/archives/atus_06262025.htm</t>
        </is>
      </c>
      <c r="K4" t="inlineStr">
        <is>
          <t>https://www.bls.gov/news.release/archives/atus_06262025.pdf</t>
        </is>
      </c>
      <c r="L4" t="inlineStr">
        <is>
          <t>U.S. Bureau of Labor Statistics</t>
        </is>
      </c>
      <c r="M4" t="inlineStr">
        <is>
          <t>2024</t>
        </is>
      </c>
      <c r="N4" s="38" t="inlineStr">
        <is>
          <t>Different metric than ACS usually-WFH. Do not mix with ACS state rates in one comparison. Job level (VP vs IC) is not published; occupation and earnings quartiles are seniority proxies only.</t>
        </is>
      </c>
    </row>
    <row r="5" ht="58" customHeight="1" s="34">
      <c r="A5" t="inlineStr">
        <is>
          <t>occupation</t>
        </is>
      </c>
      <c r="B5" t="inlineStr">
        <is>
          <t>Service</t>
        </is>
      </c>
      <c r="C5" t="inlineStr">
        <is>
          <t>Table 7</t>
        </is>
      </c>
      <c r="D5" s="7" t="n">
        <v>10.5</v>
      </c>
      <c r="E5" s="8" t="n">
        <v>10.53669083047183</v>
      </c>
      <c r="F5" s="9" t="n">
        <v>1657</v>
      </c>
      <c r="G5" s="9" t="n">
        <v>15726</v>
      </c>
      <c r="H5" s="9" t="n">
        <v>28485</v>
      </c>
      <c r="I5" t="inlineStr">
        <is>
          <t>Yes</t>
        </is>
      </c>
      <c r="J5" t="inlineStr">
        <is>
          <t>https://www.bls.gov/news.release/archives/atus_06262025.htm</t>
        </is>
      </c>
      <c r="K5" t="inlineStr">
        <is>
          <t>https://www.bls.gov/news.release/archives/atus_06262025.pdf</t>
        </is>
      </c>
      <c r="L5" t="inlineStr">
        <is>
          <t>U.S. Bureau of Labor Statistics</t>
        </is>
      </c>
      <c r="M5" t="inlineStr">
        <is>
          <t>2024</t>
        </is>
      </c>
      <c r="N5" s="38" t="inlineStr">
        <is>
          <t>Different metric than ACS usually-WFH. Do not mix with ACS state rates in one comparison. Job level (VP vs IC) is not published; occupation and earnings quartiles are seniority proxies only.</t>
        </is>
      </c>
    </row>
    <row r="6" ht="58" customHeight="1" s="34">
      <c r="A6" t="inlineStr">
        <is>
          <t>earnings_quartile</t>
        </is>
      </c>
      <c r="B6" t="inlineStr">
        <is>
          <t>$1,971 and higher (highest quartile)</t>
        </is>
      </c>
      <c r="C6" t="inlineStr">
        <is>
          <t>Table 7</t>
        </is>
      </c>
      <c r="D6" s="7" t="n">
        <v>51</v>
      </c>
      <c r="E6" s="8" t="n">
        <v>51.01998657232867</v>
      </c>
      <c r="F6" s="9" t="n">
        <v>9879</v>
      </c>
      <c r="G6" s="9" t="n">
        <v>19363</v>
      </c>
      <c r="H6" s="9" t="n">
        <v>27837</v>
      </c>
      <c r="I6" t="inlineStr">
        <is>
          <t>Yes</t>
        </is>
      </c>
      <c r="J6" t="inlineStr">
        <is>
          <t>https://www.bls.gov/news.release/archives/atus_06262025.htm</t>
        </is>
      </c>
      <c r="K6" t="inlineStr">
        <is>
          <t>https://www.bls.gov/news.release/archives/atus_06262025.pdf</t>
        </is>
      </c>
      <c r="L6" t="inlineStr">
        <is>
          <t>U.S. Bureau of Labor Statistics</t>
        </is>
      </c>
      <c r="M6" t="inlineStr">
        <is>
          <t>2024</t>
        </is>
      </c>
      <c r="N6" s="38" t="inlineStr">
        <is>
          <t>Different metric than ACS usually-WFH. Do not mix with ACS state rates in one comparison. Job level (VP vs IC) is not published; occupation and earnings quartiles are seniority proxies only.</t>
        </is>
      </c>
    </row>
    <row r="7" ht="58" customHeight="1" s="34">
      <c r="A7" t="inlineStr">
        <is>
          <t>earnings_quartile</t>
        </is>
      </c>
      <c r="B7" t="inlineStr">
        <is>
          <t>$0 – $840 (lowest quartile)</t>
        </is>
      </c>
      <c r="C7" t="inlineStr">
        <is>
          <t>Table 7</t>
        </is>
      </c>
      <c r="D7" s="7" t="n">
        <v>13.3</v>
      </c>
      <c r="E7" s="8" t="n">
        <v>13.2919827762969</v>
      </c>
      <c r="F7" s="9" t="n">
        <v>2593</v>
      </c>
      <c r="G7" s="9" t="n">
        <v>19508</v>
      </c>
      <c r="H7" s="9" t="n">
        <v>28317</v>
      </c>
      <c r="I7" t="inlineStr">
        <is>
          <t>Yes</t>
        </is>
      </c>
      <c r="J7" t="inlineStr">
        <is>
          <t>https://www.bls.gov/news.release/archives/atus_06262025.htm</t>
        </is>
      </c>
      <c r="K7" t="inlineStr">
        <is>
          <t>https://www.bls.gov/news.release/archives/atus_06262025.pdf</t>
        </is>
      </c>
      <c r="L7" t="inlineStr">
        <is>
          <t>U.S. Bureau of Labor Statistics</t>
        </is>
      </c>
      <c r="M7" t="inlineStr">
        <is>
          <t>2024</t>
        </is>
      </c>
      <c r="N7" s="38" t="inlineStr">
        <is>
          <t>Different metric than ACS usually-WFH. Do not mix with ACS state rates in one comparison. Job level (VP vs IC) is not published; occupation and earnings quartiles are seniority proxies only.</t>
        </is>
      </c>
    </row>
    <row r="8" ht="58" customHeight="1" s="34">
      <c r="A8" t="inlineStr">
        <is>
          <t>education</t>
        </is>
      </c>
      <c r="B8" t="inlineStr">
        <is>
          <t>Bachelor's degree and higher</t>
        </is>
      </c>
      <c r="C8" t="inlineStr">
        <is>
          <t>Table 6</t>
        </is>
      </c>
      <c r="D8" s="7" t="n">
        <v>50</v>
      </c>
      <c r="E8" s="8" t="n">
        <v>49.99080563104019</v>
      </c>
      <c r="F8" s="9" t="n">
        <v>24467</v>
      </c>
      <c r="G8" s="9" t="n">
        <v>48943</v>
      </c>
      <c r="H8" s="9" t="n">
        <v>71811</v>
      </c>
      <c r="I8" t="inlineStr">
        <is>
          <t>Yes</t>
        </is>
      </c>
      <c r="J8" t="inlineStr">
        <is>
          <t>https://www.bls.gov/news.release/archives/atus_06262025.htm</t>
        </is>
      </c>
      <c r="K8" t="inlineStr">
        <is>
          <t>https://www.bls.gov/news.release/archives/atus_06262025.pdf</t>
        </is>
      </c>
      <c r="L8" t="inlineStr">
        <is>
          <t>U.S. Bureau of Labor Statistics</t>
        </is>
      </c>
      <c r="M8" t="inlineStr">
        <is>
          <t>2024</t>
        </is>
      </c>
      <c r="N8" s="38" t="inlineStr">
        <is>
          <t>Different metric than ACS usually-WFH. Do not mix with ACS state rates in one comparison. Job level (VP vs IC) is not published; occupation and earnings quartiles are seniority proxies only.</t>
        </is>
      </c>
    </row>
    <row r="9" ht="58" customHeight="1" s="34">
      <c r="A9" t="inlineStr">
        <is>
          <t>education</t>
        </is>
      </c>
      <c r="B9" t="inlineStr">
        <is>
          <t>High school graduates, no college</t>
        </is>
      </c>
      <c r="C9" t="inlineStr">
        <is>
          <t>Table 6</t>
        </is>
      </c>
      <c r="D9" s="7" t="n">
        <v>17.8</v>
      </c>
      <c r="E9" s="8" t="n">
        <v>17.80951629448434</v>
      </c>
      <c r="F9" s="9" t="n">
        <v>4514</v>
      </c>
      <c r="G9" s="9" t="n">
        <v>25346</v>
      </c>
      <c r="H9" s="9" t="n">
        <v>38258</v>
      </c>
      <c r="I9" t="inlineStr">
        <is>
          <t>Yes</t>
        </is>
      </c>
      <c r="J9" t="inlineStr">
        <is>
          <t>https://www.bls.gov/news.release/archives/atus_06262025.htm</t>
        </is>
      </c>
      <c r="K9" t="inlineStr">
        <is>
          <t>https://www.bls.gov/news.release/archives/atus_06262025.pdf</t>
        </is>
      </c>
      <c r="L9" t="inlineStr">
        <is>
          <t>U.S. Bureau of Labor Statistics</t>
        </is>
      </c>
      <c r="M9" t="inlineStr">
        <is>
          <t>2024</t>
        </is>
      </c>
      <c r="N9" s="38" t="inlineStr">
        <is>
          <t>Different metric than ACS usually-WFH. Do not mix with ACS state rates in one comparison. Job level (VP vs IC) is not published; occupation and earnings quartiles are seniority proxies only.</t>
        </is>
      </c>
    </row>
    <row r="10" ht="58" customHeight="1" s="34">
      <c r="A10" t="inlineStr">
        <is>
          <t>hours</t>
        </is>
      </c>
      <c r="B10" t="inlineStr">
        <is>
          <t>Full-time workers</t>
        </is>
      </c>
      <c r="C10" t="inlineStr">
        <is>
          <t>Table 6</t>
        </is>
      </c>
      <c r="D10" s="7" t="n">
        <v>33.4</v>
      </c>
      <c r="E10" s="8" t="n">
        <v>33.3802096650473</v>
      </c>
      <c r="F10" s="9" t="n">
        <v>31332</v>
      </c>
      <c r="G10" s="9" t="n">
        <v>93864</v>
      </c>
      <c r="H10" s="9" t="n">
        <v>134979</v>
      </c>
      <c r="I10" t="inlineStr">
        <is>
          <t>No</t>
        </is>
      </c>
      <c r="J10" t="inlineStr">
        <is>
          <t>https://www.bls.gov/news.release/archives/atus_06262025.htm</t>
        </is>
      </c>
      <c r="K10" t="inlineStr">
        <is>
          <t>https://www.bls.gov/news.release/archives/atus_06262025.pdf</t>
        </is>
      </c>
      <c r="L10" t="inlineStr">
        <is>
          <t>U.S. Bureau of Labor Statistics</t>
        </is>
      </c>
      <c r="M10" t="inlineStr">
        <is>
          <t>2024</t>
        </is>
      </c>
      <c r="N10" s="38" t="inlineStr">
        <is>
          <t>Different metric than ACS usually-WFH. Do not mix with ACS state rates in one comparison. Job level (VP vs IC) is not published; occupation and earnings quartiles are seniority proxies only.</t>
        </is>
      </c>
    </row>
    <row r="11" ht="58" customHeight="1" s="34">
      <c r="A11" t="inlineStr">
        <is>
          <t>hours</t>
        </is>
      </c>
      <c r="B11" t="inlineStr">
        <is>
          <t>Part-time workers</t>
        </is>
      </c>
      <c r="C11" t="inlineStr">
        <is>
          <t>Table 6</t>
        </is>
      </c>
      <c r="D11" s="7" t="n">
        <v>27.9</v>
      </c>
      <c r="E11" s="8" t="n">
        <v>27.85251347965797</v>
      </c>
      <c r="F11" s="9" t="n">
        <v>5114</v>
      </c>
      <c r="G11" s="9" t="n">
        <v>18361</v>
      </c>
      <c r="H11" s="9" t="n">
        <v>37558</v>
      </c>
      <c r="I11" t="inlineStr">
        <is>
          <t>No</t>
        </is>
      </c>
      <c r="J11" t="inlineStr">
        <is>
          <t>https://www.bls.gov/news.release/archives/atus_06262025.htm</t>
        </is>
      </c>
      <c r="K11" t="inlineStr">
        <is>
          <t>https://www.bls.gov/news.release/archives/atus_06262025.pdf</t>
        </is>
      </c>
      <c r="L11" t="inlineStr">
        <is>
          <t>U.S. Bureau of Labor Statistics</t>
        </is>
      </c>
      <c r="M11" t="inlineStr">
        <is>
          <t>2024</t>
        </is>
      </c>
      <c r="N11" s="38" t="inlineStr">
        <is>
          <t>Different metric than ACS usually-WFH. Do not mix with ACS state rates in one comparison. Job level (VP vs IC) is not published; occupation and earnings quartiles are seniority proxies only.</t>
        </is>
      </c>
    </row>
    <row r="12" ht="58" customHeight="1" s="34">
      <c r="A12" t="inlineStr">
        <is>
          <t>education</t>
        </is>
      </c>
      <c r="B12" t="inlineStr">
        <is>
          <t>Less than a high school diploma</t>
        </is>
      </c>
      <c r="C12" t="inlineStr">
        <is>
          <t>Table 6</t>
        </is>
      </c>
      <c r="D12" s="7" t="n">
        <v>5</v>
      </c>
      <c r="E12" s="8" t="n">
        <v>5.025505384470055</v>
      </c>
      <c r="F12" s="9" t="n">
        <v>266</v>
      </c>
      <c r="G12" s="9" t="n">
        <v>5293</v>
      </c>
      <c r="H12" s="9" t="n">
        <v>8106</v>
      </c>
      <c r="I12" t="inlineStr">
        <is>
          <t>Yes</t>
        </is>
      </c>
      <c r="J12" t="inlineStr">
        <is>
          <t>https://www.bls.gov/news.release/archives/atus_06262025.htm</t>
        </is>
      </c>
      <c r="K12" t="inlineStr">
        <is>
          <t>https://www.bls.gov/news.release/archives/atus_06262025.pdf</t>
        </is>
      </c>
      <c r="L12" t="inlineStr">
        <is>
          <t>U.S. Bureau of Labor Statistics</t>
        </is>
      </c>
      <c r="M12" t="inlineStr">
        <is>
          <t>2024</t>
        </is>
      </c>
      <c r="N12" s="38" t="inlineStr">
        <is>
          <t>Different metric than ACS usually-WFH. Do not mix with ACS state rates in one comparison. Job level (VP vs IC) is not published; occupation and earnings quartiles are seniority proxies only.</t>
        </is>
      </c>
    </row>
    <row r="13" ht="58" customHeight="1" s="34">
      <c r="A13" t="inlineStr">
        <is>
          <t>education</t>
        </is>
      </c>
      <c r="B13" t="inlineStr">
        <is>
          <t>Some college or associate degree</t>
        </is>
      </c>
      <c r="C13" t="inlineStr">
        <is>
          <t>Table 6</t>
        </is>
      </c>
      <c r="D13" s="7" t="n">
        <v>25.9</v>
      </c>
      <c r="E13" s="8" t="n">
        <v>25.88575560375994</v>
      </c>
      <c r="F13" s="9" t="n">
        <v>5012</v>
      </c>
      <c r="G13" s="9" t="n">
        <v>19362</v>
      </c>
      <c r="H13" s="9" t="n">
        <v>30545</v>
      </c>
      <c r="I13" t="inlineStr">
        <is>
          <t>Yes</t>
        </is>
      </c>
      <c r="J13" t="inlineStr">
        <is>
          <t>https://www.bls.gov/news.release/archives/atus_06262025.htm</t>
        </is>
      </c>
      <c r="K13" t="inlineStr">
        <is>
          <t>https://www.bls.gov/news.release/archives/atus_06262025.pdf</t>
        </is>
      </c>
      <c r="L13" t="inlineStr">
        <is>
          <t>U.S. Bureau of Labor Statistics</t>
        </is>
      </c>
      <c r="M13" t="inlineStr">
        <is>
          <t>2024</t>
        </is>
      </c>
      <c r="N13" s="38" t="inlineStr">
        <is>
          <t>Different metric than ACS usually-WFH. Do not mix with ACS state rates in one comparison. Job level (VP vs IC) is not published; occupation and earnings quartiles are seniority proxies only.</t>
        </is>
      </c>
    </row>
    <row r="14" ht="58" customHeight="1" s="34">
      <c r="A14" t="inlineStr">
        <is>
          <t>education</t>
        </is>
      </c>
      <c r="B14" t="inlineStr">
        <is>
          <t>Bachelor's degree only</t>
        </is>
      </c>
      <c r="C14" t="inlineStr">
        <is>
          <t>Table 6</t>
        </is>
      </c>
      <c r="D14" s="7" t="n">
        <v>46.4</v>
      </c>
      <c r="E14" s="8" t="n">
        <v>46.36592379583034</v>
      </c>
      <c r="F14" s="9" t="n">
        <v>12899</v>
      </c>
      <c r="G14" s="9" t="n">
        <v>27820</v>
      </c>
      <c r="H14" s="9" t="n">
        <v>42196</v>
      </c>
      <c r="I14" t="inlineStr">
        <is>
          <t>Yes</t>
        </is>
      </c>
      <c r="J14" t="inlineStr">
        <is>
          <t>https://www.bls.gov/news.release/archives/atus_06262025.htm</t>
        </is>
      </c>
      <c r="K14" t="inlineStr">
        <is>
          <t>https://www.bls.gov/news.release/archives/atus_06262025.pdf</t>
        </is>
      </c>
      <c r="L14" t="inlineStr">
        <is>
          <t>U.S. Bureau of Labor Statistics</t>
        </is>
      </c>
      <c r="M14" t="inlineStr">
        <is>
          <t>2024</t>
        </is>
      </c>
      <c r="N14" s="38" t="inlineStr">
        <is>
          <t>Different metric than ACS usually-WFH. Do not mix with ACS state rates in one comparison. Job level (VP vs IC) is not published; occupation and earnings quartiles are seniority proxies only.</t>
        </is>
      </c>
    </row>
    <row r="15" ht="58" customHeight="1" s="34">
      <c r="A15" t="inlineStr">
        <is>
          <t>education</t>
        </is>
      </c>
      <c r="B15" t="inlineStr">
        <is>
          <t>Advanced degree</t>
        </is>
      </c>
      <c r="C15" t="inlineStr">
        <is>
          <t>Table 6</t>
        </is>
      </c>
      <c r="D15" s="7" t="n">
        <v>54.8</v>
      </c>
      <c r="E15" s="8" t="n">
        <v>54.76494816077262</v>
      </c>
      <c r="F15" s="9" t="n">
        <v>11568</v>
      </c>
      <c r="G15" s="9" t="n">
        <v>21123</v>
      </c>
      <c r="H15" s="9" t="n">
        <v>29615</v>
      </c>
      <c r="I15" t="inlineStr">
        <is>
          <t>Yes</t>
        </is>
      </c>
      <c r="J15" t="inlineStr">
        <is>
          <t>https://www.bls.gov/news.release/archives/atus_06262025.htm</t>
        </is>
      </c>
      <c r="K15" t="inlineStr">
        <is>
          <t>https://www.bls.gov/news.release/archives/atus_06262025.pdf</t>
        </is>
      </c>
      <c r="L15" t="inlineStr">
        <is>
          <t>U.S. Bureau of Labor Statistics</t>
        </is>
      </c>
      <c r="M15" t="inlineStr">
        <is>
          <t>2024</t>
        </is>
      </c>
      <c r="N15" s="38" t="inlineStr">
        <is>
          <t>Different metric than ACS usually-WFH. Do not mix with ACS state rates in one comparison. Job level (VP vs IC) is not published; occupation and earnings quartiles are seniority proxies only.</t>
        </is>
      </c>
    </row>
    <row r="16" ht="58" customHeight="1" s="34">
      <c r="A16" t="inlineStr">
        <is>
          <t>occupation</t>
        </is>
      </c>
      <c r="B16" t="inlineStr">
        <is>
          <t>Sales and related</t>
        </is>
      </c>
      <c r="C16" t="inlineStr">
        <is>
          <t>Table 7</t>
        </is>
      </c>
      <c r="D16" s="7" t="n">
        <v>32</v>
      </c>
      <c r="E16" s="8" t="n">
        <v>31.96870038557496</v>
      </c>
      <c r="F16" s="9" t="n">
        <v>2819</v>
      </c>
      <c r="G16" s="9" t="n">
        <v>8818</v>
      </c>
      <c r="H16" s="9" t="n">
        <v>13800</v>
      </c>
      <c r="I16" t="inlineStr">
        <is>
          <t>Yes</t>
        </is>
      </c>
      <c r="J16" t="inlineStr">
        <is>
          <t>https://www.bls.gov/news.release/archives/atus_06262025.htm</t>
        </is>
      </c>
      <c r="K16" t="inlineStr">
        <is>
          <t>https://www.bls.gov/news.release/archives/atus_06262025.pdf</t>
        </is>
      </c>
      <c r="L16" t="inlineStr">
        <is>
          <t>U.S. Bureau of Labor Statistics</t>
        </is>
      </c>
      <c r="M16" t="inlineStr">
        <is>
          <t>2024</t>
        </is>
      </c>
      <c r="N16" s="38" t="inlineStr">
        <is>
          <t>Different metric than ACS usually-WFH. Do not mix with ACS state rates in one comparison. Job level (VP vs IC) is not published; occupation and earnings quartiles are seniority proxies only.</t>
        </is>
      </c>
    </row>
    <row r="17" ht="58" customHeight="1" s="34">
      <c r="A17" t="inlineStr">
        <is>
          <t>occupation</t>
        </is>
      </c>
      <c r="B17" t="inlineStr">
        <is>
          <t>Office and administrative support</t>
        </is>
      </c>
      <c r="C17" t="inlineStr">
        <is>
          <t>Table 7</t>
        </is>
      </c>
      <c r="D17" s="7" t="n">
        <v>26.7</v>
      </c>
      <c r="E17" s="8" t="n">
        <v>26.69754711022213</v>
      </c>
      <c r="F17" s="9" t="n">
        <v>2536</v>
      </c>
      <c r="G17" s="9" t="n">
        <v>9499</v>
      </c>
      <c r="H17" s="9" t="n">
        <v>15738</v>
      </c>
      <c r="I17" t="inlineStr">
        <is>
          <t>Yes</t>
        </is>
      </c>
      <c r="J17" t="inlineStr">
        <is>
          <t>https://www.bls.gov/news.release/archives/atus_06262025.htm</t>
        </is>
      </c>
      <c r="K17" t="inlineStr">
        <is>
          <t>https://www.bls.gov/news.release/archives/atus_06262025.pdf</t>
        </is>
      </c>
      <c r="L17" t="inlineStr">
        <is>
          <t>U.S. Bureau of Labor Statistics</t>
        </is>
      </c>
      <c r="M17" t="inlineStr">
        <is>
          <t>2024</t>
        </is>
      </c>
      <c r="N17" s="38" t="inlineStr">
        <is>
          <t>Different metric than ACS usually-WFH. Do not mix with ACS state rates in one comparison. Job level (VP vs IC) is not published; occupation and earnings quartiles are seniority proxies only.</t>
        </is>
      </c>
    </row>
    <row r="18" ht="58" customHeight="1" s="34">
      <c r="A18" t="inlineStr">
        <is>
          <t>occupation</t>
        </is>
      </c>
      <c r="B18" t="inlineStr">
        <is>
          <t>Construction and extraction</t>
        </is>
      </c>
      <c r="C18" t="inlineStr">
        <is>
          <t>Table 7</t>
        </is>
      </c>
      <c r="D18" s="7" t="n">
        <v>16.5</v>
      </c>
      <c r="E18" s="8" t="n">
        <v>16.51878421748159</v>
      </c>
      <c r="F18" s="9" t="n">
        <v>875</v>
      </c>
      <c r="G18" s="9" t="n">
        <v>5297</v>
      </c>
      <c r="H18" s="9" t="n">
        <v>7967</v>
      </c>
      <c r="I18" t="inlineStr">
        <is>
          <t>Yes</t>
        </is>
      </c>
      <c r="J18" t="inlineStr">
        <is>
          <t>https://www.bls.gov/news.release/archives/atus_06262025.htm</t>
        </is>
      </c>
      <c r="K18" t="inlineStr">
        <is>
          <t>https://www.bls.gov/news.release/archives/atus_06262025.pdf</t>
        </is>
      </c>
      <c r="L18" t="inlineStr">
        <is>
          <t>U.S. Bureau of Labor Statistics</t>
        </is>
      </c>
      <c r="M18" t="inlineStr">
        <is>
          <t>2024</t>
        </is>
      </c>
      <c r="N18" s="38" t="inlineStr">
        <is>
          <t>Different metric than ACS usually-WFH. Do not mix with ACS state rates in one comparison. Job level (VP vs IC) is not published; occupation and earnings quartiles are seniority proxies only.</t>
        </is>
      </c>
    </row>
    <row r="19" ht="58" customHeight="1" s="34">
      <c r="A19" t="inlineStr">
        <is>
          <t>occupation</t>
        </is>
      </c>
      <c r="B19" t="inlineStr">
        <is>
          <t>Production</t>
        </is>
      </c>
      <c r="C19" t="inlineStr">
        <is>
          <t>Table 7</t>
        </is>
      </c>
      <c r="D19" s="7" t="n">
        <v>8.300000000000001</v>
      </c>
      <c r="E19" s="8" t="n">
        <v>8.286252354048964</v>
      </c>
      <c r="F19" s="9" t="n">
        <v>484</v>
      </c>
      <c r="G19" s="9" t="n">
        <v>5841</v>
      </c>
      <c r="H19" s="9" t="n">
        <v>8849</v>
      </c>
      <c r="I19" t="inlineStr">
        <is>
          <t>Yes</t>
        </is>
      </c>
      <c r="J19" t="inlineStr">
        <is>
          <t>https://www.bls.gov/news.release/archives/atus_06262025.htm</t>
        </is>
      </c>
      <c r="K19" t="inlineStr">
        <is>
          <t>https://www.bls.gov/news.release/archives/atus_06262025.pdf</t>
        </is>
      </c>
      <c r="L19" t="inlineStr">
        <is>
          <t>U.S. Bureau of Labor Statistics</t>
        </is>
      </c>
      <c r="M19" t="inlineStr">
        <is>
          <t>2024</t>
        </is>
      </c>
      <c r="N19" s="38" t="inlineStr">
        <is>
          <t>Different metric than ACS usually-WFH. Do not mix with ACS state rates in one comparison. Job level (VP vs IC) is not published; occupation and earnings quartiles are seniority proxies only.</t>
        </is>
      </c>
    </row>
    <row r="20" ht="58" customHeight="1" s="34">
      <c r="A20" t="inlineStr">
        <is>
          <t>occupation</t>
        </is>
      </c>
      <c r="B20" t="inlineStr">
        <is>
          <t>Transportation and material moving</t>
        </is>
      </c>
      <c r="C20" t="inlineStr">
        <is>
          <t>Table 7</t>
        </is>
      </c>
      <c r="D20" s="7" t="n">
        <v>5.8</v>
      </c>
      <c r="E20" s="8" t="n">
        <v>5.807770961145194</v>
      </c>
      <c r="F20" s="9" t="n">
        <v>426</v>
      </c>
      <c r="G20" s="9" t="n">
        <v>7335</v>
      </c>
      <c r="H20" s="9" t="n">
        <v>11186</v>
      </c>
      <c r="I20" t="inlineStr">
        <is>
          <t>Yes</t>
        </is>
      </c>
      <c r="J20" t="inlineStr">
        <is>
          <t>https://www.bls.gov/news.release/archives/atus_06262025.htm</t>
        </is>
      </c>
      <c r="K20" t="inlineStr">
        <is>
          <t>https://www.bls.gov/news.release/archives/atus_06262025.pdf</t>
        </is>
      </c>
      <c r="L20" t="inlineStr">
        <is>
          <t>U.S. Bureau of Labor Statistics</t>
        </is>
      </c>
      <c r="M20" t="inlineStr">
        <is>
          <t>2024</t>
        </is>
      </c>
      <c r="N20" s="38" t="inlineStr">
        <is>
          <t>Different metric than ACS usually-WFH. Do not mix with ACS state rates in one comparison. Job level (VP vs IC) is not published; occupation and earnings quartiles are seniority proxies only.</t>
        </is>
      </c>
    </row>
    <row r="21" ht="58" customHeight="1" s="34">
      <c r="A21" t="inlineStr">
        <is>
          <t>earnings_quartile</t>
        </is>
      </c>
      <c r="B21" t="inlineStr">
        <is>
          <t>$841 – $1,250</t>
        </is>
      </c>
      <c r="C21" t="inlineStr">
        <is>
          <t>Table 7</t>
        </is>
      </c>
      <c r="D21" s="7" t="n">
        <v>25.9</v>
      </c>
      <c r="E21" s="8" t="n">
        <v>25.93793176745669</v>
      </c>
      <c r="F21" s="9" t="n">
        <v>4881</v>
      </c>
      <c r="G21" s="9" t="n">
        <v>18818</v>
      </c>
      <c r="H21" s="9" t="n">
        <v>28023</v>
      </c>
      <c r="I21" t="inlineStr">
        <is>
          <t>Yes</t>
        </is>
      </c>
      <c r="J21" t="inlineStr">
        <is>
          <t>https://www.bls.gov/news.release/archives/atus_06262025.htm</t>
        </is>
      </c>
      <c r="K21" t="inlineStr">
        <is>
          <t>https://www.bls.gov/news.release/archives/atus_06262025.pdf</t>
        </is>
      </c>
      <c r="L21" t="inlineStr">
        <is>
          <t>U.S. Bureau of Labor Statistics</t>
        </is>
      </c>
      <c r="M21" t="inlineStr">
        <is>
          <t>2024</t>
        </is>
      </c>
      <c r="N21" s="38" t="inlineStr">
        <is>
          <t>Different metric than ACS usually-WFH. Do not mix with ACS state rates in one comparison. Job level (VP vs IC) is not published; occupation and earnings quartiles are seniority proxies only.</t>
        </is>
      </c>
    </row>
    <row r="22" ht="58" customHeight="1" s="34">
      <c r="A22" t="inlineStr">
        <is>
          <t>earnings_quartile</t>
        </is>
      </c>
      <c r="B22" t="inlineStr">
        <is>
          <t>$1,251 – $1,970</t>
        </is>
      </c>
      <c r="C22" t="inlineStr">
        <is>
          <t>Table 7</t>
        </is>
      </c>
      <c r="D22" s="7" t="n">
        <v>35.6</v>
      </c>
      <c r="E22" s="8" t="n">
        <v>35.55038244097107</v>
      </c>
      <c r="F22" s="9" t="n">
        <v>6414</v>
      </c>
      <c r="G22" s="9" t="n">
        <v>18042</v>
      </c>
      <c r="H22" s="9" t="n">
        <v>27215</v>
      </c>
      <c r="I22" t="inlineStr">
        <is>
          <t>Yes</t>
        </is>
      </c>
      <c r="J22" t="inlineStr">
        <is>
          <t>https://www.bls.gov/news.release/archives/atus_06262025.htm</t>
        </is>
      </c>
      <c r="K22" t="inlineStr">
        <is>
          <t>https://www.bls.gov/news.release/archives/atus_06262025.pdf</t>
        </is>
      </c>
      <c r="L22" t="inlineStr">
        <is>
          <t>U.S. Bureau of Labor Statistics</t>
        </is>
      </c>
      <c r="M22" t="inlineStr">
        <is>
          <t>2024</t>
        </is>
      </c>
      <c r="N22" s="38" t="inlineStr">
        <is>
          <t>Different metric than ACS usually-WFH. Do not mix with ACS state rates in one comparison. Job level (VP vs IC) is not published; occupation and earnings quartiles are seniority proxies only.</t>
        </is>
      </c>
    </row>
  </sheetData>
  <autoFilter ref="A1:N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4.5"/>
  <cols>
    <col width="12" customWidth="1" style="34" min="1" max="1"/>
    <col width="36" customWidth="1" style="34" min="2" max="2"/>
    <col width="10" customWidth="1" style="34" min="3" max="3"/>
    <col width="48" customWidth="1" style="34" min="4" max="4"/>
    <col width="16" customWidth="1" style="34" min="5" max="5"/>
    <col width="18" customWidth="1" style="34" min="6" max="6"/>
    <col width="14" customWidth="1" style="34" min="7" max="9"/>
    <col width="42" customWidth="1" style="34" min="10" max="10"/>
    <col width="50" customWidth="1" style="34" min="11" max="11"/>
    <col width="45" customWidth="1" style="34" min="12" max="12"/>
    <col width="22" customWidth="1" style="34" min="13" max="13"/>
    <col width="40" customWidth="1" style="34" min="14" max="14"/>
    <col width="8" customWidth="1" style="34" min="15" max="15"/>
    <col width="50" customWidth="1" style="34" min="16" max="16"/>
  </cols>
  <sheetData>
    <row r="1" ht="43.5" customHeight="1" s="34">
      <c r="A1" s="3" t="inlineStr">
        <is>
          <t>EMPSZFI code</t>
        </is>
      </c>
      <c r="B1" s="3" t="inlineStr">
        <is>
          <t>Employment size of firm</t>
        </is>
      </c>
      <c r="C1" s="3" t="inlineStr">
        <is>
          <t>BUSCHAR</t>
        </is>
      </c>
      <c r="D1" s="3" t="inlineStr">
        <is>
          <t>Business characteristic</t>
        </is>
      </c>
      <c r="E1" s="3" t="inlineStr">
        <is>
          <t>% of employer firms (exhibit, 1 decimal)</t>
        </is>
      </c>
      <c r="F1" s="3" t="inlineStr">
        <is>
          <t>% of employer firms (full / recomputed)</t>
        </is>
      </c>
      <c r="G1" s="3" t="inlineStr">
        <is>
          <t>Employer firms</t>
        </is>
      </c>
      <c r="H1" s="3" t="inlineStr">
        <is>
          <t>Employees</t>
        </is>
      </c>
      <c r="I1" s="3" t="inlineStr">
        <is>
          <t>% of employees</t>
        </is>
      </c>
      <c r="J1" s="3" t="inlineStr">
        <is>
          <t>Note</t>
        </is>
      </c>
      <c r="K1" s="3" t="inlineStr">
        <is>
          <t>Source URL</t>
        </is>
      </c>
      <c r="L1" s="3" t="inlineStr">
        <is>
          <t>Secondary URL</t>
        </is>
      </c>
      <c r="M1" s="3" t="inlineStr">
        <is>
          <t>Agency</t>
        </is>
      </c>
      <c r="N1" s="3" t="inlineStr">
        <is>
          <t>Table</t>
        </is>
      </c>
      <c r="O1" s="3" t="inlineStr">
        <is>
          <t>Year</t>
        </is>
      </c>
      <c r="P1" s="3" t="inlineStr">
        <is>
          <t>Question / variable</t>
        </is>
      </c>
    </row>
    <row r="2" ht="87" customHeight="1" s="34">
      <c r="A2" t="inlineStr">
        <is>
          <t>655</t>
        </is>
      </c>
      <c r="B2" t="inlineStr">
        <is>
          <t>Firms with less than 500 employees</t>
        </is>
      </c>
      <c r="C2" t="inlineStr">
        <is>
          <t>EWA</t>
        </is>
      </c>
      <c r="D2" t="inlineStr">
        <is>
          <t>Business had employees who worked from home</t>
        </is>
      </c>
      <c r="E2" s="7" t="n">
        <v>35.8</v>
      </c>
      <c r="F2" s="8" t="n">
        <v>35.81483873745855</v>
      </c>
      <c r="G2" s="6" t="n">
        <v>1039660</v>
      </c>
      <c r="H2" s="6" t="n">
        <v>11106593</v>
      </c>
      <c r="I2" s="7" t="n">
        <v>37.3</v>
      </c>
      <c r="J2" s="38" t="inlineStr">
        <is>
          <t>Share of firms (not workers) that had any employees who worked from home</t>
        </is>
      </c>
      <c r="K2" s="38" t="inlineStr">
        <is>
          <t>https://www2.census.gov/programs-surveys/abs/data/2023/AB2300CSCB04.zip</t>
        </is>
      </c>
      <c r="L2" s="38" t="inlineStr">
        <is>
          <t>https://data.census.gov/table/ABSCB2023.AB2300CSCB04</t>
        </is>
      </c>
      <c r="M2" s="38" t="inlineStr">
        <is>
          <t>U.S. Census Bureau</t>
        </is>
      </c>
      <c r="N2" s="38" t="inlineStr">
        <is>
          <t>ABSCB2023.AB2300CSCB04 (Sex/Ethnicity/Race/Veteran × Employment Size of Firm)</t>
        </is>
      </c>
      <c r="O2" s="38" t="inlineStr">
        <is>
          <t>2023</t>
        </is>
      </c>
      <c r="P2"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3" ht="87" customHeight="1" s="34">
      <c r="A3" t="inlineStr">
        <is>
          <t>655</t>
        </is>
      </c>
      <c r="B3" t="inlineStr">
        <is>
          <t>Firms with less than 500 employees</t>
        </is>
      </c>
      <c r="C3" t="inlineStr">
        <is>
          <t>EWN</t>
        </is>
      </c>
      <c r="D3" t="inlineStr">
        <is>
          <t>Business did not have employees who worked from home</t>
        </is>
      </c>
      <c r="E3" s="7" t="n">
        <v>64.2</v>
      </c>
      <c r="F3" s="8" t="n">
        <v>64.2</v>
      </c>
      <c r="G3" s="6" t="n">
        <v>1863215</v>
      </c>
      <c r="H3" s="6" t="n">
        <v>18659361</v>
      </c>
      <c r="I3" s="7" t="n">
        <v>62.7</v>
      </c>
      <c r="J3" s="38" t="inlineStr">
        <is>
          <t>Complement: firms that did not have WFH employees</t>
        </is>
      </c>
      <c r="K3" s="38" t="inlineStr">
        <is>
          <t>https://www2.census.gov/programs-surveys/abs/data/2023/AB2300CSCB04.zip</t>
        </is>
      </c>
      <c r="L3" s="38" t="inlineStr">
        <is>
          <t>https://data.census.gov/table/ABSCB2023.AB2300CSCB04</t>
        </is>
      </c>
      <c r="M3" s="38" t="inlineStr">
        <is>
          <t>U.S. Census Bureau</t>
        </is>
      </c>
      <c r="N3" s="38" t="inlineStr">
        <is>
          <t>ABSCB2023.AB2300CSCB04 (Sex/Ethnicity/Race/Veteran × Employment Size of Firm)</t>
        </is>
      </c>
      <c r="O3" s="38" t="inlineStr">
        <is>
          <t>2023</t>
        </is>
      </c>
      <c r="P3"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4" ht="87" customHeight="1" s="34">
      <c r="A4" t="inlineStr">
        <is>
          <t>655</t>
        </is>
      </c>
      <c r="B4" t="inlineStr">
        <is>
          <t>Firms with less than 500 employees</t>
        </is>
      </c>
      <c r="C4" t="inlineStr">
        <is>
          <t>EWTR</t>
        </is>
      </c>
      <c r="D4" t="inlineStr">
        <is>
          <t>Total reporting</t>
        </is>
      </c>
      <c r="E4" s="7" t="n">
        <v>100</v>
      </c>
      <c r="F4" s="8" t="n">
        <v>100</v>
      </c>
      <c r="G4" s="6" t="n">
        <v>2902875</v>
      </c>
      <c r="H4" s="6" t="n">
        <v>29765953</v>
      </c>
      <c r="I4" s="7" t="n">
        <v>100</v>
      </c>
      <c r="J4" s="38" t="inlineStr">
        <is>
          <t>Total reporting denominator for the firm-size bin</t>
        </is>
      </c>
      <c r="K4" s="38" t="inlineStr">
        <is>
          <t>https://www2.census.gov/programs-surveys/abs/data/2023/AB2300CSCB04.zip</t>
        </is>
      </c>
      <c r="L4" s="38" t="inlineStr">
        <is>
          <t>https://data.census.gov/table/ABSCB2023.AB2300CSCB04</t>
        </is>
      </c>
      <c r="M4" s="38" t="inlineStr">
        <is>
          <t>U.S. Census Bureau</t>
        </is>
      </c>
      <c r="N4" s="38" t="inlineStr">
        <is>
          <t>ABSCB2023.AB2300CSCB04 (Sex/Ethnicity/Race/Veteran × Employment Size of Firm)</t>
        </is>
      </c>
      <c r="O4" s="38" t="inlineStr">
        <is>
          <t>2023</t>
        </is>
      </c>
      <c r="P4"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5" ht="87" customHeight="1" s="34">
      <c r="A5" t="inlineStr">
        <is>
          <t>657</t>
        </is>
      </c>
      <c r="B5" t="inlineStr">
        <is>
          <t>Firms with 500 employees or more</t>
        </is>
      </c>
      <c r="C5" t="inlineStr">
        <is>
          <t>EWA</t>
        </is>
      </c>
      <c r="D5" t="inlineStr">
        <is>
          <t>Business had employees who worked from home</t>
        </is>
      </c>
      <c r="E5" s="7" t="n">
        <v>77.5</v>
      </c>
      <c r="F5" s="8" t="n">
        <v>77.45956873315365</v>
      </c>
      <c r="G5" s="6" t="n">
        <v>6897</v>
      </c>
      <c r="H5" s="6" t="n">
        <v>37351048</v>
      </c>
      <c r="I5" s="7" t="n">
        <v>90.8</v>
      </c>
      <c r="J5" s="38" t="inlineStr">
        <is>
          <t>Share of firms (not workers) that had any employees who worked from home</t>
        </is>
      </c>
      <c r="K5" s="38" t="inlineStr">
        <is>
          <t>https://www2.census.gov/programs-surveys/abs/data/2023/AB2300CSCB04.zip</t>
        </is>
      </c>
      <c r="L5" s="38" t="inlineStr">
        <is>
          <t>https://data.census.gov/table/ABSCB2023.AB2300CSCB04</t>
        </is>
      </c>
      <c r="M5" s="38" t="inlineStr">
        <is>
          <t>U.S. Census Bureau</t>
        </is>
      </c>
      <c r="N5" s="38" t="inlineStr">
        <is>
          <t>ABSCB2023.AB2300CSCB04 (Sex/Ethnicity/Race/Veteran × Employment Size of Firm)</t>
        </is>
      </c>
      <c r="O5" s="38" t="inlineStr">
        <is>
          <t>2023</t>
        </is>
      </c>
      <c r="P5"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6" ht="87" customHeight="1" s="34">
      <c r="A6" t="inlineStr">
        <is>
          <t>657</t>
        </is>
      </c>
      <c r="B6" t="inlineStr">
        <is>
          <t>Firms with 500 employees or more</t>
        </is>
      </c>
      <c r="C6" t="inlineStr">
        <is>
          <t>EWN</t>
        </is>
      </c>
      <c r="D6" t="inlineStr">
        <is>
          <t>Business did not have employees who worked from home</t>
        </is>
      </c>
      <c r="E6" s="7" t="n">
        <v>22.5</v>
      </c>
      <c r="F6" s="8" t="n">
        <v>22.5</v>
      </c>
      <c r="G6" s="6" t="n">
        <v>2007</v>
      </c>
      <c r="H6" s="6" t="n">
        <v>3767240</v>
      </c>
      <c r="I6" s="7" t="n">
        <v>9.199999999999999</v>
      </c>
      <c r="J6" s="38" t="inlineStr">
        <is>
          <t>Complement: firms that did not have WFH employees</t>
        </is>
      </c>
      <c r="K6" s="38" t="inlineStr">
        <is>
          <t>https://www2.census.gov/programs-surveys/abs/data/2023/AB2300CSCB04.zip</t>
        </is>
      </c>
      <c r="L6" s="38" t="inlineStr">
        <is>
          <t>https://data.census.gov/table/ABSCB2023.AB2300CSCB04</t>
        </is>
      </c>
      <c r="M6" s="38" t="inlineStr">
        <is>
          <t>U.S. Census Bureau</t>
        </is>
      </c>
      <c r="N6" s="38" t="inlineStr">
        <is>
          <t>ABSCB2023.AB2300CSCB04 (Sex/Ethnicity/Race/Veteran × Employment Size of Firm)</t>
        </is>
      </c>
      <c r="O6" s="38" t="inlineStr">
        <is>
          <t>2023</t>
        </is>
      </c>
      <c r="P6"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row r="7" ht="87" customHeight="1" s="34">
      <c r="A7" t="inlineStr">
        <is>
          <t>657</t>
        </is>
      </c>
      <c r="B7" t="inlineStr">
        <is>
          <t>Firms with 500 employees or more</t>
        </is>
      </c>
      <c r="C7" t="inlineStr">
        <is>
          <t>EWTR</t>
        </is>
      </c>
      <c r="D7" t="inlineStr">
        <is>
          <t>Total reporting</t>
        </is>
      </c>
      <c r="E7" s="7" t="n">
        <v>100</v>
      </c>
      <c r="F7" s="8" t="n">
        <v>100</v>
      </c>
      <c r="G7" s="6" t="n">
        <v>8904</v>
      </c>
      <c r="H7" s="6" t="n">
        <v>41118288</v>
      </c>
      <c r="I7" s="7" t="n">
        <v>100</v>
      </c>
      <c r="J7" s="38" t="inlineStr">
        <is>
          <t>Total reporting denominator for the firm-size bin</t>
        </is>
      </c>
      <c r="K7" s="38" t="inlineStr">
        <is>
          <t>https://www2.census.gov/programs-surveys/abs/data/2023/AB2300CSCB04.zip</t>
        </is>
      </c>
      <c r="L7" s="38" t="inlineStr">
        <is>
          <t>https://data.census.gov/table/ABSCB2023.AB2300CSCB04</t>
        </is>
      </c>
      <c r="M7" s="38" t="inlineStr">
        <is>
          <t>U.S. Census Bureau</t>
        </is>
      </c>
      <c r="N7" s="38" t="inlineStr">
        <is>
          <t>ABSCB2023.AB2300CSCB04 (Sex/Ethnicity/Race/Veteran × Employment Size of Firm)</t>
        </is>
      </c>
      <c r="O7" s="38" t="inlineStr">
        <is>
          <t>2023</t>
        </is>
      </c>
      <c r="P7" s="38" t="inlineStr">
        <is>
          <t>QDESC=B28 WORKHOME; BUSCHAR=EWA 'Business had employees who worked from home' as percent of BUSCHAR=EWTR 'Total reporting' (FIRMPDEMP_PCT). EMPSZFI 655 = firms with less than 500 employees; 657 = firms with 500 employees or more. Firm-level (had any WFH employees), not worker WFH rate.</t>
        </is>
      </c>
    </row>
  </sheetData>
  <autoFilter ref="A1:P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4.5"/>
  <cols>
    <col width="28" customWidth="1" style="34" min="1" max="1"/>
    <col width="110" customWidth="1" style="34" min="2" max="2"/>
  </cols>
  <sheetData>
    <row r="1">
      <c r="A1" s="3" t="inlineStr">
        <is>
          <t>Field</t>
        </is>
      </c>
      <c r="B1" s="3" t="inlineStr">
        <is>
          <t>Content</t>
        </is>
      </c>
    </row>
    <row r="2" ht="60" customHeight="1" s="34">
      <c r="A2" t="inlineStr">
        <is>
          <t>Title</t>
        </is>
      </c>
      <c r="B2" s="38" t="inlineStr">
        <is>
          <t>Brokerage Metrics — Employee Health &amp; Benefits broker-channel core metrics register</t>
        </is>
      </c>
    </row>
    <row r="3" ht="60" customHeight="1" s="34">
      <c r="A3" t="inlineStr">
        <is>
          <t>Canvas</t>
        </is>
      </c>
      <c r="B3" s="38" t="inlineStr">
        <is>
          <t>Chtr EHB Broker Channel Core Metrics (chtr-ehb-broker-channel-core-metrics.canvas.tsx)</t>
        </is>
      </c>
    </row>
    <row r="4" ht="60" customHeight="1" s="34">
      <c r="A4" t="inlineStr">
        <is>
          <t>What this register is</t>
        </is>
      </c>
      <c r="B4" s="38" t="inlineStr">
        <is>
          <t>DRAFT metric register for whether insurance brokers can put employee home internet inside Employee Health &amp; Benefits. Sequences what to measure next. Not a launch recommendation. No TAM.</t>
        </is>
      </c>
    </row>
    <row r="5" ht="60" customHeight="1" s="34">
      <c r="A5" t="inlineStr">
        <is>
          <t>Offering under test</t>
        </is>
      </c>
      <c r="B5" s="38" t="inlineStr">
        <is>
          <t>Insurance brokerage firms include employee home connectivity in the benefits offering they already sell to employers. The motion only counts when a residential Spectrum Internet account opens at the employee’s home.</t>
        </is>
      </c>
    </row>
    <row r="6" ht="60" customHeight="1" s="34">
      <c r="A6" t="inlineStr">
        <is>
          <t>Naming collision</t>
        </is>
      </c>
      <c r="B6" s="38" t="inlineStr">
        <is>
          <t>Repo folder Decisions/EH&amp;B means existing homes and businesses on plant already built. This register uses Employee Health &amp; Benefits (insurance).</t>
        </is>
      </c>
    </row>
    <row r="7" ht="60" customHeight="1" s="34">
      <c r="A7" t="inlineStr">
        <is>
          <t>Cheapest kill question</t>
        </is>
      </c>
      <c r="B7" s="38" t="inlineStr">
        <is>
          <t>In the pilot states, may the insurance brokerage firm place or enroll Spectrum residential Internet as an employer benefit — or is that legally blocked so the broker can only refer?</t>
        </is>
      </c>
    </row>
    <row r="8" ht="60" customHeight="1" s="34">
      <c r="A8" t="inlineStr">
        <is>
          <t>Kill follow-up</t>
        </is>
      </c>
      <c r="B8" s="38" t="inlineStr">
        <is>
          <t>One counsel memo. If the answer is no and no compliant referral/enrollment design survives, stop before footprint matching, take-up pilots, or contribution math. If yes only as referral, redesign the channel before sizing broker economics as if they were the seller.</t>
        </is>
      </c>
    </row>
    <row r="9" ht="60" customHeight="1" s="34">
      <c r="A9" t="inlineStr">
        <is>
          <t>Blank metrics</t>
        </is>
      </c>
      <c r="B9" s="38" t="inlineStr">
        <is>
          <t>M-metrics without a repo number are blank on purpose. Do not invent commissions, take-up, serviceable-home %, already-Spectrum share, stipend prevalence, contribution dollars, subsidy/wholesale rates, or legal authority (flagged Unverified, not asserted).</t>
        </is>
      </c>
    </row>
    <row r="10" ht="60" customHeight="1" s="34">
      <c r="A10" t="inlineStr">
        <is>
          <t>Cited SUSB figures (canvas)</t>
        </is>
      </c>
      <c r="B10" s="38" t="inlineStr">
        <is>
          <t>US payroll employment 45.9% at firms &lt;500 and 54.1% at 500+; states Montana 66.3% to Florida 39.6%; 387-metro median 49.8%. Source path on canvas: Analysis/small-large-employment/out/summary.json. Canvas does not include a Census URL.</t>
        </is>
      </c>
    </row>
    <row r="11" ht="60" customHeight="1" s="34">
      <c r="A11" t="inlineStr">
        <is>
          <t>Cited WFH figures (canvas)</t>
        </is>
      </c>
      <c r="B11" s="38" t="inlineStr">
        <is>
          <t>ACS 2024 usually WFH 13.3% US (D.C. 22.9% to Mississippi 6.2%); ATUS 2024 any work at home on days worked 32.5% (management/business 48.1% vs service 10.5%); ABS 2023 share of firms with any WFH employees 35.8% (&lt;500) vs 77.5% (500+). Source path on canvas: Analysis/work-from-home/out/summary.json. Canvas does not include agency URLs.</t>
        </is>
      </c>
    </row>
    <row r="12" ht="60" customHeight="1" s="34">
      <c r="A12" t="inlineStr">
        <is>
          <t>Sheet guide</t>
        </is>
      </c>
      <c r="B12" s="38" t="inlineStr">
        <is>
          <t>Core metrics = eight 'Core next' pulls. Later / demoted = 'Later' cut. Already in hand = figures the canvas reused (cite only). Notes = register framing.</t>
        </is>
      </c>
    </row>
    <row r="13" ht="60" customHeight="1" s="34">
      <c r="A13" t="inlineStr">
        <is>
          <t>Source line on canvas</t>
        </is>
      </c>
      <c r="B13" s="38" t="inlineStr">
        <is>
          <t>Source for in-repo rates: Analysis/small-large-employment/out/summary.json; Analysis/work-from-home/out/summary.json. All other values intentionally blank.</t>
        </is>
      </c>
    </row>
  </sheetData>
  <autoFilter ref="A1:B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4.5"/>
  <cols>
    <col width="8" customWidth="1" style="34" min="1" max="1"/>
    <col width="42" customWidth="1" style="34" min="2" max="3"/>
    <col width="55" customWidth="1" style="34" min="4" max="4"/>
    <col width="10" customWidth="1" style="34" min="5" max="5"/>
    <col width="28" customWidth="1" style="34" min="6" max="6"/>
    <col width="14" customWidth="1" style="34" min="7" max="8"/>
    <col width="12" customWidth="1" style="34" min="9" max="9"/>
    <col width="18" customWidth="1" style="34" min="10" max="10"/>
    <col width="55" customWidth="1" style="34" min="11" max="11"/>
  </cols>
  <sheetData>
    <row r="1" ht="29" customHeight="1" s="34">
      <c r="A1" s="3" t="inlineStr">
        <is>
          <t>ID</t>
        </is>
      </c>
      <c r="B1" s="3" t="inlineStr">
        <is>
          <t>Metric name</t>
        </is>
      </c>
      <c r="C1" s="3" t="inlineStr">
        <is>
          <t>Decision it gates</t>
        </is>
      </c>
      <c r="D1" s="3" t="inlineStr">
        <is>
          <t>Definition (numerator / denominator / unit)</t>
        </is>
      </c>
      <c r="E1" s="3" t="inlineStr">
        <is>
          <t>In repo?</t>
        </is>
      </c>
      <c r="F1" s="3" t="inlineStr">
        <is>
          <t>Value (only if canvas cites a number)</t>
        </is>
      </c>
      <c r="G1" s="3" t="inlineStr">
        <is>
          <t>Cheap vs expensive</t>
        </is>
      </c>
      <c r="H1" s="3" t="inlineStr">
        <is>
          <t>Status</t>
        </is>
      </c>
      <c r="I1" s="3" t="inlineStr">
        <is>
          <t>Cut</t>
        </is>
      </c>
      <c r="J1" s="3" t="inlineStr">
        <is>
          <t>Group</t>
        </is>
      </c>
      <c r="K1" s="3" t="inlineStr">
        <is>
          <t>Source / where</t>
        </is>
      </c>
    </row>
    <row r="2" ht="72" customHeight="1" s="34">
      <c r="A2" s="38" t="inlineStr">
        <is>
          <t>M10</t>
        </is>
      </c>
      <c r="B2" s="38" t="inlineStr">
        <is>
          <t>Broker authority to place the product (unverified)</t>
        </is>
      </c>
      <c r="C2" s="38" t="inlineStr">
        <is>
          <t>Whether the broker channel is even allowed to sell or place residential internet as a benefit</t>
        </is>
      </c>
      <c r="D2" s="38" t="inlineStr">
        <is>
          <t>Binary by state in the pilot set: may the insurance brokerage firm place / enroll Spectrum residential Internet as an employer benefit (or only introduce / refer)? Document carrier-of-record vs broker-of-record. Mark result pass/fail per state — not a percent.</t>
        </is>
      </c>
      <c r="E2" s="38" t="inlineStr">
        <is>
          <t>No</t>
        </is>
      </c>
      <c r="F2" s="38" t="n"/>
      <c r="G2" s="38" t="inlineStr">
        <is>
          <t>Cheap</t>
        </is>
      </c>
      <c r="H2" s="38" t="inlineStr">
        <is>
          <t>Unverified</t>
        </is>
      </c>
      <c r="I2" s="38" t="inlineStr">
        <is>
          <t>Core next</t>
        </is>
      </c>
      <c r="J2" s="38" t="inlineStr">
        <is>
          <t>6 · Broker motive</t>
        </is>
      </c>
      <c r="K2" s="38" t="inlineStr">
        <is>
          <t>Not researched in this draft. Must verify with counsel / compliance; do not treat “brokers sell benefits” as permission to sell telecom.</t>
        </is>
      </c>
    </row>
    <row r="3" ht="72" customHeight="1" s="34">
      <c r="A3" s="38" t="inlineStr">
        <is>
          <t>M12</t>
        </is>
      </c>
      <c r="B3" s="38" t="inlineStr">
        <is>
          <t>Benefits-admin provisioning path</t>
        </is>
      </c>
      <c r="C3" s="38" t="inlineStr">
        <is>
          <t>Whether enrollment can open an ISP account without a second, broken workflow</t>
        </is>
      </c>
      <c r="D3" s="38" t="inlineStr">
        <is>
          <t>Binary: can the benefits administration platform pass address + consent to Charter and receive serviceable / not-serviceable / account-created statuses? Success rate in a sandbox: successful provisions ÷ enrollment attempts with complete data.</t>
        </is>
      </c>
      <c r="E3" s="38" t="inlineStr">
        <is>
          <t>No</t>
        </is>
      </c>
      <c r="F3" s="38" t="n"/>
      <c r="G3" s="38" t="inlineStr">
        <is>
          <t>Cheap</t>
        </is>
      </c>
      <c r="H3" s="38" t="inlineStr">
        <is>
          <t>Must pull</t>
        </is>
      </c>
      <c r="I3" s="38" t="inlineStr">
        <is>
          <t>Core next</t>
        </is>
      </c>
      <c r="J3" s="38" t="inlineStr">
        <is>
          <t>6 · Broker motive</t>
        </is>
      </c>
      <c r="K3" s="38" t="inlineStr">
        <is>
          <t>Not in repo. Source: one platform partner technical spike (days to weeks).</t>
        </is>
      </c>
    </row>
    <row r="4" ht="72" customHeight="1" s="34">
      <c r="A4" s="38" t="inlineStr">
        <is>
          <t>M1</t>
        </is>
      </c>
      <c r="B4" s="38" t="inlineStr">
        <is>
          <t>Broker-placed covered lives in Spectrum states</t>
        </is>
      </c>
      <c r="C4" s="38" t="inlineStr">
        <is>
          <t>Whether a broker book even reaches employers Charter could serve</t>
        </is>
      </c>
      <c r="D4" s="38" t="inlineStr">
        <is>
          <t>Numerator: employees covered by broker-placed medical (or full benefits) for employers with at least one worksite in a Spectrum service state. Denominator: all employees on that broker’s book. Unit: percent of covered lives; also absolute lives.</t>
        </is>
      </c>
      <c r="E4" s="38" t="inlineStr">
        <is>
          <t>No</t>
        </is>
      </c>
      <c r="F4" s="38" t="n"/>
      <c r="G4" s="38" t="inlineStr">
        <is>
          <t>Cheap</t>
        </is>
      </c>
      <c r="H4" s="38" t="inlineStr">
        <is>
          <t>Must pull</t>
        </is>
      </c>
      <c r="I4" s="38" t="inlineStr">
        <is>
          <t>Core next</t>
        </is>
      </c>
      <c r="J4" s="38" t="inlineStr">
        <is>
          <t>1 · Broker reach</t>
        </is>
      </c>
      <c r="K4" s="38" t="inlineStr">
        <is>
          <t>Not in repo. Likely: partner broker book extract; industry context from Kaiser Family Foundation Employer Health Benefits Survey (broker vs direct is often incomplete) or broker RFP data.</t>
        </is>
      </c>
    </row>
    <row r="5" ht="72" customHeight="1" s="34">
      <c r="A5" s="38" t="inlineStr">
        <is>
          <t>M2</t>
        </is>
      </c>
      <c r="B5" s="38" t="inlineStr">
        <is>
          <t>Large-broker concentration of that book</t>
        </is>
      </c>
      <c r="C5" s="38" t="inlineStr">
        <is>
          <t>Whether a few national brokers can move volume or the channel is fragmented</t>
        </is>
      </c>
      <c r="D5" s="38" t="inlineStr">
        <is>
          <t>Numerator: covered lives at the top N broker firms (e.g., top 5 / top 10). Denominator: total broker-placed covered lives in the same geography. Unit: percent.</t>
        </is>
      </c>
      <c r="E5" s="38" t="inlineStr">
        <is>
          <t>No</t>
        </is>
      </c>
      <c r="F5" s="38" t="n"/>
      <c r="G5" s="38" t="inlineStr">
        <is>
          <t>Cheap</t>
        </is>
      </c>
      <c r="H5" s="38" t="inlineStr">
        <is>
          <t>Must pull</t>
        </is>
      </c>
      <c r="I5" s="38" t="inlineStr">
        <is>
          <t>Core next</t>
        </is>
      </c>
      <c r="J5" s="38" t="inlineStr">
        <is>
          <t>1 · Broker reach</t>
        </is>
      </c>
      <c r="K5" s="38" t="inlineStr">
        <is>
          <t>Not in repo. Likely: Business Insurance broker rankings (revenue, not lives) plus partner disclosure — revenue rank is a proxy only.</t>
        </is>
      </c>
    </row>
    <row r="6" ht="72" customHeight="1" s="34">
      <c r="A6" s="38" t="inlineStr">
        <is>
          <t>M5</t>
        </is>
      </c>
      <c r="B6" s="38" t="inlineStr">
        <is>
          <t>Serviceable-home share of enrolled employees</t>
        </is>
      </c>
      <c r="C6" s="38" t="inlineStr">
        <is>
          <t>Whether Spectrum can actually fulfill the benefit at the employee’s address</t>
        </is>
      </c>
      <c r="D6" s="38" t="inlineStr">
        <is>
          <t>Numerator: enrolled (or broker-covered) employees whose residential address passes a Spectrum residential serviceability check. Denominator: enrolled / covered employees in the pilot book who supply a home address. Unit: percent. Hard fail for out-of-footprint homes.</t>
        </is>
      </c>
      <c r="E6" s="38" t="inlineStr">
        <is>
          <t>No</t>
        </is>
      </c>
      <c r="F6" s="38" t="n"/>
      <c r="G6" s="38" t="inlineStr">
        <is>
          <t>Expensive</t>
        </is>
      </c>
      <c r="H6" s="38" t="inlineStr">
        <is>
          <t>Must pull</t>
        </is>
      </c>
      <c r="I6" s="38" t="inlineStr">
        <is>
          <t>Core next</t>
        </is>
      </c>
      <c r="J6" s="38" t="inlineStr">
        <is>
          <t>3 · Footprint</t>
        </is>
      </c>
      <c r="K6" s="38" t="inlineStr">
        <is>
          <t>Not in repo. Earlier benefits-analogy draft named footprint mismatch as a hard constraint; SUSB summary also flags no official 41-state list applied. Source: Charter plant / addressability systems × employer or broker address file.</t>
        </is>
      </c>
    </row>
    <row r="7" ht="72" customHeight="1" s="34">
      <c r="A7" s="38" t="inlineStr">
        <is>
          <t>M6</t>
        </is>
      </c>
      <c r="B7" s="38" t="inlineStr">
        <is>
          <t>Already-adequate broadband among serviceable homes</t>
        </is>
      </c>
      <c r="C7" s="38" t="inlineStr">
        <is>
          <t>Whether the offering meets an unserved need or only discounts a line the household already buys</t>
        </is>
      </c>
      <c r="D7" s="38" t="inlineStr">
        <is>
          <t>Numerator: serviceable employees who already have home broadband meeting a stated adequacy bar (speed/reliability threshold written in advance). Denominator: serviceable employees. Sub-cut: already Spectrum residential (cannibalization) vs other ISP (win-back / switch) vs no adequate service (true add).</t>
        </is>
      </c>
      <c r="E7" s="38" t="inlineStr">
        <is>
          <t>No</t>
        </is>
      </c>
      <c r="F7" s="38" t="n"/>
      <c r="G7" s="38" t="inlineStr">
        <is>
          <t>Moderate</t>
        </is>
      </c>
      <c r="H7" s="38" t="inlineStr">
        <is>
          <t>Must pull</t>
        </is>
      </c>
      <c r="I7" s="38" t="inlineStr">
        <is>
          <t>Core next</t>
        </is>
      </c>
      <c r="J7" s="38" t="inlineStr">
        <is>
          <t>4 · Need vs discount</t>
        </is>
      </c>
      <c r="K7" s="38" t="inlineStr">
        <is>
          <t>Not in repo. Likely: employee opt-in survey at enrollment; Charter billing match for Spectrum subset; FCC National Broadband Map is address-level availability, not subscription.</t>
        </is>
      </c>
    </row>
    <row r="8" ht="72" customHeight="1" s="34">
      <c r="A8" s="38" t="inlineStr">
        <is>
          <t>M9</t>
        </is>
      </c>
      <c r="B8" s="38" t="inlineStr">
        <is>
          <t>Payor model and enrollment take-up</t>
        </is>
      </c>
      <c r="C8" s="38" t="inlineStr">
        <is>
          <t>Whether employers and employees will treat home internet as a benefit people actually elect</t>
        </is>
      </c>
      <c r="D8" s="38" t="inlineStr">
        <is>
          <t>Design: share of pilot employers choosing employer-paid vs employee-paid voluntary. Take-up: enrolled internet accounts ÷ eligible employees offered the benefit, by payor model. Unit: percent. Do not invent a rate — measure in a time-boxed pilot.</t>
        </is>
      </c>
      <c r="E8" s="38" t="inlineStr">
        <is>
          <t>No</t>
        </is>
      </c>
      <c r="F8" s="38" t="n"/>
      <c r="G8" s="38" t="inlineStr">
        <is>
          <t>Expensive</t>
        </is>
      </c>
      <c r="H8" s="38" t="inlineStr">
        <is>
          <t>Must pull</t>
        </is>
      </c>
      <c r="I8" s="38" t="inlineStr">
        <is>
          <t>Core next</t>
        </is>
      </c>
      <c r="J8" s="38" t="inlineStr">
        <is>
          <t>5 · Take-up</t>
        </is>
      </c>
      <c r="K8" s="38" t="inlineStr">
        <is>
          <t>Not in repo. No public take-up rate for this product exists here; pilot is the source.</t>
        </is>
      </c>
    </row>
    <row r="9" ht="72" customHeight="1" s="34">
      <c r="A9" s="38" t="inlineStr">
        <is>
          <t>M13</t>
        </is>
      </c>
      <c r="B9" s="38" t="inlineStr">
        <is>
          <t>Net new residential Internet accounts from the channel</t>
        </is>
      </c>
      <c r="C9" s="38" t="inlineStr">
        <is>
          <t>Whether Charter’s Internet print moves, not just gross benefit enrollments</t>
        </is>
      </c>
      <c r="D9" s="38" t="inlineStr">
        <is>
          <t>Numerator: new Spectrum residential Internet customer relationships attributable to the benefit that were not active Spectrum residential at t−1. Denominator: benefit enrollments (or eligible serviceable employees). Unit: accounts and percent. Transfers of existing Spectrum accounts count as retention/transfer, not net adds.</t>
        </is>
      </c>
      <c r="E9" s="38" t="inlineStr">
        <is>
          <t>No</t>
        </is>
      </c>
      <c r="F9" s="38" t="n"/>
      <c r="G9" s="38" t="inlineStr">
        <is>
          <t>Expensive</t>
        </is>
      </c>
      <c r="H9" s="38" t="inlineStr">
        <is>
          <t>Must pull</t>
        </is>
      </c>
      <c r="I9" s="38" t="inlineStr">
        <is>
          <t>Core next</t>
        </is>
      </c>
      <c r="J9" s="38" t="inlineStr">
        <is>
          <t>7 · Charter economics</t>
        </is>
      </c>
      <c r="K9" s="38" t="inlineStr">
        <is>
          <t>Not in repo. Requires billing match; no dollar model until this and M14 inputs exist.</t>
        </is>
      </c>
    </row>
  </sheetData>
  <autoFilter ref="A1:K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4.5"/>
  <cols>
    <col width="8" customWidth="1" style="34" min="1" max="1"/>
    <col width="42" customWidth="1" style="34" min="2" max="3"/>
    <col width="55" customWidth="1" style="34" min="4" max="4"/>
    <col width="10" customWidth="1" style="34" min="5" max="5"/>
    <col width="28" customWidth="1" style="34" min="6" max="6"/>
    <col width="14" customWidth="1" style="34" min="7" max="8"/>
    <col width="12" customWidth="1" style="34" min="9" max="9"/>
    <col width="18" customWidth="1" style="34" min="10" max="10"/>
    <col width="55" customWidth="1" style="34" min="11" max="11"/>
    <col width="45" customWidth="1" style="34" min="12" max="12"/>
  </cols>
  <sheetData>
    <row r="1" ht="29" customHeight="1" s="34">
      <c r="A1" s="3" t="inlineStr">
        <is>
          <t>ID</t>
        </is>
      </c>
      <c r="B1" s="3" t="inlineStr">
        <is>
          <t>Metric name</t>
        </is>
      </c>
      <c r="C1" s="3" t="inlineStr">
        <is>
          <t>Decision it gates</t>
        </is>
      </c>
      <c r="D1" s="3" t="inlineStr">
        <is>
          <t>Definition (numerator / denominator / unit)</t>
        </is>
      </c>
      <c r="E1" s="3" t="inlineStr">
        <is>
          <t>In repo?</t>
        </is>
      </c>
      <c r="F1" s="3" t="inlineStr">
        <is>
          <t>Value (only if canvas cites a number)</t>
        </is>
      </c>
      <c r="G1" s="3" t="inlineStr">
        <is>
          <t>Cheap vs expensive</t>
        </is>
      </c>
      <c r="H1" s="3" t="inlineStr">
        <is>
          <t>Status</t>
        </is>
      </c>
      <c r="I1" s="3" t="inlineStr">
        <is>
          <t>Cut</t>
        </is>
      </c>
      <c r="J1" s="3" t="inlineStr">
        <is>
          <t>Group</t>
        </is>
      </c>
      <c r="K1" s="3" t="inlineStr">
        <is>
          <t>Source / where</t>
        </is>
      </c>
      <c r="L1" s="3" t="inlineStr">
        <is>
          <t>Reason demoted</t>
        </is>
      </c>
    </row>
    <row r="2" ht="72" customHeight="1" s="34">
      <c r="A2" s="38" t="inlineStr">
        <is>
          <t>M3</t>
        </is>
      </c>
      <c r="B2" s="38" t="inlineStr">
        <is>
          <t>Small-firm vs large-firm mix of broker-placed lives</t>
        </is>
      </c>
      <c r="C2" s="38" t="inlineStr">
        <is>
          <t>Whether the broker channel skews toward employers whose workforce mix matches the offering design</t>
        </is>
      </c>
      <c r="D2" s="38" t="inlineStr">
        <is>
          <t>Numerator: broker-placed covered lives at employers with &lt;500 employees (enterprise). Denominator: all broker-placed covered lives in scope. Unit: percent. Distinct from SUSB payroll employment shares.</t>
        </is>
      </c>
      <c r="E2" s="38" t="inlineStr">
        <is>
          <t>No</t>
        </is>
      </c>
      <c r="F2" s="38" t="n"/>
      <c r="G2" s="38" t="inlineStr">
        <is>
          <t>Moderate</t>
        </is>
      </c>
      <c r="H2" s="38" t="inlineStr">
        <is>
          <t>Must pull</t>
        </is>
      </c>
      <c r="I2" s="38" t="inlineStr">
        <is>
          <t>Later</t>
        </is>
      </c>
      <c r="J2" s="38" t="inlineStr">
        <is>
          <t>1 · Broker reach</t>
        </is>
      </c>
      <c r="K2" s="38" t="inlineStr">
        <is>
          <t>Not in repo. SUSB employment shares (Analysis/small-large-employment/out/summary.json) measure the labor market, not who buys benefits through a broker.</t>
        </is>
      </c>
      <c r="L2" s="38" t="inlineStr">
        <is>
          <t>Demoted relative to M6. Employment shares already show small and large firms both matter; hold M3 until a pilot broker is named. Pull M1 and M2 next.</t>
        </is>
      </c>
    </row>
    <row r="3" ht="72" customHeight="1" s="34">
      <c r="A3" s="38" t="inlineStr">
        <is>
          <t>M7</t>
        </is>
      </c>
      <c r="B3" s="38" t="inlineStr">
        <is>
          <t>Existing employer connectivity stipend prevalence</t>
        </is>
      </c>
      <c r="C3" s="38" t="inlineStr">
        <is>
          <t>Whether employers already fund home internet outside benefits brokers</t>
        </is>
      </c>
      <c r="D3" s="38" t="inlineStr">
        <is>
          <t>Numerator: employers in the broker book that already pay a home-internet or remote-work stipend. Denominator: employers in that book (or covered lives under those employers). Unit: percent of employers and percent of lives.</t>
        </is>
      </c>
      <c r="E3" s="38" t="inlineStr">
        <is>
          <t>No</t>
        </is>
      </c>
      <c r="F3" s="38" t="n"/>
      <c r="G3" s="38" t="inlineStr">
        <is>
          <t>Moderate</t>
        </is>
      </c>
      <c r="H3" s="38" t="inlineStr">
        <is>
          <t>Must pull</t>
        </is>
      </c>
      <c r="I3" s="38" t="inlineStr">
        <is>
          <t>Later</t>
        </is>
      </c>
      <c r="J3" s="38" t="inlineStr">
        <is>
          <t>4 · Need vs discount</t>
        </is>
      </c>
      <c r="K3" s="38" t="inlineStr">
        <is>
          <t>Not in repo. Likely: broker client survey or benefits RFP fields; SHRM / Mercer benefits benchmarking (check who funded the survey before citing).</t>
        </is>
      </c>
      <c r="L3" s="38" t="inlineStr">
        <is>
          <t>Stipends refine design after M6 (already-adequate broadband among serviceable homes).</t>
        </is>
      </c>
    </row>
    <row r="4" ht="72" customHeight="1" s="34">
      <c r="A4" s="38" t="inlineStr">
        <is>
          <t>M8</t>
        </is>
      </c>
      <c r="B4" s="38" t="inlineStr">
        <is>
          <t>Competitive home-internet presence at serviceable addresses</t>
        </is>
      </c>
      <c r="C4" s="38" t="inlineStr">
        <is>
          <t>Whether Spectrum is the only practical home option or one of several</t>
        </is>
      </c>
      <c r="D4" s="38" t="inlineStr">
        <is>
          <t>Numerator: serviceable employee homes with terrestrial fiber and/or fixed wireless also available at stated speed thresholds. Denominator: Spectrum-serviceable employee homes. Unit: percent. Overlap shares in filings (~27% AT&amp;T / ~16% Verizon of Charter plant) are footprint mix, not this employee-address metric.</t>
        </is>
      </c>
      <c r="E4" s="38" t="inlineStr">
        <is>
          <t>No</t>
        </is>
      </c>
      <c r="F4" s="38" t="n"/>
      <c r="G4" s="38" t="inlineStr">
        <is>
          <t>Moderate</t>
        </is>
      </c>
      <c r="H4" s="38" t="inlineStr">
        <is>
          <t>Must pull</t>
        </is>
      </c>
      <c r="I4" s="38" t="inlineStr">
        <is>
          <t>Later</t>
        </is>
      </c>
      <c r="J4" s="38" t="inlineStr">
        <is>
          <t>4 · Need vs discount</t>
        </is>
      </c>
      <c r="K4" s="38" t="inlineStr">
        <is>
          <t>Not in repo as an employee-address rate. Plant-level overlap is in Decisions materials; do not substitute plant mix for employee homes.</t>
        </is>
      </c>
      <c r="L4" s="38" t="inlineStr">
        <is>
          <t>Competitive presence refines design after M6. Plant-level overlap (~27% AT&amp;T / ~16% Verizon of Charter plant) must not stand in for this employee-address metric.</t>
        </is>
      </c>
    </row>
    <row r="5" ht="72" customHeight="1" s="34">
      <c r="A5" s="38" t="inlineStr">
        <is>
          <t>M11</t>
        </is>
      </c>
      <c r="B5" s="38" t="inlineStr">
        <is>
          <t>Broker incremental revenue vs medical commission</t>
        </is>
      </c>
      <c r="C5" s="38" t="inlineStr">
        <is>
          <t>Whether the broker has a commercial reason to sell it beside core medical</t>
        </is>
      </c>
      <c r="D5" s="38" t="inlineStr">
        <is>
          <t>Numerator: expected broker compensation per enrolled internet account (fee, override, or admin fee — whatever the contract states). Denominator: broker commission / fee income per covered employee from medical (or full EH&amp;B) for the same employer. Unit: dollars per covered life and ratio. Leave dollars blank until a term sheet exists.</t>
        </is>
      </c>
      <c r="E5" s="38" t="inlineStr">
        <is>
          <t>No</t>
        </is>
      </c>
      <c r="F5" s="38" t="n"/>
      <c r="G5" s="38" t="inlineStr">
        <is>
          <t>Moderate</t>
        </is>
      </c>
      <c r="H5" s="38" t="inlineStr">
        <is>
          <t>Must pull</t>
        </is>
      </c>
      <c r="I5" s="38" t="inlineStr">
        <is>
          <t>Later</t>
        </is>
      </c>
      <c r="J5" s="38" t="inlineStr">
        <is>
          <t>6 · Broker motive</t>
        </is>
      </c>
      <c r="K5" s="38" t="inlineStr">
        <is>
          <t>Not in repo. Do not invent commission rates. Source: draft broker agreement + broker’s disclosed medical economics for the same book.</t>
        </is>
      </c>
      <c r="L5" s="38" t="inlineStr">
        <is>
          <t>Waits for a real term sheet — dollars left blank. Do not invent commission rates.</t>
        </is>
      </c>
    </row>
    <row r="6" ht="72" customHeight="1" s="34">
      <c r="A6" s="38" t="inlineStr">
        <is>
          <t>M14</t>
        </is>
      </c>
      <c r="B6" s="38" t="inlineStr">
        <is>
          <t>Contribution per net new account (inputs blank)</t>
        </is>
      </c>
      <c r="C6" s="38" t="inlineStr">
        <is>
          <t>Whether the channel is worth running after subsidy, broker pay, and job-exit churn</t>
        </is>
      </c>
      <c r="D6" s="38" t="inlineStr">
        <is>
          <t>Per net new account: residential contribution (revenue − direct cost) − employer/employee subsidy − broker compensation − expected loss from disconnect within N months of employment end. Separate: share of accounts that survive employment exit (numerator: still active 90 days after job end; denominator: accounts whose employee left). Values left blank — inputs not in repo.</t>
        </is>
      </c>
      <c r="E6" s="38" t="inlineStr">
        <is>
          <t>No</t>
        </is>
      </c>
      <c r="F6" s="38" t="n"/>
      <c r="G6" s="38" t="inlineStr">
        <is>
          <t>Expensive</t>
        </is>
      </c>
      <c r="H6" s="38" t="inlineStr">
        <is>
          <t>Must pull</t>
        </is>
      </c>
      <c r="I6" s="38" t="inlineStr">
        <is>
          <t>Later</t>
        </is>
      </c>
      <c r="J6" s="38" t="inlineStr">
        <is>
          <t>7 · Charter economics</t>
        </is>
      </c>
      <c r="K6" s="38" t="inlineStr">
        <is>
          <t>Not in repo. Mobile is not the Internet engine (Root C / decisions overview); do not credit mobile adds against this line.</t>
        </is>
      </c>
      <c r="L6" s="38" t="inlineStr">
        <is>
          <t>Values left blank — inputs not in repo. Count net new residential Internet accounts (M13) before any dollar model.</t>
        </is>
      </c>
    </row>
    <row r="7" ht="72" customHeight="1" s="34">
      <c r="A7" s="38" t="inlineStr">
        <is>
          <t>M15</t>
        </is>
      </c>
      <c r="B7" s="38" t="inlineStr">
        <is>
          <t>Work disruption from failed home connectivity</t>
        </is>
      </c>
      <c r="C7" s="38" t="inlineStr">
        <is>
          <t>Whether the Employee Health &amp; Benefits productivity claim can be evidenced without monitoring the pipe</t>
        </is>
      </c>
      <c r="D7" s="38" t="inlineStr">
        <is>
          <t>Numerator: employee-reported remote-work days with connectivity failure that blocked work (or ticketed outage hours on remote days). Denominator: remote-work days in the period. Unit: rate or hours. Opt-in survey / IT tickets only — provisioning must not depend on monitoring how employees use the connection (privacy constraint from prior analogy draft).</t>
        </is>
      </c>
      <c r="E7" s="38" t="inlineStr">
        <is>
          <t>No</t>
        </is>
      </c>
      <c r="F7" s="38" t="n"/>
      <c r="G7" s="38" t="inlineStr">
        <is>
          <t>Expensive</t>
        </is>
      </c>
      <c r="H7" s="38" t="inlineStr">
        <is>
          <t>Must pull</t>
        </is>
      </c>
      <c r="I7" s="38" t="inlineStr">
        <is>
          <t>Later</t>
        </is>
      </c>
      <c r="J7" s="38" t="inlineStr">
        <is>
          <t>8 · Claim credibility</t>
        </is>
      </c>
      <c r="K7" s="38" t="inlineStr">
        <is>
          <t>Not in repo. Demonstrated only after a pilot; plausible before that.</t>
        </is>
      </c>
      <c r="L7" s="38" t="inlineStr">
        <is>
          <t>Outcomes only become decidable after accounts exist. Privacy: proof cannot depend on monitoring how employees use the connection. Run after a provisioning pilot clears M5, M6, M9, and M12 — not as the first research spend.</t>
        </is>
      </c>
    </row>
    <row r="8" ht="72" customHeight="1" s="34">
      <c r="A8" s="38" t="inlineStr">
        <is>
          <t>M16</t>
        </is>
      </c>
      <c r="B8" s="38" t="inlineStr">
        <is>
          <t>Retention or recruiting lift where connectivity is offered</t>
        </is>
      </c>
      <c r="C8" s="38" t="inlineStr">
        <is>
          <t>Whether employers see a workforce outcome worth paying for</t>
        </is>
      </c>
      <c r="D8" s="38" t="inlineStr">
        <is>
          <t>Compare offer vs control employers (or pre/post): voluntary quit rate, offer-accept rate, or time-to-fill for hybrid-eligible roles. Unit: percentage-point difference. Separate demonstrated (measured in pilot) from plausible (hypothesis only).</t>
        </is>
      </c>
      <c r="E8" s="38" t="inlineStr">
        <is>
          <t>No</t>
        </is>
      </c>
      <c r="F8" s="38" t="n"/>
      <c r="G8" s="38" t="inlineStr">
        <is>
          <t>Expensive</t>
        </is>
      </c>
      <c r="H8" s="38" t="inlineStr">
        <is>
          <t>Must pull</t>
        </is>
      </c>
      <c r="I8" s="38" t="inlineStr">
        <is>
          <t>Later</t>
        </is>
      </c>
      <c r="J8" s="38" t="inlineStr">
        <is>
          <t>8 · Claim credibility</t>
        </is>
      </c>
      <c r="K8" s="38" t="inlineStr">
        <is>
          <t>Not in repo. Expensive; only decisive after accounts exist.</t>
        </is>
      </c>
      <c r="L8" s="38" t="inlineStr">
        <is>
          <t>Outcomes only become decidable after accounts exist. Expensive; only decisive after accounts exist. Run after provisioning pilot clears M5, M6, M9, and M12.</t>
        </is>
      </c>
    </row>
  </sheetData>
  <autoFilter ref="A1:L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4.5"/>
  <cols>
    <col width="55" customWidth="1" style="34" min="1" max="1"/>
    <col width="36" customWidth="1" style="34" min="2" max="2"/>
    <col width="70" customWidth="1" style="34" min="3" max="3"/>
    <col width="36" customWidth="1" style="34" min="4" max="4"/>
  </cols>
  <sheetData>
    <row r="1">
      <c r="A1" s="3" t="inlineStr">
        <is>
          <t>Figure (as on canvas)</t>
        </is>
      </c>
      <c r="B1" s="3" t="inlineStr">
        <is>
          <t>Value</t>
        </is>
      </c>
      <c r="C1" s="3" t="inlineStr">
        <is>
          <t>Source cited on canvas</t>
        </is>
      </c>
      <c r="D1" s="3" t="inlineStr">
        <is>
          <t>Related metric ID</t>
        </is>
      </c>
    </row>
    <row r="2" ht="36" customHeight="1" s="34">
      <c r="A2" s="38" t="inlineStr">
        <is>
          <t>SUSB 2022 US payroll employment share at firms &lt;500</t>
        </is>
      </c>
      <c r="B2" s="38" t="inlineStr">
        <is>
          <t>45.9%</t>
        </is>
      </c>
      <c r="C2" s="38" t="inlineStr">
        <is>
          <t>Analysis/small-large-employment/out/summary.json (cited on canvas)</t>
        </is>
      </c>
      <c r="D2" s="38" t="inlineStr">
        <is>
          <t>Context only (labor market; not M3)</t>
        </is>
      </c>
    </row>
    <row r="3" ht="36" customHeight="1" s="34">
      <c r="A3" s="38" t="inlineStr">
        <is>
          <t>SUSB 2022 US payroll employment share at firms 500+</t>
        </is>
      </c>
      <c r="B3" s="38" t="inlineStr">
        <is>
          <t>54.1%</t>
        </is>
      </c>
      <c r="C3" s="38" t="inlineStr">
        <is>
          <t>Analysis/small-large-employment/out/summary.json (cited on canvas)</t>
        </is>
      </c>
      <c r="D3" s="38" t="inlineStr">
        <is>
          <t>Context only (labor market; not M3)</t>
        </is>
      </c>
    </row>
    <row r="4" ht="36" customHeight="1" s="34">
      <c r="A4" s="38" t="inlineStr">
        <is>
          <t>SUSB 2022 state small-firm employment share range</t>
        </is>
      </c>
      <c r="B4" s="38" t="inlineStr">
        <is>
          <t>Montana 66.3% to Florida 39.6%</t>
        </is>
      </c>
      <c r="C4" s="38" t="inlineStr">
        <is>
          <t>Analysis/small-large-employment/out/summary.json (cited on canvas)</t>
        </is>
      </c>
      <c r="D4" s="38" t="inlineStr">
        <is>
          <t>Context only (labor market; not M3)</t>
        </is>
      </c>
    </row>
    <row r="5" ht="36" customHeight="1" s="34">
      <c r="A5" s="38" t="inlineStr">
        <is>
          <t>SUSB 2022 metro median employment share at firms &lt;500</t>
        </is>
      </c>
      <c r="B5" s="38" t="inlineStr">
        <is>
          <t>49.8% (387 metros)</t>
        </is>
      </c>
      <c r="C5" s="38" t="inlineStr">
        <is>
          <t>Analysis/small-large-employment/out/summary.json (cited on canvas)</t>
        </is>
      </c>
      <c r="D5" s="38" t="inlineStr">
        <is>
          <t>Context only (labor market; not M3)</t>
        </is>
      </c>
    </row>
    <row r="6" ht="36" customHeight="1" s="34">
      <c r="A6" s="38" t="inlineStr">
        <is>
          <t>ACS 2024 usually work-from-home (US)</t>
        </is>
      </c>
      <c r="B6" s="38" t="inlineStr">
        <is>
          <t>13.3%</t>
        </is>
      </c>
      <c r="C6" s="38" t="inlineStr">
        <is>
          <t>Analysis/work-from-home/out/summary.json (cited on canvas)</t>
        </is>
      </c>
      <c r="D6" s="38" t="inlineStr">
        <is>
          <t>M4</t>
        </is>
      </c>
    </row>
    <row r="7" ht="36" customHeight="1" s="34">
      <c r="A7" s="38" t="inlineStr">
        <is>
          <t>ACS 2024 usually WFH state range</t>
        </is>
      </c>
      <c r="B7" s="38" t="inlineStr">
        <is>
          <t>D.C. 22.9% to Mississippi 6.2%</t>
        </is>
      </c>
      <c r="C7" s="38" t="inlineStr">
        <is>
          <t>Analysis/work-from-home/out/summary.json (cited on canvas)</t>
        </is>
      </c>
      <c r="D7" s="38" t="inlineStr">
        <is>
          <t>M4</t>
        </is>
      </c>
    </row>
    <row r="8" ht="36" customHeight="1" s="34">
      <c r="A8" s="38" t="inlineStr">
        <is>
          <t>ATUS 2024 any work at home on days worked (US)</t>
        </is>
      </c>
      <c r="B8" s="38" t="inlineStr">
        <is>
          <t>32.5%</t>
        </is>
      </c>
      <c r="C8" s="38" t="inlineStr">
        <is>
          <t>Analysis/work-from-home/out/summary.json (cited on canvas)</t>
        </is>
      </c>
      <c r="D8" s="38" t="inlineStr">
        <is>
          <t>M4</t>
        </is>
      </c>
    </row>
    <row r="9" ht="36" customHeight="1" s="34">
      <c r="A9" s="38" t="inlineStr">
        <is>
          <t>ATUS 2024 management/business vs service (any work at home)</t>
        </is>
      </c>
      <c r="B9" s="38" t="inlineStr">
        <is>
          <t>48.1% vs 10.5%</t>
        </is>
      </c>
      <c r="C9" s="38" t="inlineStr">
        <is>
          <t>Analysis/work-from-home/out/summary.json (cited on canvas)</t>
        </is>
      </c>
      <c r="D9" s="38" t="inlineStr">
        <is>
          <t>M4</t>
        </is>
      </c>
    </row>
    <row r="10" ht="36" customHeight="1" s="34">
      <c r="A10" s="38" t="inlineStr">
        <is>
          <t>ABS 2023 share of firms with any WFH employees (&lt;500)</t>
        </is>
      </c>
      <c r="B10" s="38" t="inlineStr">
        <is>
          <t>35.8%</t>
        </is>
      </c>
      <c r="C10" s="38" t="inlineStr">
        <is>
          <t>Analysis/work-from-home/out/summary.json (cited on canvas)</t>
        </is>
      </c>
      <c r="D10" s="38" t="inlineStr">
        <is>
          <t>M4</t>
        </is>
      </c>
    </row>
    <row r="11" ht="36" customHeight="1" s="34">
      <c r="A11" s="38" t="inlineStr">
        <is>
          <t>ABS 2023 share of firms with any WFH employees (500+)</t>
        </is>
      </c>
      <c r="B11" s="38" t="inlineStr">
        <is>
          <t>77.5%</t>
        </is>
      </c>
      <c r="C11" s="38" t="inlineStr">
        <is>
          <t>Analysis/work-from-home/out/summary.json (cited on canvas)</t>
        </is>
      </c>
      <c r="D11" s="38" t="inlineStr">
        <is>
          <t>M4</t>
        </is>
      </c>
    </row>
    <row r="12" ht="36" customHeight="1" s="34">
      <c r="A12" s="38" t="n"/>
      <c r="B12" s="38" t="n"/>
      <c r="C12" s="38" t="n"/>
      <c r="D12" s="38" t="n"/>
    </row>
    <row r="13" ht="36" customHeight="1" s="34">
      <c r="A13" s="38" t="inlineStr">
        <is>
          <t>M4 metric status</t>
        </is>
      </c>
      <c r="B13" s="38" t="inlineStr">
        <is>
          <t>Done / cite only — In repo</t>
        </is>
      </c>
      <c r="C13" s="38" t="inlineStr">
        <is>
          <t>Analysis/work-from-home/out/summary.json and chtr-work-from-home-rates.canvas.tsx — ACS 2024 US 13.3% usually WFH; ATUS 2024 32.5% any work at home on days worked; ABS 2023 firms with WFH employees 35.8% (&lt;500) vs 77.5% (500+).</t>
        </is>
      </c>
      <c r="D13" s="38" t="inlineStr">
        <is>
          <t>M4</t>
        </is>
      </c>
    </row>
  </sheetData>
  <autoFilter ref="A1:D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4.5"/>
  <cols>
    <col width="28" customWidth="1" style="34" min="1" max="1"/>
    <col width="110" customWidth="1" style="34" min="2" max="2"/>
  </cols>
  <sheetData>
    <row r="1">
      <c r="A1" s="3" t="inlineStr">
        <is>
          <t>Field</t>
        </is>
      </c>
      <c r="B1" s="3" t="inlineStr">
        <is>
          <t>Content</t>
        </is>
      </c>
    </row>
    <row r="2" ht="48" customHeight="1" s="34">
      <c r="A2" s="38" t="inlineStr">
        <is>
          <t>Title</t>
        </is>
      </c>
      <c r="B2" s="38" t="inlineStr">
        <is>
          <t>Brokerage Metrics Breakdown — validation of five Employee Health &amp; Benefits broker-channel metrics (M1, M2, M5, M9, M13)</t>
        </is>
      </c>
    </row>
    <row r="3" ht="48" customHeight="1" s="34">
      <c r="A3" s="38" t="inlineStr">
        <is>
          <t>Date</t>
        </is>
      </c>
      <c r="B3" s="38" t="inlineStr">
        <is>
          <t>21 September 2026</t>
        </is>
      </c>
    </row>
    <row r="4" ht="48" customHeight="1" s="34">
      <c r="A4" s="38" t="inlineStr">
        <is>
          <t>What this file is</t>
        </is>
      </c>
      <c r="B4" s="38" t="inlineStr">
        <is>
          <t>A synthesis of five completed metric validations. It records the verdict, the retrieved public figures (with sources), what remains unknown, and any kill implication the validation stated. It is not a TAM, not a launch recommendation, and not a rewrite of the original register.</t>
        </is>
      </c>
    </row>
    <row r="5" ht="48" customHeight="1" s="34">
      <c r="A5" s="38" t="inlineStr">
        <is>
          <t>What this file is not</t>
        </is>
      </c>
      <c r="B5" s="38" t="inlineStr">
        <is>
          <t>Not Decisions/EH&amp;B/Brokerage Metrics.xlsx (that file is the original 16-metric register and is left unchanged). Not a filled M1, M2 lives share, M5 percent, Charter take-up, or M13 channel count.</t>
        </is>
      </c>
    </row>
    <row r="6" ht="48" customHeight="1" s="34">
      <c r="A6" s="38" t="inlineStr">
        <is>
          <t>Blanks are intentional</t>
        </is>
      </c>
      <c r="B6" s="38" t="inlineStr">
        <is>
          <t>Charter take-up, serviceable-home percent of any book, broker-placed lives by state, and M13 channel account counts are blank / not retrieved on purpose. Do not invent them. Do not paste an analogue, a state employment share, or company Internet net adds into those cells.</t>
        </is>
      </c>
    </row>
    <row r="7" ht="48" customHeight="1" s="34">
      <c r="A7" s="38" t="inlineStr">
        <is>
          <t>Naming collision</t>
        </is>
      </c>
      <c r="B7" s="38" t="inlineStr">
        <is>
          <t>Repo folder Decisions/EH&amp;B means existing homes and businesses on plant already built. This file means Employee Health &amp; Benefits (insurance).</t>
        </is>
      </c>
    </row>
    <row r="8" ht="48" customHeight="1" s="34">
      <c r="A8" s="38" t="inlineStr">
        <is>
          <t>Offering under test</t>
        </is>
      </c>
      <c r="B8" s="38" t="inlineStr">
        <is>
          <t>Insurance brokerage firms include employee home connectivity in the benefits offering they already sell to employers. The motion only counts when a residential Spectrum Internet account opens at the employee’s home.</t>
        </is>
      </c>
    </row>
    <row r="9" ht="48" customHeight="1" s="34">
      <c r="A9" s="38" t="inlineStr">
        <is>
          <t>Headline verdicts</t>
        </is>
      </c>
      <c r="B9" s="38" t="inlineStr">
        <is>
          <t>M1 valid — numerator blank. M2 valid — wrong unit (compensation / revenue, not lives). M5 valid — no number. M9 needs split M9a/M9b. M13 valid — tighten to P−E−D.</t>
        </is>
      </c>
    </row>
    <row r="10" ht="48" customHeight="1" s="34">
      <c r="A10" s="38" t="inlineStr">
        <is>
          <t>Do not substitute</t>
        </is>
      </c>
      <c r="B10" s="38" t="inlineStr">
        <is>
          <t>M1: 168.2M/178.2M ESI overlay is not M1; SUSB 45.9% is not M1. M2: PlanOptica 44% and BI 67% are not lives. M5: 94.6% jobs in 42 Charter-present states is an ESTIMATED ceiling, not M5. M9: KFF 76% medical take-up is the wrong analogue; SHRM 2017 5% is an employer offer, not take-up. M13: Q1 2026 residential Internet −117k is company context, not this channel.</t>
        </is>
      </c>
    </row>
    <row r="11" ht="48" customHeight="1" s="34">
      <c r="A11" s="38" t="inlineStr">
        <is>
          <t>Sheet guide</t>
        </is>
      </c>
      <c r="B11" s="38" t="inlineStr">
        <is>
          <t>Notes = this framing. Scorecard = five-row verdict table. M1 / M2 / M5 / M9 / M13 = one sheet per metric (id, name, verdict, definition, retrieved figures with year and source URL, unknowns, kill rule). Analogues = M9 public analogue rates only, labeled as analogues, not Charter take-up.</t>
        </is>
      </c>
    </row>
    <row r="12" ht="48" customHeight="1" s="34">
      <c r="A12" s="38" t="inlineStr">
        <is>
          <t>Parent register (unchanged)</t>
        </is>
      </c>
      <c r="B12" s="38" t="inlineStr">
        <is>
          <t>Decisions/EH&amp;B/Brokerage Metrics.xlsx · Core metrics; canvases/chtr-ehb-broker-channel-core-metrics.canvas.tsx</t>
        </is>
      </c>
    </row>
    <row r="13" ht="48" customHeight="1" s="34">
      <c r="A13" s="38" t="inlineStr">
        <is>
          <t>Validation canvases</t>
        </is>
      </c>
      <c r="B13" s="38" t="inlineStr">
        <is>
          <t>chtr-ehb-m1-broker-covered-lives.canvas.tsx; chtr-ehb-m2-large-broker-concentration.canvas.tsx; chtr-ehb-m5-serviceable-home-share.canvas.tsx; chtr-ehb-m9-payor-takeup.canvas.tsx; chtr-ehb-m13-net-new-residential.canvas.tsx</t>
        </is>
      </c>
    </row>
    <row r="14" ht="48" customHeight="1" s="34">
      <c r="A14" s="38" t="inlineStr">
        <is>
          <t>Arithmetic (recomputed in code)</t>
        </is>
      </c>
      <c r="B14" s="38" t="inlineStr">
        <is>
          <t>Analysis/ehb-broker-metrics/m1/; m2/out/; m5/out/; m9/; m13/</t>
        </is>
      </c>
    </row>
    <row r="15" ht="48" customHeight="1" s="34">
      <c r="A15" s="38" t="inlineStr">
        <is>
          <t>Companion PDF</t>
        </is>
      </c>
      <c r="B15" s="38" t="inlineStr">
        <is>
          <t>Decisions/EH&amp;B/Brokerage Metrics Breakdown.pdf</t>
        </is>
      </c>
    </row>
  </sheetData>
  <autoFilter ref="A1:B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4.5"/>
  <cols>
    <col width="12" customWidth="1" style="34" min="1" max="1"/>
    <col width="42" customWidth="1" style="34" min="2" max="2"/>
    <col width="26" customWidth="1" style="34" min="3" max="3"/>
    <col width="55" customWidth="1" style="34" min="4" max="4"/>
    <col width="32" customWidth="1" style="34" min="5" max="5"/>
    <col width="62" customWidth="1" style="34" min="6" max="6"/>
    <col width="55" customWidth="1" style="34" min="7" max="7"/>
  </cols>
  <sheetData>
    <row r="1">
      <c r="A1" s="3" t="inlineStr">
        <is>
          <t>Metric ID</t>
        </is>
      </c>
      <c r="B1" s="3" t="inlineStr">
        <is>
          <t>Metric name</t>
        </is>
      </c>
      <c r="C1" s="3" t="inlineStr">
        <is>
          <t>Verdict</t>
        </is>
      </c>
      <c r="D1" s="3" t="inlineStr">
        <is>
          <t>What you can use</t>
        </is>
      </c>
      <c r="E1" s="3" t="inlineStr">
        <is>
          <t>Specified number</t>
        </is>
      </c>
      <c r="F1" s="3" t="inlineStr">
        <is>
          <t>Closest retrieved (labeled — not the metric)</t>
        </is>
      </c>
      <c r="G1" s="3" t="inlineStr">
        <is>
          <t>Source URL / path</t>
        </is>
      </c>
    </row>
    <row r="2" ht="72" customHeight="1" s="34">
      <c r="A2" s="10" t="inlineStr">
        <is>
          <t>M1</t>
        </is>
      </c>
      <c r="B2" s="10" t="inlineStr">
        <is>
          <t>Broker-placed covered lives in Spectrum states</t>
        </is>
      </c>
      <c r="C2" s="10" t="inlineStr">
        <is>
          <t>Valid — numerator blank</t>
        </is>
      </c>
      <c r="D2" s="10" t="inlineStr">
        <is>
          <t>National ESI scale (KFF / MEPS / EBSA) and Charter 42-state presence. Use as a reach-screen specification, not a filled percent.</t>
        </is>
      </c>
      <c r="E2" s="10" t="inlineStr">
        <is>
          <t>blank / not retrieved</t>
        </is>
      </c>
      <c r="F2" s="10" t="inlineStr">
        <is>
          <t>168.2M of 178.2M ESI persons reside in Charter-present states (94.4%) — FLAGGED overlay, not M1. SUSB 45.9% is not M1.</t>
        </is>
      </c>
      <c r="G2" s="10" t="inlineStr">
        <is>
          <t>https://www.dol.gov/sites/dolgov/files/EBSA/researchers/data/health-and-welfare/health-insurance-coverage-bulletin-2024.pdf</t>
        </is>
      </c>
    </row>
    <row r="3" ht="72" customHeight="1" s="34">
      <c r="A3" s="10" t="inlineStr">
        <is>
          <t>M2</t>
        </is>
      </c>
      <c r="B3" s="10" t="inlineStr">
        <is>
          <t>Large-broker concentration of that book</t>
        </is>
      </c>
      <c r="C3" s="10" t="inlineStr">
        <is>
          <t>Valid — wrong unit</t>
        </is>
      </c>
      <c r="D3" s="10" t="inlineStr">
        <is>
          <t>PlanOptica 44% top-10 of Form 5500 compensation; Business Insurance 67% top-10 of Top 100 revenue. Directional on how many doors to open. Not a lives share.</t>
        </is>
      </c>
      <c r="E3" s="10" t="inlineStr">
        <is>
          <t>blank / not retrieved (lives)</t>
        </is>
      </c>
      <c r="F3" s="10" t="inlineStr">
        <is>
          <t>44.0% PlanOptica top 10 compensation; 67.2% BI top 10 / Top 100 2024 U.S. brokerage revenue. Neither is lives.</t>
        </is>
      </c>
      <c r="G3" s="10" t="inlineStr">
        <is>
          <t>https://planoptica.com/welfare/broker</t>
        </is>
      </c>
    </row>
    <row r="4" ht="72" customHeight="1" s="34">
      <c r="A4" s="10" t="inlineStr">
        <is>
          <t>M5</t>
        </is>
      </c>
      <c r="B4" s="10" t="inlineStr">
        <is>
          <t>Serviceable-home share of enrolled employees</t>
        </is>
      </c>
      <c r="C4" s="10" t="inlineStr">
        <is>
          <t>Valid — no number</t>
        </is>
      </c>
      <c r="D4" s="10" t="inlineStr">
        <is>
          <t>The hard footprint gate. Specification and kill rule only. Public plant/employment figures are the wrong grain.</t>
        </is>
      </c>
      <c r="E4" s="10" t="inlineStr">
        <is>
          <t>none — no roster × address match</t>
        </is>
      </c>
      <c r="F4" s="10" t="inlineStr">
        <is>
          <t>94.6% of SUSB 2022 jobs sit in 42 Charter-present jurisdictions — ESTIMATED ceiling, not M5. Plant share Hawaii 92.3% to Rhode Island 0.02%.</t>
        </is>
      </c>
      <c r="G4" s="10" t="inlineStr">
        <is>
          <t>https://broadbandmap.fcc.gov/data-download</t>
        </is>
      </c>
    </row>
    <row r="5" ht="72" customHeight="1" s="34">
      <c r="A5" s="10" t="inlineStr">
        <is>
          <t>M9</t>
        </is>
      </c>
      <c r="B5" s="10" t="inlineStr">
        <is>
          <t>Payor model and enrollment take-up</t>
        </is>
      </c>
      <c r="C5" s="10" t="inlineStr">
        <is>
          <t>Needs split M9a / M9b</t>
        </is>
      </c>
      <c r="D5" s="10" t="inlineStr">
        <is>
          <t>Keep both tests. Analogues bound a plausible range. Do not headline a blended enrolled/eligible rate. Pilot is the source.</t>
        </is>
      </c>
      <c r="E5" s="10" t="inlineStr">
        <is>
          <t>blank / not retrieved (Charter take-up)</t>
        </is>
      </c>
      <c r="F5" s="10" t="inlineStr">
        <is>
          <t>SHRM 2017 5% of employers offered subsidized home Internet (offer, not take-up). KFF 2025 76% medical take-up is the wrong analogue.</t>
        </is>
      </c>
      <c r="G5" s="10" t="inlineStr">
        <is>
          <t>https://www.shrm.org/content/dam/en/shrm/topics-tools/news/organizational-employee-development/Benefits-Prevalence-Report-All-Industries-All-FTEs.pdf</t>
        </is>
      </c>
    </row>
    <row r="6" ht="72" customHeight="1" s="34">
      <c r="A6" s="10" t="inlineStr">
        <is>
          <t>M13</t>
        </is>
      </c>
      <c r="B6" s="10" t="inlineStr">
        <is>
          <t>Net new residential Internet accounts from the channel</t>
        </is>
      </c>
      <c r="C6" s="10" t="inlineStr">
        <is>
          <t>Valid — tighten to P−E−D</t>
        </is>
      </c>
      <c r="D6" s="10" t="inlineStr">
        <is>
          <t>Account count: path-tagged provisions minus existing/payer-only minus same-window job-exit disconnects. Requires billing tags. Not enrollments.</t>
        </is>
      </c>
      <c r="E6" s="10" t="inlineStr">
        <is>
          <t>blank / not retrieved (channel accounts)</t>
        </is>
      </c>
      <c r="F6" s="10" t="inlineStr">
        <is>
          <t>Company residential Internet net adds Q1 2026 = −117,000 (Ex99.1). Context that Charter already reports this unit. Not this channel.</t>
        </is>
      </c>
      <c r="G6" s="10" t="inlineStr">
        <is>
          <t>PrimarySources/readable/CHTR-Q1-2026-Earnings-Release-Ex99.1.md</t>
        </is>
      </c>
    </row>
  </sheetData>
  <autoFilter ref="A1:G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4.5"/>
  <cols>
    <col width="16" customWidth="1" style="34" min="1" max="1"/>
    <col width="10" customWidth="1" style="34" min="2" max="2"/>
    <col width="42" customWidth="1" style="34" min="3" max="3"/>
    <col width="22" customWidth="1" style="34" min="4" max="4"/>
    <col width="12" customWidth="1" style="34" min="5" max="5"/>
    <col width="28" customWidth="1" style="34" min="6" max="6"/>
    <col width="62" customWidth="1" style="34" min="7" max="7"/>
    <col width="55" customWidth="1" style="34" min="8" max="8"/>
  </cols>
  <sheetData>
    <row r="1">
      <c r="A1" s="3" t="inlineStr">
        <is>
          <t>Block</t>
        </is>
      </c>
      <c r="B1" s="3" t="inlineStr">
        <is>
          <t>ID</t>
        </is>
      </c>
      <c r="C1" s="3" t="inlineStr">
        <is>
          <t>Item</t>
        </is>
      </c>
      <c r="D1" s="3" t="inlineStr">
        <is>
          <t>Value</t>
        </is>
      </c>
      <c r="E1" s="3" t="inlineStr">
        <is>
          <t>Year</t>
        </is>
      </c>
      <c r="F1" s="3" t="inlineStr">
        <is>
          <t>Origin</t>
        </is>
      </c>
      <c r="G1" s="3" t="inlineStr">
        <is>
          <t>Source URL</t>
        </is>
      </c>
      <c r="H1" s="3" t="inlineStr">
        <is>
          <t>Notes</t>
        </is>
      </c>
    </row>
    <row r="2" ht="36" customHeight="1" s="34">
      <c r="A2" s="38" t="inlineStr">
        <is>
          <t>Identity</t>
        </is>
      </c>
      <c r="B2" s="38" t="inlineStr">
        <is>
          <t>M1</t>
        </is>
      </c>
      <c r="C2" s="38" t="inlineStr">
        <is>
          <t>Broker-placed covered lives in Spectrum states</t>
        </is>
      </c>
      <c r="D2" s="38" t="n"/>
      <c r="E2" s="38" t="n"/>
      <c r="F2" s="38" t="inlineStr">
        <is>
          <t>DEFINITION</t>
        </is>
      </c>
      <c r="G2" s="38" t="inlineStr">
        <is>
          <t>chtr-ehb-broker-channel-core-metrics.canvas.tsx</t>
        </is>
      </c>
      <c r="H2" s="38" t="inlineStr">
        <is>
          <t>Parent register: Decisions/EH&amp;B/Brokerage Metrics.xlsx Core metrics M1</t>
        </is>
      </c>
    </row>
    <row r="3" ht="36" customHeight="1" s="34">
      <c r="A3" s="38" t="inlineStr">
        <is>
          <t>Verdict</t>
        </is>
      </c>
      <c r="B3" s="38" t="inlineStr">
        <is>
          <t>V1</t>
        </is>
      </c>
      <c r="C3" s="38" t="inlineStr">
        <is>
          <t>Verdict on M1 as specified</t>
        </is>
      </c>
      <c r="D3" s="38" t="inlineStr">
        <is>
          <t>valid-with-caveats — numerator blank</t>
        </is>
      </c>
      <c r="E3" s="38" t="inlineStr">
        <is>
          <t>21 September 2026</t>
        </is>
      </c>
      <c r="F3" s="38" t="inlineStr">
        <is>
          <t>ESTIMATED</t>
        </is>
      </c>
      <c r="G3" s="38" t="inlineStr">
        <is>
          <t>chtr-ehb-m1-broker-covered-lives.canvas.tsx</t>
        </is>
      </c>
      <c r="H3" s="38" t="inlineStr">
        <is>
          <t>Must match Analysis/ehb-broker-metrics/m1/summary.json</t>
        </is>
      </c>
    </row>
    <row r="4" ht="36" customHeight="1" s="34">
      <c r="A4" s="38" t="inlineStr">
        <is>
          <t>Definition</t>
        </is>
      </c>
      <c r="B4" s="38" t="inlineStr">
        <is>
          <t>S1</t>
        </is>
      </c>
      <c r="C4" s="38" t="inlineStr">
        <is>
          <t>Numerator</t>
        </is>
      </c>
      <c r="D4" s="38" t="inlineStr">
        <is>
          <t>Employees whose employer has a worksite in a Charter-present state (FCC BDC D25, provider_id 130235)</t>
        </is>
      </c>
      <c r="E4" s="38" t="n"/>
      <c r="F4" s="38" t="inlineStr">
        <is>
          <t>DEFINITION</t>
        </is>
      </c>
      <c r="G4" s="38" t="inlineStr">
        <is>
          <t>https://broadbandmap.fcc.gov/data-download</t>
        </is>
      </c>
      <c r="H4" s="38" t="inlineStr">
        <is>
          <t>Also report the stricter employee-home-state cut when an address file exists. Presence is not home serviceability (that is M5).</t>
        </is>
      </c>
    </row>
    <row r="5" ht="36" customHeight="1" s="34">
      <c r="A5" s="38" t="inlineStr">
        <is>
          <t>Definition</t>
        </is>
      </c>
      <c r="B5" s="38" t="inlineStr">
        <is>
          <t>S2</t>
        </is>
      </c>
      <c r="C5" s="38" t="inlineStr">
        <is>
          <t>Denominator</t>
        </is>
      </c>
      <c r="D5" s="38" t="inlineStr">
        <is>
          <t>All employees on that named broker’s US medical book</t>
        </is>
      </c>
      <c r="E5" s="38" t="n"/>
      <c r="F5" s="38" t="inlineStr">
        <is>
          <t>DEFINITION</t>
        </is>
      </c>
      <c r="G5" s="38" t="inlineStr">
        <is>
          <t>Decisions/EH&amp;B/Brokerage Metrics.xlsx</t>
        </is>
      </c>
      <c r="H5" s="38" t="inlineStr">
        <is>
          <t>US ESI is not the denominator. Industry-level M1 needs a named book.</t>
        </is>
      </c>
    </row>
    <row r="6" ht="36" customHeight="1" s="34">
      <c r="A6" s="38" t="inlineStr">
        <is>
          <t>Definition</t>
        </is>
      </c>
      <c r="B6" s="38" t="inlineStr">
        <is>
          <t>S3</t>
        </is>
      </c>
      <c r="C6" s="38" t="inlineStr">
        <is>
          <t>Unit</t>
        </is>
      </c>
      <c r="D6" s="38" t="inlineStr">
        <is>
          <t>Covered employees enrolled in broker-placed medical; dependents reported separately as lives</t>
        </is>
      </c>
      <c r="E6" s="38" t="n"/>
      <c r="F6" s="38" t="inlineStr">
        <is>
          <t>DEFINITION</t>
        </is>
      </c>
      <c r="G6" s="38" t="inlineStr">
        <is>
          <t>chtr-ehb-m1-broker-covered-lives.canvas.tsx</t>
        </is>
      </c>
      <c r="H6" s="38" t="inlineStr">
        <is>
          <t>Do not mix employees and dependents.</t>
        </is>
      </c>
    </row>
    <row r="7" ht="36" customHeight="1" s="34">
      <c r="A7" s="38" t="inlineStr">
        <is>
          <t>Definition</t>
        </is>
      </c>
      <c r="B7" s="38" t="inlineStr">
        <is>
          <t>A3</t>
        </is>
      </c>
      <c r="C7" s="38" t="inlineStr">
        <is>
          <t>Charter-present states</t>
        </is>
      </c>
      <c r="D7" s="38" t="inlineStr">
        <is>
          <t>42</t>
        </is>
      </c>
      <c r="E7" s="38" t="inlineStr">
        <is>
          <t>2025-12-31</t>
        </is>
      </c>
      <c r="F7" s="38" t="inlineStr">
        <is>
          <t>DERIVED from RETRIEVED</t>
        </is>
      </c>
      <c r="G7" s="38" t="inlineStr">
        <is>
          <t>https://broadbandmap.fcc.gov/data-download</t>
        </is>
      </c>
      <c r="H7" s="38" t="inlineStr">
        <is>
          <t>Any reported residential availability. Absent: AK, IA, ND, OK, SD, AR, DE, UT + DC.</t>
        </is>
      </c>
    </row>
    <row r="8" ht="36" customHeight="1" s="34">
      <c r="A8" s="38" t="inlineStr">
        <is>
          <t>Definition</t>
        </is>
      </c>
      <c r="B8" s="38" t="inlineStr">
        <is>
          <t>A4</t>
        </is>
      </c>
      <c r="C8" s="38" t="inlineStr">
        <is>
          <t>Charter-lead states</t>
        </is>
      </c>
      <c r="D8" s="38" t="inlineStr">
        <is>
          <t>19</t>
        </is>
      </c>
      <c r="E8" s="38" t="inlineStr">
        <is>
          <t>2025-12-31</t>
        </is>
      </c>
      <c r="F8" s="38" t="inlineStr">
        <is>
          <t>DERIVED from RETRIEVED</t>
        </is>
      </c>
      <c r="G8" s="38" t="inlineStr">
        <is>
          <t>https://broadbandmap.fcc.gov/data-download</t>
        </is>
      </c>
      <c r="H8" s="38" t="inlineStr">
        <is>
          <t>Strictly larger res_st_pct than Comcast. Lead is availability share, not serviceable homes.</t>
        </is>
      </c>
    </row>
    <row r="9" ht="36" customHeight="1" s="34">
      <c r="A9" s="38" t="inlineStr">
        <is>
          <t>Retrieved — not M1</t>
        </is>
      </c>
      <c r="B9" s="38" t="inlineStr">
        <is>
          <t>C5</t>
        </is>
      </c>
      <c r="C9" s="38" t="inlineStr">
        <is>
          <t>Private-sector workers enrolled at own employer</t>
        </is>
      </c>
      <c r="D9" s="38" t="inlineStr">
        <is>
          <t>65.6 million workers</t>
        </is>
      </c>
      <c r="E9" s="38" t="inlineStr">
        <is>
          <t>2024</t>
        </is>
      </c>
      <c r="F9" s="38" t="inlineStr">
        <is>
          <t>RETRIEVED</t>
        </is>
      </c>
      <c r="G9" s="38" t="inlineStr">
        <is>
          <t>https://meps.ahrq.gov/data_files/publications/rf54/rf54.pdf</t>
        </is>
      </c>
      <c r="H9" s="38" t="inlineStr">
        <is>
          <t>AHRQ MEPS-IC Research Findings 54. Own-employer enrollment, not broker-placed, not by state.</t>
        </is>
      </c>
    </row>
    <row r="10" ht="36" customHeight="1" s="34">
      <c r="A10" s="38" t="inlineStr">
        <is>
          <t>Retrieved — not M1</t>
        </is>
      </c>
      <c r="B10" s="38" t="inlineStr">
        <is>
          <t>C4</t>
        </is>
      </c>
      <c r="C10" s="38" t="inlineStr">
        <is>
          <t>Workers covered through a current employer</t>
        </is>
      </c>
      <c r="D10" s="38" t="inlineStr">
        <is>
          <t>82.8 million workers</t>
        </is>
      </c>
      <c r="E10" s="38" t="inlineStr">
        <is>
          <t>CY2023</t>
        </is>
      </c>
      <c r="F10" s="38" t="inlineStr">
        <is>
          <t>RETRIEVED</t>
        </is>
      </c>
      <c r="G10" s="38" t="inlineStr">
        <is>
          <t>https://www.dol.gov/sites/dolgov/files/EBSA/researchers/data/health-and-welfare/health-insurance-coverage-bulletin-2024.pdf</t>
        </is>
      </c>
      <c r="H10" s="38" t="inlineStr">
        <is>
          <t>EBSA CPS bulletin. Employees, still all ESI.</t>
        </is>
      </c>
    </row>
    <row r="11" ht="36" customHeight="1" s="34">
      <c r="A11" s="38" t="inlineStr">
        <is>
          <t>Retrieved — not M1</t>
        </is>
      </c>
      <c r="B11" s="38" t="inlineStr">
        <is>
          <t>C3</t>
        </is>
      </c>
      <c r="C11" s="38" t="inlineStr">
        <is>
          <t>ESI from own job, under 65</t>
        </is>
      </c>
      <c r="D11" s="38" t="inlineStr">
        <is>
          <t>85.7 million people</t>
        </is>
      </c>
      <c r="E11" s="38" t="inlineStr">
        <is>
          <t>Mar 2025</t>
        </is>
      </c>
      <c r="F11" s="38" t="inlineStr">
        <is>
          <t>RETRIEVED</t>
        </is>
      </c>
      <c r="G11" s="38" t="inlineStr">
        <is>
          <t>https://www.kff.org/health-costs/health-policy-101-employer-sponsored-health-insurance/</t>
        </is>
      </c>
      <c r="H11" s="38" t="inlineStr">
        <is>
          <t>KFF / CPS ASEC. People, not a broker book.</t>
        </is>
      </c>
    </row>
    <row r="12" ht="36" customHeight="1" s="34">
      <c r="A12" s="38" t="inlineStr">
        <is>
          <t>Retrieved — not M1</t>
        </is>
      </c>
      <c r="B12" s="38" t="inlineStr">
        <is>
          <t>B1</t>
        </is>
      </c>
      <c r="C12" s="38" t="inlineStr">
        <is>
          <t>Persons with any ESI</t>
        </is>
      </c>
      <c r="D12" s="38" t="inlineStr">
        <is>
          <t>178.2 million persons</t>
        </is>
      </c>
      <c r="E12" s="38" t="inlineStr">
        <is>
          <t>CY2023</t>
        </is>
      </c>
      <c r="F12" s="38" t="inlineStr">
        <is>
          <t>RETRIEVED</t>
        </is>
      </c>
      <c r="G12" s="38" t="inlineStr">
        <is>
          <t>https://www.dol.gov/sites/dolgov/files/EBSA/researchers/data/health-and-welfare/health-insurance-coverage-bulletin-2024.pdf</t>
        </is>
      </c>
      <c r="H12" s="38" t="inlineStr">
        <is>
          <t>EBSA Table 1A. Includes dependents, retiree, COBRA.</t>
        </is>
      </c>
    </row>
    <row r="13" ht="36" customHeight="1" s="34">
      <c r="A13" s="38" t="inlineStr">
        <is>
          <t>Retrieved — not M1</t>
        </is>
      </c>
      <c r="B13" s="38" t="inlineStr">
        <is>
          <t>B2</t>
        </is>
      </c>
      <c r="C13" s="38" t="inlineStr">
        <is>
          <t>Sum of Table 1A state ESI cells</t>
        </is>
      </c>
      <c r="D13" s="38" t="inlineStr">
        <is>
          <t>178.4 million persons</t>
        </is>
      </c>
      <c r="E13" s="38" t="inlineStr">
        <is>
          <t>CY2023</t>
        </is>
      </c>
      <c r="F13" s="38" t="inlineStr">
        <is>
          <t>DERIVED</t>
        </is>
      </c>
      <c r="G13" s="38" t="inlineStr">
        <is>
          <t>https://www.dol.gov/sites/dolgov/files/EBSA/researchers/data/health-and-welfare/health-insurance-coverage-bulletin-2024.pdf</t>
        </is>
      </c>
      <c r="H13" s="38" t="inlineStr">
        <is>
          <t>Bulletin rounding vs printed USA 178.2.</t>
        </is>
      </c>
    </row>
    <row r="14" ht="36" customHeight="1" s="34">
      <c r="A14" s="38" t="inlineStr">
        <is>
          <t>Retrieved — not M1</t>
        </is>
      </c>
      <c r="B14" s="38" t="inlineStr">
        <is>
          <t>B3</t>
        </is>
      </c>
      <c r="C14" s="38" t="inlineStr">
        <is>
          <t>ESI persons residing in Charter-present states</t>
        </is>
      </c>
      <c r="D14" s="38" t="inlineStr">
        <is>
          <t>168.2 million persons</t>
        </is>
      </c>
      <c r="E14" s="38" t="inlineStr">
        <is>
          <t>CY2023 × D25</t>
        </is>
      </c>
      <c r="F14" s="38" t="inlineStr">
        <is>
          <t>DERIVED — FLAGGED</t>
        </is>
      </c>
      <c r="G14" s="38" t="inlineStr">
        <is>
          <t>https://www.dol.gov/sites/dolgov/files/EBSA/researchers/data/health-and-welfare/health-insurance-coverage-bulletin-2024.pdf</t>
        </is>
      </c>
      <c r="H14" s="38" t="inlineStr">
        <is>
          <t>NOT M1. Residence, not worksite. All ESI, not broker-placed.</t>
        </is>
      </c>
    </row>
    <row r="15" ht="36" customHeight="1" s="34">
      <c r="A15" s="38" t="inlineStr">
        <is>
          <t>Retrieved — not M1</t>
        </is>
      </c>
      <c r="B15" s="38" t="inlineStr">
        <is>
          <t>B4</t>
        </is>
      </c>
      <c r="C15" s="38" t="inlineStr">
        <is>
          <t>ESI persons residing in Charter-absent jurisdictions</t>
        </is>
      </c>
      <c r="D15" s="38" t="inlineStr">
        <is>
          <t>10.2 million persons</t>
        </is>
      </c>
      <c r="E15" s="38" t="inlineStr">
        <is>
          <t>CY2023 × D25</t>
        </is>
      </c>
      <c r="F15" s="38" t="inlineStr">
        <is>
          <t>DERIVED — FLAGGED</t>
        </is>
      </c>
      <c r="G15" s="38" t="inlineStr">
        <is>
          <t>https://www.dol.gov/sites/dolgov/files/EBSA/researchers/data/health-and-welfare/health-insurance-coverage-bulletin-2024.pdf</t>
        </is>
      </c>
      <c r="H15" s="38" t="inlineStr">
        <is>
          <t>NOT M1. Same caveats as B3.</t>
        </is>
      </c>
    </row>
    <row r="16" ht="36" customHeight="1" s="34">
      <c r="A16" s="38" t="inlineStr">
        <is>
          <t>Retrieved — not M1</t>
        </is>
      </c>
      <c r="B16" s="38" t="inlineStr">
        <is>
          <t>B5</t>
        </is>
      </c>
      <c r="C16" s="38" t="inlineStr">
        <is>
          <t>ESI persons residing in Charter-lead states</t>
        </is>
      </c>
      <c r="D16" s="38" t="inlineStr">
        <is>
          <t>80.7 million persons</t>
        </is>
      </c>
      <c r="E16" s="38" t="inlineStr">
        <is>
          <t>CY2023 × D25</t>
        </is>
      </c>
      <c r="F16" s="38" t="inlineStr">
        <is>
          <t>DERIVED — FLAGGED</t>
        </is>
      </c>
      <c r="G16" s="38" t="inlineStr">
        <is>
          <t>https://www.dol.gov/sites/dolgov/files/EBSA/researchers/data/health-and-welfare/health-insurance-coverage-bulletin-2024.pdf</t>
        </is>
      </c>
      <c r="H16" s="38" t="inlineStr">
        <is>
          <t>NOT M1. 19 lead states.</t>
        </is>
      </c>
    </row>
    <row r="17" ht="36" customHeight="1" s="34">
      <c r="A17" s="38" t="inlineStr">
        <is>
          <t>Retrieved — not M1</t>
        </is>
      </c>
      <c r="B17" s="38" t="inlineStr">
        <is>
          <t>B6</t>
        </is>
      </c>
      <c r="C17" s="38" t="inlineStr">
        <is>
          <t>B3 / B1 present share of US ESI persons</t>
        </is>
      </c>
      <c r="D17" s="38" t="inlineStr">
        <is>
          <t>94.4 percent</t>
        </is>
      </c>
      <c r="E17" s="38" t="inlineStr">
        <is>
          <t>CY2023 × D25</t>
        </is>
      </c>
      <c r="F17" s="38" t="inlineStr">
        <is>
          <t>DERIVED — FLAGGED</t>
        </is>
      </c>
      <c r="G17" s="38" t="inlineStr">
        <is>
          <t>Analysis/ehb-broker-metrics/m1/summary.json</t>
        </is>
      </c>
      <c r="H17" s="38" t="inlineStr">
        <is>
          <t>NOT M1. Uses printed USA 178.2 as denominator.</t>
        </is>
      </c>
    </row>
    <row r="18" ht="36" customHeight="1" s="34">
      <c r="A18" s="38" t="inlineStr">
        <is>
          <t>Retrieved — not M1</t>
        </is>
      </c>
      <c r="B18" s="38" t="inlineStr">
        <is>
          <t>C1</t>
        </is>
      </c>
      <c r="C18" s="38" t="inlineStr">
        <is>
          <t>Nonelderly with ESI (ACS hierarchy)</t>
        </is>
      </c>
      <c r="D18" s="38" t="inlineStr">
        <is>
          <t>154 million people under 65</t>
        </is>
      </c>
      <c r="E18" s="38" t="inlineStr">
        <is>
          <t>2025</t>
        </is>
      </c>
      <c r="F18" s="38" t="inlineStr">
        <is>
          <t>RETRIEVED</t>
        </is>
      </c>
      <c r="G18" s="38" t="inlineStr">
        <is>
          <t>https://www.kff.org/health-costs/2025-employer-health-benefits-survey/</t>
        </is>
      </c>
      <c r="H18" s="38" t="inlineStr">
        <is>
          <t>KFF EHBS (ACS). No broker vs direct split in 2024 or 2025 EHBS. KFF-funded; fielded by Davis Research.</t>
        </is>
      </c>
    </row>
    <row r="19" ht="36" customHeight="1" s="34">
      <c r="A19" s="38" t="inlineStr">
        <is>
          <t>Retrieved — not M1</t>
        </is>
      </c>
      <c r="B19" s="38" t="inlineStr">
        <is>
          <t>C6</t>
        </is>
      </c>
      <c r="C19" s="38" t="inlineStr">
        <is>
          <t>AHIP employer-provided coverage</t>
        </is>
      </c>
      <c r="D19" s="38" t="inlineStr">
        <is>
          <t>&gt;180 million Americans</t>
        </is>
      </c>
      <c r="E19" s="38" t="inlineStr">
        <is>
          <t>2023/24</t>
        </is>
      </c>
      <c r="F19" s="38" t="inlineStr">
        <is>
          <t>RETRIEVED — AHIP-funded</t>
        </is>
      </c>
      <c r="G19" s="38" t="inlineStr">
        <is>
          <t>https://www.ahip.org/news/press-releases/new-ahip-report-highlights-indispensability-of-employer-provided-coverage-state-by-state</t>
        </is>
      </c>
      <c r="H19" s="38" t="inlineStr">
        <is>
          <t>Rounded advocacy total including families.</t>
        </is>
      </c>
    </row>
    <row r="20" ht="36" customHeight="1" s="34">
      <c r="A20" s="38" t="inlineStr">
        <is>
          <t>Retrieved — not M1</t>
        </is>
      </c>
      <c r="B20" s="38" t="inlineStr">
        <is>
          <t>D1</t>
        </is>
      </c>
      <c r="C20" s="38" t="inlineStr">
        <is>
          <t>Form 5500-filing group health participants</t>
        </is>
      </c>
      <c r="D20" s="38" t="inlineStr">
        <is>
          <t>~88 million participants</t>
        </is>
      </c>
      <c r="E20" s="38" t="inlineStr">
        <is>
          <t>2023</t>
        </is>
      </c>
      <c r="F20" s="38" t="inlineStr">
        <is>
          <t>RETRIEVED</t>
        </is>
      </c>
      <c r="G20" s="38" t="inlineStr">
        <is>
          <t>https://www.dol.gov/agencies/ebsa/researchers/statistics/retirement-bulletins</t>
        </is>
      </c>
      <c r="H20" s="38" t="inlineStr">
        <is>
          <t>Filing subset; most small fully insured plans exempt; not broker of record.</t>
        </is>
      </c>
    </row>
    <row r="21" ht="36" customHeight="1" s="34">
      <c r="A21" s="38" t="inlineStr">
        <is>
          <t>Retrieved — not M1</t>
        </is>
      </c>
      <c r="B21" s="38" t="inlineStr">
        <is>
          <t>E1</t>
        </is>
      </c>
      <c r="C21" s="38" t="inlineStr">
        <is>
          <t>Aon Health Solutions revenue</t>
        </is>
      </c>
      <c r="D21" s="38" t="inlineStr">
        <is>
          <t>$3.335 billion</t>
        </is>
      </c>
      <c r="E21" s="38" t="inlineStr">
        <is>
          <t>FY2024</t>
        </is>
      </c>
      <c r="F21" s="38" t="inlineStr">
        <is>
          <t>RETRIEVED</t>
        </is>
      </c>
      <c r="G21" s="38" t="inlineStr">
        <is>
          <t>https://www.sec.gov/Archives/edgar/data/315293/000162828025006093/aon-20241231.htm</t>
        </is>
      </c>
      <c r="H21" s="38" t="inlineStr">
        <is>
          <t>Global. Not US covered lives. Not state-split.</t>
        </is>
      </c>
    </row>
    <row r="22" ht="36" customHeight="1" s="34">
      <c r="A22" s="11" t="inlineStr">
        <is>
          <t>Retrieved — not M1</t>
        </is>
      </c>
      <c r="B22" s="11" t="inlineStr">
        <is>
          <t>E2–E4</t>
        </is>
      </c>
      <c r="C22" s="11" t="inlineStr">
        <is>
          <t>Marsh / WTW / Gallagher covered lives in 10-K</t>
        </is>
      </c>
      <c r="D22" s="11" t="inlineStr">
        <is>
          <t>blank</t>
        </is>
      </c>
      <c r="E22" s="11" t="inlineStr">
        <is>
          <t>FY2024</t>
        </is>
      </c>
      <c r="F22" s="11" t="inlineStr">
        <is>
          <t>NOT DISCLOSED</t>
        </is>
      </c>
      <c r="G22" s="11" t="inlineStr">
        <is>
          <t>https://www.sec.gov/Archives/edgar/data/62709/000006270925000015/mmc-20241231.htm</t>
        </is>
      </c>
      <c r="H22" s="11" t="inlineStr">
        <is>
          <t>Health businesses described; lives not filed.</t>
        </is>
      </c>
    </row>
    <row r="23" ht="36" customHeight="1" s="34">
      <c r="A23" s="11" t="inlineStr">
        <is>
          <t>Specified M1</t>
        </is>
      </c>
      <c r="B23" s="11" t="inlineStr">
        <is>
          <t>F1</t>
        </is>
      </c>
      <c r="C23" s="11" t="inlineStr">
        <is>
          <t>Broker-placed lives in Charter-present states</t>
        </is>
      </c>
      <c r="D23" s="11" t="inlineStr">
        <is>
          <t>blank</t>
        </is>
      </c>
      <c r="E23" s="11" t="n"/>
      <c r="F23" s="11" t="inlineStr">
        <is>
          <t>NOT RETRIEVED</t>
        </is>
      </c>
      <c r="G23" s="11" t="n"/>
      <c r="H23" s="11" t="inlineStr">
        <is>
          <t>This is M1. Leave blank. Do not allocate national lives by population.</t>
        </is>
      </c>
    </row>
    <row r="24" ht="36" customHeight="1" s="34">
      <c r="A24" s="11" t="inlineStr">
        <is>
          <t>Specified M1</t>
        </is>
      </c>
      <c r="B24" s="11" t="inlineStr">
        <is>
          <t>F2</t>
        </is>
      </c>
      <c r="C24" s="11" t="inlineStr">
        <is>
          <t>Share of a named broker book in Charter-present states</t>
        </is>
      </c>
      <c r="D24" s="11" t="inlineStr">
        <is>
          <t>blank</t>
        </is>
      </c>
      <c r="E24" s="11" t="n"/>
      <c r="F24" s="11" t="inlineStr">
        <is>
          <t>NOT RETRIEVED</t>
        </is>
      </c>
      <c r="G24" s="11" t="n"/>
      <c r="H24" s="11" t="inlineStr">
        <is>
          <t>Denominator is that broker book, not US ESI.</t>
        </is>
      </c>
    </row>
    <row r="25" ht="36" customHeight="1" s="34">
      <c r="A25" s="38" t="inlineStr">
        <is>
          <t>Excluded</t>
        </is>
      </c>
      <c r="B25" s="38" t="inlineStr">
        <is>
          <t>X1</t>
        </is>
      </c>
      <c r="C25" s="38" t="inlineStr">
        <is>
          <t>SUSB small-firm employment share</t>
        </is>
      </c>
      <c r="D25" s="38" t="inlineStr">
        <is>
          <t>45.9 percent of US payroll employment at firms &lt;500</t>
        </is>
      </c>
      <c r="E25" s="38" t="inlineStr">
        <is>
          <t>2022</t>
        </is>
      </c>
      <c r="F25" s="38" t="inlineStr">
        <is>
          <t>RETRIEVED elsewhere — DO NOT USE AS M1</t>
        </is>
      </c>
      <c r="G25" s="38" t="inlineStr">
        <is>
          <t>Analysis/small-large-employment</t>
        </is>
      </c>
      <c r="H25" s="38" t="inlineStr">
        <is>
          <t>Labor market, not broker-placed covered lives.</t>
        </is>
      </c>
    </row>
    <row r="26" ht="36" customHeight="1" s="34">
      <c r="A26" s="38" t="inlineStr">
        <is>
          <t>Unknown</t>
        </is>
      </c>
      <c r="B26" s="38" t="inlineStr">
        <is>
          <t>U1</t>
        </is>
      </c>
      <c r="C26" s="38" t="inlineStr">
        <is>
          <t>Broker vs direct (or consultant) split of medical lives</t>
        </is>
      </c>
      <c r="D26" s="38" t="inlineStr">
        <is>
          <t>not retrieved</t>
        </is>
      </c>
      <c r="E26" s="38" t="n"/>
      <c r="F26" s="38" t="inlineStr">
        <is>
          <t>NOT RETRIEVED</t>
        </is>
      </c>
      <c r="G26" s="38" t="n"/>
      <c r="H26" s="38" t="inlineStr">
        <is>
          <t>Every national ESI figure includes carrier-direct and self-administered books.</t>
        </is>
      </c>
    </row>
    <row r="27" ht="36" customHeight="1" s="34">
      <c r="A27" s="38" t="inlineStr">
        <is>
          <t>Unknown</t>
        </is>
      </c>
      <c r="B27" s="38" t="inlineStr">
        <is>
          <t>U2</t>
        </is>
      </c>
      <c r="C27" s="38" t="inlineStr">
        <is>
          <t>Those lives by state of worksite or home</t>
        </is>
      </c>
      <c r="D27" s="38" t="inlineStr">
        <is>
          <t>not retrieved</t>
        </is>
      </c>
      <c r="E27" s="38" t="n"/>
      <c r="F27" s="38" t="inlineStr">
        <is>
          <t>NOT RETRIEVED</t>
        </is>
      </c>
      <c r="G27" s="38" t="n"/>
      <c r="H27" s="38" t="inlineStr">
        <is>
          <t>Cannot overlap the book with Charter-present / lead / absent. Do not allocate national lives by population.</t>
        </is>
      </c>
    </row>
    <row r="28" ht="36" customHeight="1" s="34">
      <c r="A28" s="38" t="inlineStr">
        <is>
          <t>Unknown</t>
        </is>
      </c>
      <c r="B28" s="38" t="inlineStr">
        <is>
          <t>U3</t>
        </is>
      </c>
      <c r="C28" s="38" t="inlineStr">
        <is>
          <t>Which broker’s book is in scope</t>
        </is>
      </c>
      <c r="D28" s="38" t="inlineStr">
        <is>
          <t>not retrieved</t>
        </is>
      </c>
      <c r="E28" s="38" t="n"/>
      <c r="F28" s="38" t="inlineStr">
        <is>
          <t>NOT RETRIEVED</t>
        </is>
      </c>
      <c r="G28" s="38" t="n"/>
      <c r="H28" s="38" t="inlineStr">
        <is>
          <t>M1’s denominator is that book, not the US.</t>
        </is>
      </c>
    </row>
    <row r="29" ht="36" customHeight="1" s="34">
      <c r="A29" s="38" t="inlineStr">
        <is>
          <t>Unknown</t>
        </is>
      </c>
      <c r="B29" s="38" t="inlineStr">
        <is>
          <t>U4</t>
        </is>
      </c>
      <c r="C29" s="38" t="inlineStr">
        <is>
          <t>Employee vs dependent</t>
        </is>
      </c>
      <c r="D29" s="38" t="inlineStr">
        <is>
          <t>not retrieved</t>
        </is>
      </c>
      <c r="E29" s="38" t="n"/>
      <c r="F29" s="38" t="inlineStr">
        <is>
          <t>NOT RETRIEVED</t>
        </is>
      </c>
      <c r="G29" s="38" t="n"/>
      <c r="H29" s="38" t="inlineStr">
        <is>
          <t>AHIP / ACS / Table 1A are people; the offering is an employee home account.</t>
        </is>
      </c>
    </row>
    <row r="30" ht="36" customHeight="1" s="34">
      <c r="A30" s="38" t="inlineStr">
        <is>
          <t>Kill rule</t>
        </is>
      </c>
      <c r="B30" s="38" t="n"/>
      <c r="C30" s="38" t="inlineStr">
        <is>
          <t>If a named book has no employers Charter can put a residential Internet account in front of, the channel cannot win Spectrum residential from EH&amp;B. A national book will almost never fail the weak “any worksite in a present state” screen (Charter files in 42 of 50 states). The specified number staying blank is not a hidden yes.</t>
        </is>
      </c>
      <c r="D30" s="38" t="n"/>
      <c r="E30" s="38" t="n"/>
      <c r="F30" s="38" t="n"/>
      <c r="G30" s="38" t="n"/>
      <c r="H30" s="38" t="inlineStr">
        <is>
          <t>Written by the validation, not invented here.</t>
        </is>
      </c>
    </row>
  </sheetData>
  <autoFilter ref="A1:H3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4.5"/>
  <cols>
    <col width="16" customWidth="1" style="34" min="1" max="1"/>
    <col width="10" customWidth="1" style="34" min="2" max="2"/>
    <col width="42" customWidth="1" style="34" min="3" max="3"/>
    <col width="22" customWidth="1" style="34" min="4" max="4"/>
    <col width="12" customWidth="1" style="34" min="5" max="5"/>
    <col width="28" customWidth="1" style="34" min="6" max="6"/>
    <col width="62" customWidth="1" style="34" min="7" max="7"/>
    <col width="55" customWidth="1" style="34" min="8" max="8"/>
  </cols>
  <sheetData>
    <row r="1">
      <c r="A1" s="3" t="inlineStr">
        <is>
          <t>Block</t>
        </is>
      </c>
      <c r="B1" s="3" t="inlineStr">
        <is>
          <t>ID</t>
        </is>
      </c>
      <c r="C1" s="3" t="inlineStr">
        <is>
          <t>Item</t>
        </is>
      </c>
      <c r="D1" s="3" t="inlineStr">
        <is>
          <t>Value</t>
        </is>
      </c>
      <c r="E1" s="3" t="inlineStr">
        <is>
          <t>Year</t>
        </is>
      </c>
      <c r="F1" s="3" t="inlineStr">
        <is>
          <t>Origin</t>
        </is>
      </c>
      <c r="G1" s="3" t="inlineStr">
        <is>
          <t>Source URL</t>
        </is>
      </c>
      <c r="H1" s="3" t="inlineStr">
        <is>
          <t>Notes</t>
        </is>
      </c>
    </row>
    <row r="2" ht="36" customHeight="1" s="34">
      <c r="A2" s="38" t="inlineStr">
        <is>
          <t>Identity</t>
        </is>
      </c>
      <c r="B2" s="38" t="inlineStr">
        <is>
          <t>M2</t>
        </is>
      </c>
      <c r="C2" s="38" t="inlineStr">
        <is>
          <t>Large-broker concentration of that book</t>
        </is>
      </c>
      <c r="D2" s="38" t="n"/>
      <c r="E2" s="38" t="n"/>
      <c r="F2" s="38" t="inlineStr">
        <is>
          <t>DEFINITION</t>
        </is>
      </c>
      <c r="G2" s="38" t="inlineStr">
        <is>
          <t>chtr-ehb-broker-channel-core-metrics.canvas.tsx</t>
        </is>
      </c>
      <c r="H2" s="38" t="inlineStr">
        <is>
          <t>Parent register: Decisions/EH&amp;B/Brokerage Metrics.xlsx Core metrics M2</t>
        </is>
      </c>
    </row>
    <row r="3" ht="36" customHeight="1" s="34">
      <c r="A3" s="38" t="inlineStr">
        <is>
          <t>Verdict</t>
        </is>
      </c>
      <c r="B3" s="38" t="inlineStr">
        <is>
          <t>V1</t>
        </is>
      </c>
      <c r="C3" s="38" t="inlineStr">
        <is>
          <t>Verdict on M2 as specified</t>
        </is>
      </c>
      <c r="D3" s="38" t="inlineStr">
        <is>
          <t>valid-with-caveats — wrong unit</t>
        </is>
      </c>
      <c r="E3" s="38" t="inlineStr">
        <is>
          <t>21 September 2026</t>
        </is>
      </c>
      <c r="F3" s="38" t="inlineStr">
        <is>
          <t>ESTIMATED</t>
        </is>
      </c>
      <c r="G3" s="38" t="inlineStr">
        <is>
          <t>chtr-ehb-m2-large-broker-concentration.canvas.tsx</t>
        </is>
      </c>
      <c r="H3" s="38" t="inlineStr">
        <is>
          <t>Must match Analysis/ehb-broker-metrics/m2/out/summary.json. Specified unit is lives; public rankings are revenue or compensation.</t>
        </is>
      </c>
    </row>
    <row r="4" ht="36" customHeight="1" s="34">
      <c r="A4" s="38" t="inlineStr">
        <is>
          <t>Definition</t>
        </is>
      </c>
      <c r="B4" s="38" t="inlineStr">
        <is>
          <t>S1</t>
        </is>
      </c>
      <c r="C4" s="38" t="inlineStr">
        <is>
          <t>Numerator</t>
        </is>
      </c>
      <c r="D4" s="38" t="inlineStr">
        <is>
          <t>Covered lives at the top N broker firms (register example: top 5 / top 10)</t>
        </is>
      </c>
      <c r="E4" s="38" t="n"/>
      <c r="F4" s="38" t="inlineStr">
        <is>
          <t>DEFINITION</t>
        </is>
      </c>
      <c r="G4" s="38" t="inlineStr">
        <is>
          <t>Decisions/EH&amp;B/Brokerage Metrics.xlsx</t>
        </is>
      </c>
      <c r="H4" s="38" t="inlineStr">
        <is>
          <t>N is illustrated, not locked.</t>
        </is>
      </c>
    </row>
    <row r="5" ht="36" customHeight="1" s="34">
      <c r="A5" s="38" t="inlineStr">
        <is>
          <t>Definition</t>
        </is>
      </c>
      <c r="B5" s="38" t="inlineStr">
        <is>
          <t>S2</t>
        </is>
      </c>
      <c r="C5" s="38" t="inlineStr">
        <is>
          <t>Denominator</t>
        </is>
      </c>
      <c r="D5" s="38" t="inlineStr">
        <is>
          <t>Total broker-placed covered lives in the same geography as M1 (Spectrum-state book)</t>
        </is>
      </c>
      <c r="E5" s="38" t="n"/>
      <c r="F5" s="38" t="inlineStr">
        <is>
          <t>DEFINITION</t>
        </is>
      </c>
      <c r="G5" s="38" t="inlineStr">
        <is>
          <t>Decisions/EH&amp;B/Brokerage Metrics.xlsx</t>
        </is>
      </c>
      <c r="H5" s="38" t="inlineStr">
        <is>
          <t>Public tables are U.S. No Spectrum-state conversion invented.</t>
        </is>
      </c>
    </row>
    <row r="6" ht="36" customHeight="1" s="34">
      <c r="A6" s="38" t="inlineStr">
        <is>
          <t>Definition</t>
        </is>
      </c>
      <c r="B6" s="38" t="inlineStr">
        <is>
          <t>S3</t>
        </is>
      </c>
      <c r="C6" s="38" t="inlineStr">
        <is>
          <t>Unit</t>
        </is>
      </c>
      <c r="D6" s="38" t="inlineStr">
        <is>
          <t>Percent of lives</t>
        </is>
      </c>
      <c r="E6" s="38" t="n"/>
      <c r="F6" s="38" t="inlineStr">
        <is>
          <t>DEFINITION</t>
        </is>
      </c>
      <c r="G6" s="38" t="inlineStr">
        <is>
          <t>Decisions/EH&amp;B/Brokerage Metrics.xlsx</t>
        </is>
      </c>
      <c r="H6" s="38" t="inlineStr">
        <is>
          <t>Public proxies are percent of compensation or of Top 100 revenue.</t>
        </is>
      </c>
    </row>
    <row r="7" ht="36" customHeight="1" s="34">
      <c r="A7" s="38" t="inlineStr">
        <is>
          <t>Definition</t>
        </is>
      </c>
      <c r="B7" s="38" t="inlineStr">
        <is>
          <t>S4</t>
        </is>
      </c>
      <c r="C7" s="38" t="inlineStr">
        <is>
          <t>Gate</t>
        </is>
      </c>
      <c r="D7" s="38" t="inlineStr">
        <is>
          <t>Whether a few national brokers can move volume or the channel is fragmented</t>
        </is>
      </c>
      <c r="E7" s="38" t="n"/>
      <c r="F7" s="38" t="inlineStr">
        <is>
          <t>DEFINITION</t>
        </is>
      </c>
      <c r="G7" s="38" t="inlineStr">
        <is>
          <t>Decisions/EH&amp;B/Brokerage Metrics.xlsx</t>
        </is>
      </c>
      <c r="H7" s="38" t="inlineStr">
        <is>
          <t>Changes how many doors to open. Not a product go-live.</t>
        </is>
      </c>
    </row>
    <row r="8" ht="36" customHeight="1" s="34">
      <c r="A8" s="38" t="inlineStr">
        <is>
          <t>Retrieved — not lives</t>
        </is>
      </c>
      <c r="B8" s="38" t="inlineStr">
        <is>
          <t>B2</t>
        </is>
      </c>
      <c r="C8" s="38" t="inlineStr">
        <is>
          <t>PlanOptica top 10 share of EH&amp;B Form 5500 compensation</t>
        </is>
      </c>
      <c r="D8" s="38" t="inlineStr">
        <is>
          <t>44.0 percent</t>
        </is>
      </c>
      <c r="E8" s="38" t="n"/>
      <c r="F8" s="38" t="inlineStr">
        <is>
          <t>DERIVED</t>
        </is>
      </c>
      <c r="G8" s="38" t="inlineStr">
        <is>
          <t>https://planoptica.com/welfare/broker</t>
        </is>
      </c>
      <c r="H8" s="38" t="inlineStr">
        <is>
          <t>Headline EH&amp;B proxy. Compensation, not lives. MMA 7.1 + Gallagher Benefit 5.9 + Lockton 5.8 + Mercer Health 5.0 + USI 4.3 + WTW US 4.3 + Hub Midwest 4.1 + Aon Consulting 2.8 + Alliant 2.5 + Brown &amp; Brown 2.2.</t>
        </is>
      </c>
    </row>
    <row r="9" ht="36" customHeight="1" s="34">
      <c r="A9" s="38" t="inlineStr">
        <is>
          <t>Retrieved — not lives</t>
        </is>
      </c>
      <c r="B9" s="38" t="inlineStr">
        <is>
          <t>B1</t>
        </is>
      </c>
      <c r="C9" s="38" t="inlineStr">
        <is>
          <t>PlanOptica top 5 compensation share</t>
        </is>
      </c>
      <c r="D9" s="38" t="inlineStr">
        <is>
          <t>28.1 percent</t>
        </is>
      </c>
      <c r="E9" s="38" t="n"/>
      <c r="F9" s="38" t="inlineStr">
        <is>
          <t>DERIVED</t>
        </is>
      </c>
      <c r="G9" s="38" t="inlineStr">
        <is>
          <t>https://planoptica.com/welfare/broker</t>
        </is>
      </c>
      <c r="H9" s="38" t="inlineStr">
        <is>
          <t>MMA + Gallagher Benefit + Lockton + Mercer Health + USI.</t>
        </is>
      </c>
    </row>
    <row r="10" ht="36" customHeight="1" s="34">
      <c r="A10" s="38" t="inlineStr">
        <is>
          <t>Retrieved — not lives</t>
        </is>
      </c>
      <c r="B10" s="38" t="inlineStr">
        <is>
          <t>B3</t>
        </is>
      </c>
      <c r="C10" s="38" t="inlineStr">
        <is>
          <t>PlanOptica remainder after top 10</t>
        </is>
      </c>
      <c r="D10" s="38" t="inlineStr">
        <is>
          <t>56.0 percent</t>
        </is>
      </c>
      <c r="E10" s="38" t="n"/>
      <c r="F10" s="38" t="inlineStr">
        <is>
          <t>DERIVED</t>
        </is>
      </c>
      <c r="G10" s="38" t="inlineStr">
        <is>
          <t>https://planoptica.com/welfare/broker</t>
        </is>
      </c>
      <c r="H10" s="38" t="inlineStr">
        <is>
          <t>100 − B2. Table lists 43,129 broker names. Long tail.</t>
        </is>
      </c>
    </row>
    <row r="11" ht="36" customHeight="1" s="34">
      <c r="A11" s="38" t="inlineStr">
        <is>
          <t>Retrieved — not lives</t>
        </is>
      </c>
      <c r="B11" s="38" t="inlineStr">
        <is>
          <t>B4</t>
        </is>
      </c>
      <c r="C11" s="38" t="inlineStr">
        <is>
          <t>MMA + Mercer published shares (Marsh parent)</t>
        </is>
      </c>
      <c r="D11" s="38" t="inlineStr">
        <is>
          <t>12.1 percent</t>
        </is>
      </c>
      <c r="E11" s="38" t="n"/>
      <c r="F11" s="38" t="inlineStr">
        <is>
          <t>DERIVED</t>
        </is>
      </c>
      <c r="G11" s="38" t="inlineStr">
        <is>
          <t>https://planoptica.com/welfare/broker</t>
        </is>
      </c>
      <c r="H11" s="38" t="inlineStr">
        <is>
          <t>Filing names left uncombined on the ranking. Still compensation.</t>
        </is>
      </c>
    </row>
    <row r="12" ht="36" customHeight="1" s="34">
      <c r="A12" s="38" t="inlineStr">
        <is>
          <t>Retrieved — not lives</t>
        </is>
      </c>
      <c r="B12" s="38" t="inlineStr">
        <is>
          <t>B5</t>
        </is>
      </c>
      <c r="C12" s="38" t="inlineStr">
        <is>
          <t>Named list Marsh+Gallagher+Lockton+WTW+Aon+NFP</t>
        </is>
      </c>
      <c r="D12" s="38" t="inlineStr">
        <is>
          <t>32.5 percent</t>
        </is>
      </c>
      <c r="E12" s="38" t="n"/>
      <c r="F12" s="38" t="inlineStr">
        <is>
          <t>DERIVED</t>
        </is>
      </c>
      <c r="G12" s="38" t="inlineStr">
        <is>
          <t>https://planoptica.com/welfare/broker</t>
        </is>
      </c>
      <c r="H12" s="38" t="inlineStr">
        <is>
          <t>Uses B4 plus Gallagher 5.9, Lockton 5.8, WTW US 4.3, Aon Consulting 2.8, NFP 1.6.</t>
        </is>
      </c>
    </row>
    <row r="13" ht="36" customHeight="1" s="34">
      <c r="A13" s="38" t="inlineStr">
        <is>
          <t>Retrieved — not lives</t>
        </is>
      </c>
      <c r="B13" s="38" t="inlineStr">
        <is>
          <t>A5</t>
        </is>
      </c>
      <c r="C13" s="38" t="inlineStr">
        <is>
          <t>BI top 10 / Top 100 U.S. brokerage revenue</t>
        </is>
      </c>
      <c r="D13" s="38" t="inlineStr">
        <is>
          <t>67.2 percent (headline 67%)</t>
        </is>
      </c>
      <c r="E13" s="38" t="inlineStr">
        <is>
          <t>2024</t>
        </is>
      </c>
      <c r="F13" s="38" t="inlineStr">
        <is>
          <t>DERIVED</t>
        </is>
      </c>
      <c r="G13" s="38" t="inlineStr">
        <is>
          <t>https://communityprod.blob.core.windows.net/public/top_100_2025_bi.pdf</t>
        </is>
      </c>
      <c r="H13" s="38" t="inlineStr">
        <is>
          <t>A2/A3 = 53.611B / 79.802B = 67.18%. Revenue, not lives. P&amp;C + benefits. Of Top 100, not the market.</t>
        </is>
      </c>
    </row>
    <row r="14" ht="36" customHeight="1" s="34">
      <c r="A14" s="38" t="inlineStr">
        <is>
          <t>Retrieved — not lives</t>
        </is>
      </c>
      <c r="B14" s="38" t="inlineStr">
        <is>
          <t>A4</t>
        </is>
      </c>
      <c r="C14" s="38" t="inlineStr">
        <is>
          <t>BI top 5 / Top 100 U.S. brokerage revenue</t>
        </is>
      </c>
      <c r="D14" s="38" t="inlineStr">
        <is>
          <t>46.7 percent</t>
        </is>
      </c>
      <c r="E14" s="38" t="inlineStr">
        <is>
          <t>2024</t>
        </is>
      </c>
      <c r="F14" s="38" t="inlineStr">
        <is>
          <t>DERIVED</t>
        </is>
      </c>
      <c r="G14" s="38" t="inlineStr">
        <is>
          <t>https://communityprod.blob.core.windows.net/public/top_100_2025_bi.pdf</t>
        </is>
      </c>
      <c r="H14" s="38" t="inlineStr">
        <is>
          <t>Marsh, Aon, Gallagher, WTW, Alliant.</t>
        </is>
      </c>
    </row>
    <row r="15" ht="36" customHeight="1" s="34">
      <c r="A15" s="38" t="inlineStr">
        <is>
          <t>Retrieved — not lives</t>
        </is>
      </c>
      <c r="B15" s="38" t="inlineStr">
        <is>
          <t>A3</t>
        </is>
      </c>
      <c r="C15" s="38" t="inlineStr">
        <is>
          <t>BI Top 100 2024 U.S. brokerage revenue</t>
        </is>
      </c>
      <c r="D15" s="38" t="inlineStr">
        <is>
          <t>$79.8 billion</t>
        </is>
      </c>
      <c r="E15" s="38" t="inlineStr">
        <is>
          <t>2024</t>
        </is>
      </c>
      <c r="F15" s="38" t="inlineStr">
        <is>
          <t>RETRIEVED</t>
        </is>
      </c>
      <c r="G15" s="38" t="inlineStr">
        <is>
          <t>https://communityprod.blob.core.windows.net/public/top_100_2025_bi.pdf</t>
        </is>
      </c>
      <c r="H15" s="38" t="inlineStr">
        <is>
          <t>Business Insurance / Crain; brokers self-report. Excludes firms with &gt;49% personal-lines gross revenue.</t>
        </is>
      </c>
    </row>
    <row r="16" ht="36" customHeight="1" s="34">
      <c r="A16" s="38" t="inlineStr">
        <is>
          <t>Retrieved — not lives</t>
        </is>
      </c>
      <c r="B16" s="38" t="inlineStr">
        <is>
          <t>A2</t>
        </is>
      </c>
      <c r="C16" s="38" t="inlineStr">
        <is>
          <t>BI Top 10 2024 U.S. brokerage revenue</t>
        </is>
      </c>
      <c r="D16" s="38" t="inlineStr">
        <is>
          <t>$53.6 billion</t>
        </is>
      </c>
      <c r="E16" s="38" t="inlineStr">
        <is>
          <t>2024</t>
        </is>
      </c>
      <c r="F16" s="38" t="inlineStr">
        <is>
          <t>RETRIEVED</t>
        </is>
      </c>
      <c r="G16" s="38" t="inlineStr">
        <is>
          <t>https://communityprod.blob.core.windows.net/public/top_100_2025_bi.pdf</t>
        </is>
      </c>
      <c r="H16" s="38" t="inlineStr">
        <is>
          <t>Adds Brown &amp; Brown, Hub, Lockton, AssuredPartners, USI.</t>
        </is>
      </c>
    </row>
    <row r="17" ht="36" customHeight="1" s="34">
      <c r="A17" s="38" t="inlineStr">
        <is>
          <t>Retrieved — not lives</t>
        </is>
      </c>
      <c r="B17" s="38" t="inlineStr">
        <is>
          <t>A6</t>
        </is>
      </c>
      <c r="C17" s="38" t="inlineStr">
        <is>
          <t>Marsh+Aon+Gallagher+WTW+Lockton / Top 100</t>
        </is>
      </c>
      <c r="D17" s="38" t="inlineStr">
        <is>
          <t>44.1 percent</t>
        </is>
      </c>
      <c r="E17" s="38" t="inlineStr">
        <is>
          <t>2024</t>
        </is>
      </c>
      <c r="F17" s="38" t="inlineStr">
        <is>
          <t>DERIVED</t>
        </is>
      </c>
      <c r="G17" s="38" t="inlineStr">
        <is>
          <t>https://communityprod.blob.core.windows.net/public/top_100_2025_bi.pdf</t>
        </is>
      </c>
      <c r="H17" s="38" t="inlineStr">
        <is>
          <t>NFP inside Aon pro forma.</t>
        </is>
      </c>
    </row>
    <row r="18" ht="36" customHeight="1" s="34">
      <c r="A18" s="38" t="inlineStr">
        <is>
          <t>Retrieved — not lives</t>
        </is>
      </c>
      <c r="B18" s="38" t="inlineStr">
        <is>
          <t>A7</t>
        </is>
      </c>
      <c r="C18" s="38" t="inlineStr">
        <is>
          <t>MarshBerry citing BI: top 10 of Top 100</t>
        </is>
      </c>
      <c r="D18" s="38" t="inlineStr">
        <is>
          <t>70 percent</t>
        </is>
      </c>
      <c r="E18" s="38" t="inlineStr">
        <is>
          <t>2025</t>
        </is>
      </c>
      <c r="F18" s="38" t="inlineStr">
        <is>
          <t>RETRIEVED</t>
        </is>
      </c>
      <c r="G18" s="38" t="inlineStr">
        <is>
          <t>https://www.marshberry.com/resource/the-next-era-of-insurance-brokerage-the-top-100-defined-by-growth-consolidation-and-ai/</t>
        </is>
      </c>
      <c r="H18" s="38" t="inlineStr">
        <is>
          <t>Top 100 $83.3B, top 10 $58.5B. Different year — do not mix with 67%.</t>
        </is>
      </c>
    </row>
    <row r="19" ht="36" customHeight="1" s="34">
      <c r="A19" s="38" t="inlineStr">
        <is>
          <t>Retrieved — caveat</t>
        </is>
      </c>
      <c r="B19" s="38" t="inlineStr">
        <is>
          <t>D1</t>
        </is>
      </c>
      <c r="C19" s="38" t="inlineStr">
        <is>
          <t>U.S. small-group broker fees PMPM</t>
        </is>
      </c>
      <c r="D19" s="38" t="inlineStr">
        <is>
          <t>$29.79</t>
        </is>
      </c>
      <c r="E19" s="38" t="inlineStr">
        <is>
          <t>2024</t>
        </is>
      </c>
      <c r="F19" s="38" t="inlineStr">
        <is>
          <t>RETRIEVED</t>
        </is>
      </c>
      <c r="G19" s="38" t="inlineStr">
        <is>
          <t>https://www.kff.org/health-costs/state-indicator/health-insurance-broker-compensation/</t>
        </is>
      </c>
      <c r="H19" s="38" t="inlineStr">
        <is>
          <t>KFF (nonprofit, not Kaiser Permanente) analysis of Mark Farrah Associates Health Coverage Portal. Why compensation understates jumbo lives.</t>
        </is>
      </c>
    </row>
    <row r="20" ht="36" customHeight="1" s="34">
      <c r="A20" s="38" t="inlineStr">
        <is>
          <t>Retrieved — caveat</t>
        </is>
      </c>
      <c r="B20" s="38" t="inlineStr">
        <is>
          <t>D2</t>
        </is>
      </c>
      <c r="C20" s="38" t="inlineStr">
        <is>
          <t>U.S. large-group broker fees PMPM</t>
        </is>
      </c>
      <c r="D20" s="38" t="inlineStr">
        <is>
          <t>$10.00</t>
        </is>
      </c>
      <c r="E20" s="38" t="inlineStr">
        <is>
          <t>2024</t>
        </is>
      </c>
      <c r="F20" s="38" t="inlineStr">
        <is>
          <t>RETRIEVED</t>
        </is>
      </c>
      <c r="G20" s="38" t="inlineStr">
        <is>
          <t>https://www.kff.org/health-costs/state-indicator/health-insurance-broker-compensation/</t>
        </is>
      </c>
      <c r="H20" s="38" t="inlineStr">
        <is>
          <t>Large-group PMPM is about one-third of small-group.</t>
        </is>
      </c>
    </row>
    <row r="21" ht="36" customHeight="1" s="34">
      <c r="A21" s="38" t="inlineStr">
        <is>
          <t>Retrieved — not lives</t>
        </is>
      </c>
      <c r="B21" s="38" t="inlineStr">
        <is>
          <t>C1</t>
        </is>
      </c>
      <c r="C21" s="38" t="inlineStr">
        <is>
          <t>Marsh McLennan 2024 GAAP revenue</t>
        </is>
      </c>
      <c r="D21" s="38" t="inlineStr">
        <is>
          <t>$24.458 billion</t>
        </is>
      </c>
      <c r="E21" s="38" t="inlineStr">
        <is>
          <t>FY2024</t>
        </is>
      </c>
      <c r="F21" s="38" t="inlineStr">
        <is>
          <t>RETRIEVED</t>
        </is>
      </c>
      <c r="G21" s="38" t="inlineStr">
        <is>
          <t>https://www.corporate.marsh.com/web-assets/files-for-download/investors/2025/pdf-2024-marsh-mclennan-investors-annual-report.pdf</t>
        </is>
      </c>
      <c r="H21" s="38" t="inlineStr">
        <is>
          <t>Global. No US EH&amp;B covered-lives figure.</t>
        </is>
      </c>
    </row>
    <row r="22" ht="36" customHeight="1" s="34">
      <c r="A22" s="38" t="inlineStr">
        <is>
          <t>Retrieved — not lives</t>
        </is>
      </c>
      <c r="B22" s="38" t="inlineStr">
        <is>
          <t>C3</t>
        </is>
      </c>
      <c r="C22" s="38" t="inlineStr">
        <is>
          <t>Aon Health Solutions 2024 revenue</t>
        </is>
      </c>
      <c r="D22" s="38" t="inlineStr">
        <is>
          <t>$3.335 billion</t>
        </is>
      </c>
      <c r="E22" s="38" t="inlineStr">
        <is>
          <t>FY2024</t>
        </is>
      </c>
      <c r="F22" s="38" t="inlineStr">
        <is>
          <t>RETRIEVED</t>
        </is>
      </c>
      <c r="G22" s="38" t="inlineStr">
        <is>
          <t>https://aon.mediaroom.com/2025-01-31-Aon-Reports-Fourth-Quarter-and-Full-Year-2024-Results</t>
        </is>
      </c>
      <c r="H22" s="38" t="inlineStr">
        <is>
          <t>Global. Includes NFP. Not US lives.</t>
        </is>
      </c>
    </row>
    <row r="23" ht="36" customHeight="1" s="34">
      <c r="A23" s="11" t="inlineStr">
        <is>
          <t>Specified M2</t>
        </is>
      </c>
      <c r="B23" s="11" t="inlineStr">
        <is>
          <t>X1</t>
        </is>
      </c>
      <c r="C23" s="11" t="inlineStr">
        <is>
          <t>Share of broker-placed EH&amp;B covered lives at largest N brokers</t>
        </is>
      </c>
      <c r="D23" s="11" t="inlineStr">
        <is>
          <t>blank</t>
        </is>
      </c>
      <c r="E23" s="11" t="n"/>
      <c r="F23" s="11" t="inlineStr">
        <is>
          <t>NOT RETRIEVED</t>
        </is>
      </c>
      <c r="G23" s="11" t="n"/>
      <c r="H23" s="11" t="inlineStr">
        <is>
          <t>This is specified M2. 10-Ks and rankings do not publish it. Leave blank.</t>
        </is>
      </c>
    </row>
    <row r="24" ht="36" customHeight="1" s="34">
      <c r="A24" s="38" t="inlineStr">
        <is>
          <t>Unknown</t>
        </is>
      </c>
      <c r="B24" s="38" t="inlineStr">
        <is>
          <t>X2</t>
        </is>
      </c>
      <c r="C24" s="38" t="inlineStr">
        <is>
          <t>Brokers below BI Top 100 and personal-lines-majority firms</t>
        </is>
      </c>
      <c r="D24" s="38" t="inlineStr">
        <is>
          <t>not retrieved</t>
        </is>
      </c>
      <c r="E24" s="38" t="n"/>
      <c r="F24" s="38" t="inlineStr">
        <is>
          <t>NOT RETRIEVED</t>
        </is>
      </c>
      <c r="G24" s="38" t="inlineStr">
        <is>
          <t>https://communityprod.blob.core.windows.net/public/top_100_2025_bi.pdf</t>
        </is>
      </c>
      <c r="H24" s="38" t="inlineStr">
        <is>
          <t>67% is of the Top 100, not of U.S. brokerage.</t>
        </is>
      </c>
    </row>
    <row r="25" ht="36" customHeight="1" s="34">
      <c r="A25" s="38" t="inlineStr">
        <is>
          <t>Unknown</t>
        </is>
      </c>
      <c r="B25" s="38" t="inlineStr">
        <is>
          <t>X3</t>
        </is>
      </c>
      <c r="C25" s="38" t="inlineStr">
        <is>
          <t>Spectrum-state cut of any concentration figure</t>
        </is>
      </c>
      <c r="D25" s="38" t="inlineStr">
        <is>
          <t>not retrieved</t>
        </is>
      </c>
      <c r="E25" s="38" t="n"/>
      <c r="F25" s="38" t="inlineStr">
        <is>
          <t>NOT RETRIEVED</t>
        </is>
      </c>
      <c r="G25" s="38" t="n"/>
      <c r="H25" s="38" t="inlineStr">
        <is>
          <t>M2 geography is M1’s book. Public tables are U.S. No conversion invented.</t>
        </is>
      </c>
    </row>
    <row r="26" ht="36" customHeight="1" s="34">
      <c r="A26" s="38" t="inlineStr">
        <is>
          <t>Unknown</t>
        </is>
      </c>
      <c r="B26" s="38" t="inlineStr">
        <is>
          <t>X4</t>
        </is>
      </c>
      <c r="C26" s="38" t="inlineStr">
        <is>
          <t>Welfare plans / fees outside Form 5500 Schedule A as used here</t>
        </is>
      </c>
      <c r="D26" s="38" t="inlineStr">
        <is>
          <t>not retrieved</t>
        </is>
      </c>
      <c r="E26" s="38" t="n"/>
      <c r="F26" s="38" t="inlineStr">
        <is>
          <t>NOT RETRIEVED</t>
        </is>
      </c>
      <c r="G26" s="38" t="inlineStr">
        <is>
          <t>https://planoptica.com/freeerisa</t>
        </is>
      </c>
      <c r="H26" s="38" t="inlineStr">
        <is>
          <t>Small welfare plans and jumbo consulting paid off Schedule A are missing.</t>
        </is>
      </c>
    </row>
    <row r="27" ht="36" customHeight="1" s="34">
      <c r="A27" s="38" t="inlineStr">
        <is>
          <t>Unknown</t>
        </is>
      </c>
      <c r="B27" s="38" t="inlineStr">
        <is>
          <t>—</t>
        </is>
      </c>
      <c r="C27" s="38" t="inlineStr">
        <is>
          <t>Sister-entity undercount</t>
        </is>
      </c>
      <c r="D27" s="38" t="inlineStr">
        <is>
          <t>not restated</t>
        </is>
      </c>
      <c r="E27" s="38" t="n"/>
      <c r="F27" s="38" t="inlineStr">
        <is>
          <t>NOT RESTATED</t>
        </is>
      </c>
      <c r="G27" s="38" t="inlineStr">
        <is>
          <t>https://planoptica.com/welfare/broker</t>
        </is>
      </c>
      <c r="H27" s="38" t="inlineStr">
        <is>
          <t>Hub is Midwest only; WTW is US LLC only. Parent share ≥ filing-name share.</t>
        </is>
      </c>
    </row>
    <row r="28" ht="36" customHeight="1" s="34">
      <c r="A28" s="38" t="inlineStr">
        <is>
          <t>Kill rule</t>
        </is>
      </c>
      <c r="B28" s="38" t="n"/>
      <c r="C28" s="38" t="inlineStr">
        <is>
          <t>The closest EH&amp;B proxy says a handful of national partnerships does not cover the book (56% of observed compensation sits in a 43,119-name tail). That changes how many doors to open. It is not a product go-live. Lives share remains unknown, so this gate is directional, not closed.</t>
        </is>
      </c>
      <c r="D28" s="38" t="n"/>
      <c r="E28" s="38" t="n"/>
      <c r="F28" s="38" t="n"/>
      <c r="G28" s="38" t="n"/>
      <c r="H28" s="38" t="inlineStr">
        <is>
          <t>Written by the validation, not invented here.</t>
        </is>
      </c>
    </row>
  </sheetData>
  <autoFilter ref="A1:H2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4.5"/>
  <cols>
    <col width="16" customWidth="1" style="34" min="1" max="1"/>
    <col width="10" customWidth="1" style="34" min="2" max="2"/>
    <col width="42" customWidth="1" style="34" min="3" max="3"/>
    <col width="22" customWidth="1" style="34" min="4" max="4"/>
    <col width="12" customWidth="1" style="34" min="5" max="5"/>
    <col width="28" customWidth="1" style="34" min="6" max="6"/>
    <col width="62" customWidth="1" style="34" min="7" max="7"/>
    <col width="55" customWidth="1" style="34" min="8" max="8"/>
  </cols>
  <sheetData>
    <row r="1">
      <c r="A1" s="3" t="inlineStr">
        <is>
          <t>Block</t>
        </is>
      </c>
      <c r="B1" s="3" t="inlineStr">
        <is>
          <t>ID</t>
        </is>
      </c>
      <c r="C1" s="3" t="inlineStr">
        <is>
          <t>Item</t>
        </is>
      </c>
      <c r="D1" s="3" t="inlineStr">
        <is>
          <t>Value</t>
        </is>
      </c>
      <c r="E1" s="3" t="inlineStr">
        <is>
          <t>Year</t>
        </is>
      </c>
      <c r="F1" s="3" t="inlineStr">
        <is>
          <t>Origin</t>
        </is>
      </c>
      <c r="G1" s="3" t="inlineStr">
        <is>
          <t>Source URL</t>
        </is>
      </c>
      <c r="H1" s="3" t="inlineStr">
        <is>
          <t>Notes</t>
        </is>
      </c>
    </row>
    <row r="2" ht="36" customHeight="1" s="34">
      <c r="A2" s="38" t="inlineStr">
        <is>
          <t>Identity</t>
        </is>
      </c>
      <c r="B2" s="38" t="inlineStr">
        <is>
          <t>M5</t>
        </is>
      </c>
      <c r="C2" s="38" t="inlineStr">
        <is>
          <t>Serviceable-home share of enrolled employees</t>
        </is>
      </c>
      <c r="D2" s="38" t="n"/>
      <c r="E2" s="38" t="n"/>
      <c r="F2" s="38" t="inlineStr">
        <is>
          <t>DEFINITION</t>
        </is>
      </c>
      <c r="G2" s="38" t="inlineStr">
        <is>
          <t>chtr-ehb-broker-channel-core-metrics.canvas.tsx</t>
        </is>
      </c>
      <c r="H2" s="38" t="inlineStr">
        <is>
          <t>Parent register: Decisions/EH&amp;B/Brokerage Metrics.xlsx Core metrics M5</t>
        </is>
      </c>
    </row>
    <row r="3" ht="36" customHeight="1" s="34">
      <c r="A3" s="38" t="inlineStr">
        <is>
          <t>Verdict</t>
        </is>
      </c>
      <c r="B3" s="38" t="inlineStr">
        <is>
          <t>V1</t>
        </is>
      </c>
      <c r="C3" s="38" t="inlineStr">
        <is>
          <t>Verdict on the metric</t>
        </is>
      </c>
      <c r="D3" s="38" t="inlineStr">
        <is>
          <t>valid — footprint hard gate</t>
        </is>
      </c>
      <c r="E3" s="38" t="inlineStr">
        <is>
          <t>21 September 2026</t>
        </is>
      </c>
      <c r="F3" s="38" t="inlineStr">
        <is>
          <t>ESTIMATED</t>
        </is>
      </c>
      <c r="G3" s="38" t="inlineStr">
        <is>
          <t>chtr-ehb-m5-serviceable-home-share.canvas.tsx</t>
        </is>
      </c>
      <c r="H3" s="38" t="inlineStr">
        <is>
          <t>Must match Analysis/ehb-broker-metrics/m5/out/summary.json</t>
        </is>
      </c>
    </row>
    <row r="4" ht="36" customHeight="1" s="34">
      <c r="A4" s="38" t="inlineStr">
        <is>
          <t>Verdict</t>
        </is>
      </c>
      <c r="B4" s="38" t="inlineStr">
        <is>
          <t>V2</t>
        </is>
      </c>
      <c r="C4" s="38" t="inlineStr">
        <is>
          <t>Verdict on a number</t>
        </is>
      </c>
      <c r="D4" s="38" t="inlineStr">
        <is>
          <t>none — cannot claim</t>
        </is>
      </c>
      <c r="E4" s="38" t="inlineStr">
        <is>
          <t>21 September 2026</t>
        </is>
      </c>
      <c r="F4" s="38" t="inlineStr">
        <is>
          <t>ESTIMATED</t>
        </is>
      </c>
      <c r="G4" s="38" t="inlineStr">
        <is>
          <t>chtr-ehb-m5-serviceable-home-share.canvas.tsx</t>
        </is>
      </c>
      <c r="H4" s="38" t="inlineStr">
        <is>
          <t>No roster × BSL/addressability match.</t>
        </is>
      </c>
    </row>
    <row r="5" ht="36" customHeight="1" s="34">
      <c r="A5" s="38" t="inlineStr">
        <is>
          <t>Definition</t>
        </is>
      </c>
      <c r="B5" s="38" t="inlineStr">
        <is>
          <t>A1</t>
        </is>
      </c>
      <c r="C5" s="38" t="inlineStr">
        <is>
          <t>Numerator / denominator</t>
        </is>
      </c>
      <c r="D5" s="38" t="inlineStr">
        <is>
          <t>Enrolled (or broker-covered) employees whose residential address passes a Spectrum residential serviceability check ÷ enrolled/covered employees who supply a home address</t>
        </is>
      </c>
      <c r="E5" s="38" t="n"/>
      <c r="F5" s="38" t="inlineStr">
        <is>
          <t>RETRIEVED</t>
        </is>
      </c>
      <c r="G5" s="38" t="inlineStr">
        <is>
          <t>Decisions/EH&amp;B/Brokerage Metrics.xlsx</t>
        </is>
      </c>
      <c r="H5" s="38" t="inlineStr">
        <is>
          <t>Hard fail for out-of-footprint homes. Write one denominator before the pilot.</t>
        </is>
      </c>
    </row>
    <row r="6" ht="36" customHeight="1" s="34">
      <c r="A6" s="38" t="inlineStr">
        <is>
          <t>Definition</t>
        </is>
      </c>
      <c r="B6" s="38" t="inlineStr">
        <is>
          <t>S4</t>
        </is>
      </c>
      <c r="C6" s="38" t="inlineStr">
        <is>
          <t>What it gates</t>
        </is>
      </c>
      <c r="D6" s="38" t="inlineStr">
        <is>
          <t>Whether Spectrum can actually fulfill the benefit at the employee’s address</t>
        </is>
      </c>
      <c r="E6" s="38" t="n"/>
      <c r="F6" s="38" t="inlineStr">
        <is>
          <t>DEFINITION</t>
        </is>
      </c>
      <c r="G6" s="38" t="inlineStr">
        <is>
          <t>Decisions/EH&amp;B/Brokerage Metrics.xlsx</t>
        </is>
      </c>
      <c r="H6" s="38" t="inlineStr">
        <is>
          <t>If M5 is low and there is no multi-ISP fallback, the offering cannot be sold as a national included benefit.</t>
        </is>
      </c>
    </row>
    <row r="7" ht="36" customHeight="1" s="34">
      <c r="A7" s="11" t="inlineStr">
        <is>
          <t>Specified M5</t>
        </is>
      </c>
      <c r="B7" s="11" t="inlineStr">
        <is>
          <t>A2</t>
        </is>
      </c>
      <c r="C7" s="11" t="inlineStr">
        <is>
          <t>M5 number for any broker book</t>
        </is>
      </c>
      <c r="D7" s="11" t="inlineStr">
        <is>
          <t>none</t>
        </is>
      </c>
      <c r="E7" s="11" t="n"/>
      <c r="F7" s="11" t="inlineStr">
        <is>
          <t>BLOCKING</t>
        </is>
      </c>
      <c r="G7" s="11" t="n"/>
      <c r="H7" s="11" t="inlineStr">
        <is>
          <t>No roster, no address match. This is M5. Leave blank.</t>
        </is>
      </c>
    </row>
    <row r="8" ht="36" customHeight="1" s="34">
      <c r="A8" s="38" t="inlineStr">
        <is>
          <t>Retrieved — not M5</t>
        </is>
      </c>
      <c r="B8" s="38" t="inlineStr">
        <is>
          <t>B1</t>
        </is>
      </c>
      <c r="C8" s="38" t="inlineStr">
        <is>
          <t>Charter-present jurisdictions (50 states + DC)</t>
        </is>
      </c>
      <c r="D8" s="38" t="inlineStr">
        <is>
          <t>42</t>
        </is>
      </c>
      <c r="E8" s="38" t="inlineStr">
        <is>
          <t>2025-12-31</t>
        </is>
      </c>
      <c r="F8" s="38" t="inlineStr">
        <is>
          <t>RETRIEVED</t>
        </is>
      </c>
      <c r="G8" s="38" t="inlineStr">
        <is>
          <t>https://broadbandmap.fcc.gov/data-download</t>
        </is>
      </c>
      <c r="H8" s="38" t="inlineStr">
        <is>
          <t>FCC BDC D25 revision 15 Sep 2026. Presence = any residential fixed-broadband filing. Includes Rhode Island at 106 estimated residential units.</t>
        </is>
      </c>
    </row>
    <row r="9" ht="36" customHeight="1" s="34">
      <c r="A9" s="38" t="inlineStr">
        <is>
          <t>Retrieved — not M5</t>
        </is>
      </c>
      <c r="B9" s="38" t="inlineStr">
        <is>
          <t>B2</t>
        </is>
      </c>
      <c r="C9" s="38" t="inlineStr">
        <is>
          <t>Charter-absent jurisdictions</t>
        </is>
      </c>
      <c r="D9" s="38" t="inlineStr">
        <is>
          <t>9</t>
        </is>
      </c>
      <c r="E9" s="38" t="inlineStr">
        <is>
          <t>2025-12-31</t>
        </is>
      </c>
      <c r="F9" s="38" t="inlineStr">
        <is>
          <t>RETRIEVED</t>
        </is>
      </c>
      <c r="G9" s="38" t="inlineStr">
        <is>
          <t>https://broadbandmap.fcc.gov/data-download</t>
        </is>
      </c>
      <c r="H9" s="38" t="inlineStr">
        <is>
          <t>AK, AR, DC, DE, IA, ND, OK, SD, UT.</t>
        </is>
      </c>
    </row>
    <row r="10" ht="36" customHeight="1" s="34">
      <c r="A10" s="38" t="inlineStr">
        <is>
          <t>Retrieved — not M5</t>
        </is>
      </c>
      <c r="B10" s="38" t="inlineStr">
        <is>
          <t>C1</t>
        </is>
      </c>
      <c r="C10" s="38" t="inlineStr">
        <is>
          <t>US SUSB 2022 payroll employment</t>
        </is>
      </c>
      <c r="D10" s="38" t="inlineStr">
        <is>
          <t>135,748,407</t>
        </is>
      </c>
      <c r="E10" s="38" t="inlineStr">
        <is>
          <t>2022</t>
        </is>
      </c>
      <c r="F10" s="38" t="inlineStr">
        <is>
          <t>RETRIEVED</t>
        </is>
      </c>
      <c r="G10" s="38" t="inlineStr">
        <is>
          <t>https://www2.census.gov/programs-surveys/susb/tables/2022/us_state_naics_detailedsizes_2022.txt</t>
        </is>
      </c>
      <c r="H10" s="38" t="inlineStr">
        <is>
          <t>U.S. Census Bureau SUSB 2022. Workplace establishment employment, not homes.</t>
        </is>
      </c>
    </row>
    <row r="11" ht="36" customHeight="1" s="34">
      <c r="A11" s="38" t="inlineStr">
        <is>
          <t>Retrieved — not M5</t>
        </is>
      </c>
      <c r="B11" s="38" t="inlineStr">
        <is>
          <t>C2</t>
        </is>
      </c>
      <c r="C11" s="38" t="inlineStr">
        <is>
          <t>SUSB employment in Charter-present jurisdictions</t>
        </is>
      </c>
      <c r="D11" s="38" t="inlineStr">
        <is>
          <t>128,435,628</t>
        </is>
      </c>
      <c r="E11" s="38" t="inlineStr">
        <is>
          <t>2022 × D25</t>
        </is>
      </c>
      <c r="F11" s="38" t="inlineStr">
        <is>
          <t>DERIVED</t>
        </is>
      </c>
      <c r="G11" s="38" t="inlineStr">
        <is>
          <t>Analysis/ehb-broker-metrics/m5/out/summary.json</t>
        </is>
      </c>
      <c r="H11" s="38" t="inlineStr">
        <is>
          <t>Workplace, not home.</t>
        </is>
      </c>
    </row>
    <row r="12" ht="36" customHeight="1" s="34">
      <c r="A12" s="38" t="inlineStr">
        <is>
          <t>Retrieved — not M5</t>
        </is>
      </c>
      <c r="B12" s="38" t="inlineStr">
        <is>
          <t>C3</t>
        </is>
      </c>
      <c r="C12" s="38" t="inlineStr">
        <is>
          <t>SUSB employment in Charter-absent jurisdictions</t>
        </is>
      </c>
      <c r="D12" s="38" t="inlineStr">
        <is>
          <t>7,312,779</t>
        </is>
      </c>
      <c r="E12" s="38" t="inlineStr">
        <is>
          <t>2022 × D25</t>
        </is>
      </c>
      <c r="F12" s="38" t="inlineStr">
        <is>
          <t>DERIVED</t>
        </is>
      </c>
      <c r="G12" s="38" t="inlineStr">
        <is>
          <t>Analysis/ehb-broker-metrics/m5/out/summary.json</t>
        </is>
      </c>
      <c r="H12" s="38" t="inlineStr">
        <is>
          <t>5.4% of US SUSB employment.</t>
        </is>
      </c>
    </row>
    <row r="13" ht="36" customHeight="1" s="34">
      <c r="A13" s="38" t="inlineStr">
        <is>
          <t>Retrieved — not M5</t>
        </is>
      </c>
      <c r="B13" s="38" t="inlineStr">
        <is>
          <t>C4</t>
        </is>
      </c>
      <c r="C13" s="38" t="inlineStr">
        <is>
          <t>C2 ÷ C1 (crude ceiling)</t>
        </is>
      </c>
      <c r="D13" s="38" t="inlineStr">
        <is>
          <t>94.6 percent</t>
        </is>
      </c>
      <c r="E13" s="38" t="inlineStr">
        <is>
          <t>2022 × D25</t>
        </is>
      </c>
      <c r="F13" s="38" t="inlineStr">
        <is>
          <t>ESTIMATED — not M5</t>
        </is>
      </c>
      <c r="G13" s="38" t="inlineStr">
        <is>
          <t>Analysis/ehb-broker-metrics/m5/out/summary.json</t>
        </is>
      </c>
      <c r="H13" s="38" t="inlineStr">
        <is>
          <t>Four biases, all high: workplace not home; any presence not plant; book ≠ nation; vintage join.</t>
        </is>
      </c>
    </row>
    <row r="14" ht="36" customHeight="1" s="34">
      <c r="A14" s="38" t="inlineStr">
        <is>
          <t>Retrieved — not M5</t>
        </is>
      </c>
      <c r="B14" s="38" t="inlineStr">
        <is>
          <t>D3</t>
        </is>
      </c>
      <c r="C14" s="38" t="inlineStr">
        <is>
          <t>Charter units ÷ fabric in the 42</t>
        </is>
      </c>
      <c r="D14" s="38" t="inlineStr">
        <is>
          <t>33.6 percent</t>
        </is>
      </c>
      <c r="E14" s="38" t="inlineStr">
        <is>
          <t>2025-12-31</t>
        </is>
      </c>
      <c r="F14" s="38" t="inlineStr">
        <is>
          <t>DERIVED — plant, not M5</t>
        </is>
      </c>
      <c r="G14" s="38" t="inlineStr">
        <is>
          <t>https://broadbandmap.fcc.gov/data-download</t>
        </is>
      </c>
      <c r="H14" s="38" t="inlineStr">
        <is>
          <t>50,939,445 ÷ 151,719,024. Homes Charter can serve among BSLs in states where it files, not employee homes.</t>
        </is>
      </c>
    </row>
    <row r="15" ht="36" customHeight="1" s="34">
      <c r="A15" s="38" t="inlineStr">
        <is>
          <t>Retrieved — not M5</t>
        </is>
      </c>
      <c r="B15" s="38" t="inlineStr">
        <is>
          <t>D-HI</t>
        </is>
      </c>
      <c r="C15" s="38" t="inlineStr">
        <is>
          <t>Hawaii Charter share of residential fabric</t>
        </is>
      </c>
      <c r="D15" s="38" t="inlineStr">
        <is>
          <t>92.3 percent</t>
        </is>
      </c>
      <c r="E15" s="38" t="inlineStr">
        <is>
          <t>2025-12-31</t>
        </is>
      </c>
      <c r="F15" s="38" t="inlineStr">
        <is>
          <t>RETRIEVED</t>
        </is>
      </c>
      <c r="G15" s="38" t="inlineStr">
        <is>
          <t>https://broadbandmap.fcc.gov/data-download</t>
        </is>
      </c>
      <c r="H15" s="38" t="inlineStr">
        <is>
          <t>Highest present-state location share. Random housing units are not enrolled employees.</t>
        </is>
      </c>
    </row>
    <row r="16" ht="36" customHeight="1" s="34">
      <c r="A16" s="38" t="inlineStr">
        <is>
          <t>Retrieved — not M5</t>
        </is>
      </c>
      <c r="B16" s="38" t="inlineStr">
        <is>
          <t>D-RI</t>
        </is>
      </c>
      <c r="C16" s="38" t="inlineStr">
        <is>
          <t>Rhode Island Charter share of residential fabric</t>
        </is>
      </c>
      <c r="D16" s="38" t="inlineStr">
        <is>
          <t>0.02 percent</t>
        </is>
      </c>
      <c r="E16" s="38" t="inlineStr">
        <is>
          <t>2025-12-31</t>
        </is>
      </c>
      <c r="F16" s="38" t="inlineStr">
        <is>
          <t>RETRIEVED</t>
        </is>
      </c>
      <c r="G16" s="38" t="inlineStr">
        <is>
          <t>https://broadbandmap.fcc.gov/data-download</t>
        </is>
      </c>
      <c r="H16" s="38" t="inlineStr">
        <is>
          <t>Lowest present-state location share (0.0002). Presence is not plant.</t>
        </is>
      </c>
    </row>
    <row r="17" ht="36" customHeight="1" s="34">
      <c r="A17" s="38" t="inlineStr">
        <is>
          <t>Retrieved — not M5</t>
        </is>
      </c>
      <c r="B17" s="38" t="inlineStr">
        <is>
          <t>D-med</t>
        </is>
      </c>
      <c r="C17" s="38" t="inlineStr">
        <is>
          <t>Unweighted median location share among the 42</t>
        </is>
      </c>
      <c r="D17" s="38" t="inlineStr">
        <is>
          <t>20.3 percent</t>
        </is>
      </c>
      <c r="E17" s="38" t="inlineStr">
        <is>
          <t>2025-12-31</t>
        </is>
      </c>
      <c r="F17" s="38" t="inlineStr">
        <is>
          <t>DERIVED</t>
        </is>
      </c>
      <c r="G17" s="38" t="inlineStr">
        <is>
          <t>Analysis/ehb-broker-metrics/m5/out/summary.json</t>
        </is>
      </c>
      <c r="H17" s="38" t="inlineStr">
        <is>
          <t>Plant statistic, still not M5.</t>
        </is>
      </c>
    </row>
    <row r="18" ht="36" customHeight="1" s="34">
      <c r="A18" s="11" t="inlineStr">
        <is>
          <t>Refused</t>
        </is>
      </c>
      <c r="B18" s="11" t="inlineStr">
        <is>
          <t>X1</t>
        </is>
      </c>
      <c r="C18" s="11" t="inlineStr">
        <is>
          <t>Employment-weighted state location share</t>
        </is>
      </c>
      <c r="D18" s="11" t="inlineStr">
        <is>
          <t>refused</t>
        </is>
      </c>
      <c r="E18" s="11" t="n"/>
      <c r="F18" s="11" t="inlineStr">
        <is>
          <t>REFUSED</t>
        </is>
      </c>
      <c r="G18" s="11" t="inlineStr">
        <is>
          <t>Analysis/ehb-broker-metrics/m5/out/assumption_register.csv</t>
        </is>
      </c>
      <c r="H18" s="11" t="inlineStr">
        <is>
          <t>Two wrong substitutions: workplace for home, and a typical BSL for this employee. Not quoted as a rate.</t>
        </is>
      </c>
    </row>
    <row r="19" ht="36" customHeight="1" s="34">
      <c r="A19" s="38" t="inlineStr">
        <is>
          <t>Unknown</t>
        </is>
      </c>
      <c r="B19" s="38" t="inlineStr">
        <is>
          <t>U1</t>
        </is>
      </c>
      <c r="C19" s="38" t="inlineStr">
        <is>
          <t>Employee home address × Spectrum residential serviceability on a named book</t>
        </is>
      </c>
      <c r="D19" s="38" t="inlineStr">
        <is>
          <t>not retrieved</t>
        </is>
      </c>
      <c r="E19" s="38" t="n"/>
      <c r="F19" s="38" t="inlineStr">
        <is>
          <t>NOT RETRIEVED</t>
        </is>
      </c>
      <c r="G19" s="38" t="n"/>
      <c r="H19" s="38" t="inlineStr">
        <is>
          <t>The blocking input. Consent, geocode, BSL match, ops serviceability (drop-ready / MDU / hold), then rate.</t>
        </is>
      </c>
    </row>
    <row r="20" ht="36" customHeight="1" s="34">
      <c r="A20" s="38" t="inlineStr">
        <is>
          <t>Unknown</t>
        </is>
      </c>
      <c r="B20" s="38" t="inlineStr">
        <is>
          <t>U2</t>
        </is>
      </c>
      <c r="C20" s="38" t="inlineStr">
        <is>
          <t>Denominator rule written before the pilot</t>
        </is>
      </c>
      <c r="D20" s="38" t="inlineStr">
        <is>
          <t>not retrieved</t>
        </is>
      </c>
      <c r="E20" s="38" t="n"/>
      <c r="F20" s="38" t="inlineStr">
        <is>
          <t>MUST WRITE</t>
        </is>
      </c>
      <c r="G20" s="38" t="n"/>
      <c r="H20" s="38" t="inlineStr">
        <is>
          <t>Eligible-with-address for a go/no-go on the book; enrolled-with-address for fulfillment. Indeterminate is a third bucket.</t>
        </is>
      </c>
    </row>
    <row r="21" ht="36" customHeight="1" s="34">
      <c r="A21" s="38" t="inlineStr">
        <is>
          <t>Kill rule</t>
        </is>
      </c>
      <c r="B21" s="38" t="n"/>
      <c r="C21" s="38" t="inlineStr">
        <is>
          <t>If a consented address match on the candidate book shows that Spectrum cannot fulfill the benefit as written for the homes the contract covers, and the design has no multi-ISP fallback for the complement, do not scale a national “included Spectrum Internet” benefit. The public 94.6% ceiling cannot clear or kill this. Only the roster match can.</t>
        </is>
      </c>
      <c r="D21" s="38" t="n"/>
      <c r="E21" s="38" t="n"/>
      <c r="F21" s="38" t="n"/>
      <c r="G21" s="38" t="n"/>
      <c r="H21" s="38" t="inlineStr">
        <is>
          <t>Written by the validation, not invented here.</t>
        </is>
      </c>
    </row>
  </sheetData>
  <autoFilter ref="A1:H2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4.5"/>
  <cols>
    <col width="16" customWidth="1" style="34" min="1" max="1"/>
    <col width="10" customWidth="1" style="34" min="2" max="2"/>
    <col width="42" customWidth="1" style="34" min="3" max="3"/>
    <col width="22" customWidth="1" style="34" min="4" max="4"/>
    <col width="12" customWidth="1" style="34" min="5" max="5"/>
    <col width="28" customWidth="1" style="34" min="6" max="6"/>
    <col width="62" customWidth="1" style="34" min="7" max="7"/>
    <col width="55" customWidth="1" style="34" min="8" max="8"/>
  </cols>
  <sheetData>
    <row r="1">
      <c r="A1" s="3" t="inlineStr">
        <is>
          <t>Block</t>
        </is>
      </c>
      <c r="B1" s="3" t="inlineStr">
        <is>
          <t>ID</t>
        </is>
      </c>
      <c r="C1" s="3" t="inlineStr">
        <is>
          <t>Item</t>
        </is>
      </c>
      <c r="D1" s="3" t="inlineStr">
        <is>
          <t>Value</t>
        </is>
      </c>
      <c r="E1" s="3" t="inlineStr">
        <is>
          <t>Year</t>
        </is>
      </c>
      <c r="F1" s="3" t="inlineStr">
        <is>
          <t>Origin</t>
        </is>
      </c>
      <c r="G1" s="3" t="inlineStr">
        <is>
          <t>Source URL</t>
        </is>
      </c>
      <c r="H1" s="3" t="inlineStr">
        <is>
          <t>Notes</t>
        </is>
      </c>
    </row>
    <row r="2" ht="36" customHeight="1" s="34">
      <c r="A2" s="38" t="inlineStr">
        <is>
          <t>Identity</t>
        </is>
      </c>
      <c r="B2" s="38" t="inlineStr">
        <is>
          <t>M9</t>
        </is>
      </c>
      <c r="C2" s="38" t="inlineStr">
        <is>
          <t>Payor model and enrollment take-up</t>
        </is>
      </c>
      <c r="D2" s="38" t="n"/>
      <c r="E2" s="38" t="n"/>
      <c r="F2" s="38" t="inlineStr">
        <is>
          <t>DEFINITION</t>
        </is>
      </c>
      <c r="G2" s="38" t="inlineStr">
        <is>
          <t>chtr-ehb-broker-channel-core-metrics.canvas.tsx</t>
        </is>
      </c>
      <c r="H2" s="38" t="inlineStr">
        <is>
          <t>Parent register already named two rates under one ID.</t>
        </is>
      </c>
    </row>
    <row r="3" ht="36" customHeight="1" s="34">
      <c r="A3" s="38" t="inlineStr">
        <is>
          <t>Verdict</t>
        </is>
      </c>
      <c r="B3" s="38" t="inlineStr">
        <is>
          <t>V1</t>
        </is>
      </c>
      <c r="C3" s="38" t="inlineStr">
        <is>
          <t>Verdict</t>
        </is>
      </c>
      <c r="D3" s="38" t="inlineStr">
        <is>
          <t>needs split — valid gate, two metrics</t>
        </is>
      </c>
      <c r="E3" s="38" t="inlineStr">
        <is>
          <t>21 September 2026</t>
        </is>
      </c>
      <c r="F3" s="38" t="inlineStr">
        <is>
          <t>ESTIMATED</t>
        </is>
      </c>
      <c r="G3" s="38" t="inlineStr">
        <is>
          <t>chtr-ehb-m9-payor-takeup.canvas.tsx</t>
        </is>
      </c>
      <c r="H3" s="38" t="inlineStr">
        <is>
          <t>Must match Analysis/ehb-broker-metrics/m9/summary.json. No Charter take-up invented.</t>
        </is>
      </c>
    </row>
    <row r="4" ht="36" customHeight="1" s="34">
      <c r="A4" s="38" t="inlineStr">
        <is>
          <t>Split</t>
        </is>
      </c>
      <c r="B4" s="38" t="inlineStr">
        <is>
          <t>M9a</t>
        </is>
      </c>
      <c r="C4" s="38" t="inlineStr">
        <is>
          <t>Payor mix</t>
        </is>
      </c>
      <c r="D4" s="38" t="inlineStr">
        <is>
          <t>Share of pilot employers (and of covered lives) on employer-paid vs employee-paid voluntary vs hybrid</t>
        </is>
      </c>
      <c r="E4" s="38" t="n"/>
      <c r="F4" s="38" t="inlineStr">
        <is>
          <t>DEFINITION</t>
        </is>
      </c>
      <c r="G4" s="38" t="inlineStr">
        <is>
          <t>Analysis/ehb-broker-metrics/m9/recommended_split.csv</t>
        </is>
      </c>
      <c r="H4" s="38" t="inlineStr">
        <is>
          <t>Employer unit. Freeze at contracting, before open enrollment.</t>
        </is>
      </c>
    </row>
    <row r="5" ht="36" customHeight="1" s="34">
      <c r="A5" s="38" t="inlineStr">
        <is>
          <t>Split</t>
        </is>
      </c>
      <c r="B5" s="38" t="inlineStr">
        <is>
          <t>M9b</t>
        </is>
      </c>
      <c r="C5" s="38" t="inlineStr">
        <is>
          <t>Enrollment take-up by payor</t>
        </is>
      </c>
      <c r="D5" s="38" t="inlineStr">
        <is>
          <t>Enrolled internet accounts ÷ eligible employees offered the benefit, reported separately inside each M9a cell</t>
        </is>
      </c>
      <c r="E5" s="38" t="n"/>
      <c r="F5" s="38" t="inlineStr">
        <is>
          <t>DEFINITION</t>
        </is>
      </c>
      <c r="G5" s="38" t="inlineStr">
        <is>
          <t>Analysis/ehb-broker-metrics/m9/recommended_split.csv</t>
        </is>
      </c>
      <c r="H5" s="38" t="inlineStr">
        <is>
          <t>Employee unit. Time-box: OE close + 90 days. Never headline a blend.</t>
        </is>
      </c>
    </row>
    <row r="6" ht="36" customHeight="1" s="34">
      <c r="A6" s="38" t="inlineStr">
        <is>
          <t>Split</t>
        </is>
      </c>
      <c r="B6" s="38" t="inlineStr">
        <is>
          <t>M9_blended</t>
        </is>
      </c>
      <c r="C6" s="38" t="inlineStr">
        <is>
          <t>Do not report a blended enrolled/eligible headline</t>
        </is>
      </c>
      <c r="D6" s="38" t="inlineStr">
        <is>
          <t>forbidden</t>
        </is>
      </c>
      <c r="E6" s="38" t="n"/>
      <c r="F6" s="38" t="inlineStr">
        <is>
          <t>DEFINITION</t>
        </is>
      </c>
      <c r="G6" s="38" t="inlineStr">
        <is>
          <t>Analysis/ehb-broker-metrics/m9/recommended_split.csv</t>
        </is>
      </c>
      <c r="H6" s="38" t="inlineStr">
        <is>
          <t>100% of a tiny paid cell plus 4% of a large voluntary cell can look mid-teens.</t>
        </is>
      </c>
    </row>
    <row r="7" ht="36" customHeight="1" s="34">
      <c r="A7" s="11" t="inlineStr">
        <is>
          <t>Specified M9</t>
        </is>
      </c>
      <c r="B7" s="11" t="inlineStr">
        <is>
          <t>X2</t>
        </is>
      </c>
      <c r="C7" s="11" t="inlineStr">
        <is>
          <t>Charter internet-as-benefit take-up</t>
        </is>
      </c>
      <c r="D7" s="11" t="inlineStr">
        <is>
          <t>blank</t>
        </is>
      </c>
      <c r="E7" s="11" t="n"/>
      <c r="F7" s="11" t="inlineStr">
        <is>
          <t>NOT RETRIEVED</t>
        </is>
      </c>
      <c r="G7" s="11" t="n"/>
      <c r="H7" s="11" t="inlineStr">
        <is>
          <t>No SKU, price sheet, or enrollment file in this repo. Pilot is the source.</t>
        </is>
      </c>
    </row>
    <row r="8" ht="36" customHeight="1" s="34">
      <c r="A8" s="38" t="inlineStr">
        <is>
          <t>Analogue — not Charter</t>
        </is>
      </c>
      <c r="B8" s="38" t="inlineStr">
        <is>
          <t>D1</t>
        </is>
      </c>
      <c r="C8" s="38" t="inlineStr">
        <is>
          <t>Employers offering free / discounted / subsidized home Internet</t>
        </is>
      </c>
      <c r="D8" s="38" t="inlineStr">
        <is>
          <t>5 percent of employers</t>
        </is>
      </c>
      <c r="E8" s="38" t="inlineStr">
        <is>
          <t>2017</t>
        </is>
      </c>
      <c r="F8" s="38" t="inlineStr">
        <is>
          <t>RETRIEVED</t>
        </is>
      </c>
      <c r="G8" s="38" t="inlineStr">
        <is>
          <t>https://www.shrm.org/content/dam/en/shrm/topics-tools/news/organizational-employee-development/Benefits-Prevalence-Report-All-Industries-All-FTEs.pdf</t>
        </is>
      </c>
      <c r="H8" s="38" t="inlineStr">
        <is>
          <t>SHRM customized benefits-prevalence, n≈2,717. Closest internet-as-benefit OFFER analogue. Not take-up. Dated.</t>
        </is>
      </c>
    </row>
    <row r="9" ht="36" customHeight="1" s="34">
      <c r="A9" s="38" t="inlineStr">
        <is>
          <t>Analogue — wrong unit</t>
        </is>
      </c>
      <c r="B9" s="38" t="inlineStr">
        <is>
          <t>A1</t>
        </is>
      </c>
      <c r="C9" s="38" t="inlineStr">
        <is>
          <t>KFF medical take-up among eligible workers</t>
        </is>
      </c>
      <c r="D9" s="38" t="inlineStr">
        <is>
          <t>76 percent of eligible workers</t>
        </is>
      </c>
      <c r="E9" s="38" t="inlineStr">
        <is>
          <t>2025</t>
        </is>
      </c>
      <c r="F9" s="38" t="inlineStr">
        <is>
          <t>RETRIEVED</t>
        </is>
      </c>
      <c r="G9" s="38" t="inlineStr">
        <is>
          <t>https://www.kff.org/health-costs/2025-employer-health-benefits-survey/</t>
        </is>
      </c>
      <c r="H9" s="38" t="inlineStr">
        <is>
          <t>WRONG ANALOGUE for home internet. Heavily employer-subsidized core medical. KFF (nonprofit, not Kaiser Permanente); Davis Research; n=1,862 employers 10+.</t>
        </is>
      </c>
    </row>
    <row r="10" ht="36" customHeight="1" s="34">
      <c r="A10" s="38" t="inlineStr">
        <is>
          <t>Analogue — not Charter</t>
        </is>
      </c>
      <c r="B10" s="38" t="inlineStr">
        <is>
          <t>A2</t>
        </is>
      </c>
      <c r="C10" s="38" t="inlineStr">
        <is>
          <t>Workers eligible at firms offering health benefits</t>
        </is>
      </c>
      <c r="D10" s="38" t="inlineStr">
        <is>
          <t>80 percent of workers at offering firms</t>
        </is>
      </c>
      <c r="E10" s="38" t="inlineStr">
        <is>
          <t>2025</t>
        </is>
      </c>
      <c r="F10" s="38" t="inlineStr">
        <is>
          <t>RETRIEVED</t>
        </is>
      </c>
      <c r="G10" s="38" t="inlineStr">
        <is>
          <t>https://www.kff.org/health-costs/2025-employer-health-benefits-survey/</t>
        </is>
      </c>
      <c r="H10" s="38" t="inlineStr">
        <is>
          <t>Eligibility, not take-up, not internet.</t>
        </is>
      </c>
    </row>
    <row r="11" ht="36" customHeight="1" s="34">
      <c r="A11" s="38" t="inlineStr">
        <is>
          <t>Analogue — not Charter</t>
        </is>
      </c>
      <c r="B11" s="38" t="inlineStr">
        <is>
          <t>A3</t>
        </is>
      </c>
      <c r="C11" s="38" t="inlineStr">
        <is>
          <t>Workers enrolled among firms that offer health benefits</t>
        </is>
      </c>
      <c r="D11" s="38" t="inlineStr">
        <is>
          <t>61 percent of workers at offering firms</t>
        </is>
      </c>
      <c r="E11" s="38" t="inlineStr">
        <is>
          <t>2025</t>
        </is>
      </c>
      <c r="F11" s="38" t="inlineStr">
        <is>
          <t>RETRIEVED</t>
        </is>
      </c>
      <c r="G11" s="38" t="inlineStr">
        <is>
          <t>https://www.kff.org/health-costs/2025-employer-health-benefits-survey/</t>
        </is>
      </c>
      <c r="H11" s="38" t="inlineStr">
        <is>
          <t>Product of eligibility × take-up.</t>
        </is>
      </c>
    </row>
    <row r="12" ht="36" customHeight="1" s="34">
      <c r="A12" s="38" t="inlineStr">
        <is>
          <t>Analogue — not Charter</t>
        </is>
      </c>
      <c r="B12" s="38" t="inlineStr">
        <is>
          <t>B1</t>
        </is>
      </c>
      <c r="C12" s="38" t="inlineStr">
        <is>
          <t>Employers offering pet insurance</t>
        </is>
      </c>
      <c r="D12" s="38" t="inlineStr">
        <is>
          <t>22 percent of employers</t>
        </is>
      </c>
      <c r="E12" s="38" t="inlineStr">
        <is>
          <t>2025</t>
        </is>
      </c>
      <c r="F12" s="38" t="inlineStr">
        <is>
          <t>RETRIEVED</t>
        </is>
      </c>
      <c r="G12" s="38" t="inlineStr">
        <is>
          <t>https://www.shrm.org/content/dam/en/shrm/topics-tools/research/employee-benefits/2025_annual_benefits_survey_executive_summary.pdf</t>
        </is>
      </c>
      <c r="H12" s="38" t="inlineStr">
        <is>
          <t>SHRM 2025 EBS, n=3,969. Offer, not take-up.</t>
        </is>
      </c>
    </row>
    <row r="13" ht="36" customHeight="1" s="34">
      <c r="A13" s="38" t="inlineStr">
        <is>
          <t>Analogue — not Charter</t>
        </is>
      </c>
      <c r="B13" s="38" t="inlineStr">
        <is>
          <t>E1</t>
        </is>
      </c>
      <c r="C13" s="38" t="inlineStr">
        <is>
          <t>Employers offering a transit subsidy</t>
        </is>
      </c>
      <c r="D13" s="38" t="inlineStr">
        <is>
          <t>12 percent of employers</t>
        </is>
      </c>
      <c r="E13" s="38" t="inlineStr">
        <is>
          <t>2025</t>
        </is>
      </c>
      <c r="F13" s="38" t="inlineStr">
        <is>
          <t>RETRIEVED</t>
        </is>
      </c>
      <c r="G13" s="38" t="inlineStr">
        <is>
          <t>https://www.shrm.org/topics-tools/news/benefits-compensation/irs-boosts-commuter-benefit-limits-2026</t>
        </is>
      </c>
      <c r="H13" s="38" t="inlineStr">
        <is>
          <t>Offer, not take-up.</t>
        </is>
      </c>
    </row>
    <row r="14" ht="36" customHeight="1" s="34">
      <c r="A14" s="38" t="inlineStr">
        <is>
          <t>Analogue — not Charter</t>
        </is>
      </c>
      <c r="B14" s="38" t="inlineStr">
        <is>
          <t>E2</t>
        </is>
      </c>
      <c r="C14" s="38" t="inlineStr">
        <is>
          <t>Employers offering a parking subsidy</t>
        </is>
      </c>
      <c r="D14" s="38" t="inlineStr">
        <is>
          <t>10 percent of employers</t>
        </is>
      </c>
      <c r="E14" s="38" t="inlineStr">
        <is>
          <t>2025</t>
        </is>
      </c>
      <c r="F14" s="38" t="inlineStr">
        <is>
          <t>RETRIEVED</t>
        </is>
      </c>
      <c r="G14" s="38" t="inlineStr">
        <is>
          <t>https://www.shrm.org/topics-tools/news/benefits-compensation/irs-boosts-commuter-benefit-limits-2026</t>
        </is>
      </c>
      <c r="H14" s="38" t="inlineStr">
        <is>
          <t>Offer, not take-up.</t>
        </is>
      </c>
    </row>
    <row r="15" ht="36" customHeight="1" s="34">
      <c r="A15" s="38" t="inlineStr">
        <is>
          <t>Analogue — not Charter</t>
        </is>
      </c>
      <c r="B15" s="38" t="inlineStr">
        <is>
          <t>C1</t>
        </is>
      </c>
      <c r="C15" s="38" t="inlineStr">
        <is>
          <t>Employers offering QSLP 401(k)/403(b) match</t>
        </is>
      </c>
      <c r="D15" s="38" t="inlineStr">
        <is>
          <t>4 percent of employers</t>
        </is>
      </c>
      <c r="E15" s="38" t="inlineStr">
        <is>
          <t>2025</t>
        </is>
      </c>
      <c r="F15" s="38" t="inlineStr">
        <is>
          <t>RETRIEVED</t>
        </is>
      </c>
      <c r="G15" s="38" t="inlineStr">
        <is>
          <t>https://www.shrm.org/content/dam/en/shrm/topics-tools/research/employee-benefits/2025_annual_benefits_survey_executive_summary.pdf</t>
        </is>
      </c>
      <c r="H15" s="38" t="inlineStr">
        <is>
          <t>SECURE 2.0 QSLP. Offer, not take-up.</t>
        </is>
      </c>
    </row>
    <row r="16" ht="36" customHeight="1" s="34">
      <c r="A16" s="38" t="inlineStr">
        <is>
          <t>Analogue — not internet</t>
        </is>
      </c>
      <c r="B16" s="38" t="inlineStr">
        <is>
          <t>D2</t>
        </is>
      </c>
      <c r="C16" s="38" t="inlineStr">
        <is>
          <t>Employers offering at-home equipment subsidy</t>
        </is>
      </c>
      <c r="D16" s="38" t="inlineStr">
        <is>
          <t>55 percent of employers</t>
        </is>
      </c>
      <c r="E16" s="38" t="inlineStr">
        <is>
          <t>2025</t>
        </is>
      </c>
      <c r="F16" s="38" t="inlineStr">
        <is>
          <t>RETRIEVED</t>
        </is>
      </c>
      <c r="G16" s="38" t="inlineStr">
        <is>
          <t>https://www.shrm.org/content/dam/en/shrm/topics-tools/research/employee-benefits/2025_annual_benefits_survey_executive_summary.pdf</t>
        </is>
      </c>
      <c r="H16" s="38" t="inlineStr">
        <is>
          <t>Equipment, not an internet stipend. Do not treat as D1.</t>
        </is>
      </c>
    </row>
    <row r="17" ht="36" customHeight="1" s="34">
      <c r="A17" s="38" t="inlineStr">
        <is>
          <t>Analogue — not internet</t>
        </is>
      </c>
      <c r="B17" s="38" t="inlineStr">
        <is>
          <t>D3</t>
        </is>
      </c>
      <c r="C17" s="38" t="inlineStr">
        <is>
          <t>Employers offering at-home equipment subsidy</t>
        </is>
      </c>
      <c r="D17" s="38" t="inlineStr">
        <is>
          <t>53 percent of employers</t>
        </is>
      </c>
      <c r="E17" s="38" t="inlineStr">
        <is>
          <t>2026</t>
        </is>
      </c>
      <c r="F17" s="38" t="inlineStr">
        <is>
          <t>RETRIEVED</t>
        </is>
      </c>
      <c r="G17" s="38" t="inlineStr">
        <is>
          <t>https://www.shrm.org/content/dam/en/shrm/topics-tools/research/employee-benefits/2026_employee-benefits_executive-summary.pdf</t>
        </is>
      </c>
      <c r="H17" s="38" t="inlineStr">
        <is>
          <t>Same caveat as D2. Cellphone service 35% of 2026 equipment programs. Internet not broken out.</t>
        </is>
      </c>
    </row>
    <row r="18" ht="36" customHeight="1" s="34">
      <c r="A18" s="38" t="inlineStr">
        <is>
          <t>Excluded</t>
        </is>
      </c>
      <c r="B18" s="38" t="inlineStr">
        <is>
          <t>X1</t>
        </is>
      </c>
      <c r="C18" s="38" t="inlineStr">
        <is>
          <t>Stealth Agents “SHRM internet-specific stipend”</t>
        </is>
      </c>
      <c r="D18" s="38" t="inlineStr">
        <is>
          <t>38 percent — NOT USED</t>
        </is>
      </c>
      <c r="E18" s="38" t="inlineStr">
        <is>
          <t>2025</t>
        </is>
      </c>
      <c r="F18" s="38" t="inlineStr">
        <is>
          <t>NOT RETRIEVED FROM PRIMARY</t>
        </is>
      </c>
      <c r="G18" s="38" t="inlineStr">
        <is>
          <t>https://stealthagents.com/research/remote-work-internet-stipend-statistics-2026</t>
        </is>
      </c>
      <c r="H18" s="38" t="inlineStr">
        <is>
          <t>Secondary restatement. SHRM primary publishes equipment subsidy, not this 38%.</t>
        </is>
      </c>
    </row>
    <row r="19" ht="36" customHeight="1" s="34">
      <c r="A19" s="38" t="inlineStr">
        <is>
          <t>Unknown</t>
        </is>
      </c>
      <c r="B19" s="38" t="inlineStr">
        <is>
          <t>U1</t>
        </is>
      </c>
      <c r="C19" s="38" t="inlineStr">
        <is>
          <t>Any Charter internet-as-benefit take-up rate</t>
        </is>
      </c>
      <c r="D19" s="38" t="inlineStr">
        <is>
          <t>not retrieved</t>
        </is>
      </c>
      <c r="E19" s="38" t="n"/>
      <c r="F19" s="38" t="inlineStr">
        <is>
          <t>NOT RETRIEVED</t>
        </is>
      </c>
      <c r="G19" s="38" t="n"/>
      <c r="H19" s="38" t="inlineStr">
        <is>
          <t>No SKU in repo. Analogues are not a forecast.</t>
        </is>
      </c>
    </row>
    <row r="20" ht="36" customHeight="1" s="34">
      <c r="A20" s="38" t="inlineStr">
        <is>
          <t>Unknown</t>
        </is>
      </c>
      <c r="B20" s="38" t="inlineStr">
        <is>
          <t>U2</t>
        </is>
      </c>
      <c r="C20" s="38" t="inlineStr">
        <is>
          <t>2026 prevalence of an employer internet stipend</t>
        </is>
      </c>
      <c r="D20" s="38" t="inlineStr">
        <is>
          <t>not retrieved</t>
        </is>
      </c>
      <c r="E20" s="38" t="n"/>
      <c r="F20" s="38" t="inlineStr">
        <is>
          <t>NOT RETRIEVED</t>
        </is>
      </c>
      <c r="G20" s="38" t="n"/>
      <c r="H20" s="38" t="inlineStr">
        <is>
          <t>2017 5% is dated. 2025/2026 SHRM exec summaries do not publish an internet-specific rate.</t>
        </is>
      </c>
    </row>
    <row r="21" ht="36" customHeight="1" s="34">
      <c r="A21" s="38" t="inlineStr">
        <is>
          <t>Unknown</t>
        </is>
      </c>
      <c r="B21" s="38" t="inlineStr">
        <is>
          <t>U3</t>
        </is>
      </c>
      <c r="C21" s="38" t="inlineStr">
        <is>
          <t>Payor mix on a real ballot (M9a)</t>
        </is>
      </c>
      <c r="D21" s="38" t="inlineStr">
        <is>
          <t>not retrieved</t>
        </is>
      </c>
      <c r="E21" s="38" t="n"/>
      <c r="F21" s="38" t="inlineStr">
        <is>
          <t>MUST PULL</t>
        </is>
      </c>
      <c r="G21" s="38" t="inlineStr">
        <is>
          <t>Analysis/ehb-broker-metrics/m9/pilot_must_measure.csv</t>
        </is>
      </c>
      <c r="H21" s="38" t="inlineStr">
        <is>
          <t>Measure at contracting, before OE.</t>
        </is>
      </c>
    </row>
    <row r="22" ht="36" customHeight="1" s="34">
      <c r="A22" s="38" t="inlineStr">
        <is>
          <t>Kill rule</t>
        </is>
      </c>
      <c r="B22" s="38" t="n"/>
      <c r="C22" s="38" t="inlineStr">
        <is>
          <t>If no pilot employer will fund employer-paid and none will put a voluntary SKU on the ballot — stop. If a design is on the ballot and voluntary take-up among eligibles in that cell, after OE plus 90 days, lands in the single digits with no path to change price or payor — do not scale on the hope that “benefits take-up is usually high.” Analogues bound the plausible range. Analogues are not the floor. Write the floor before the first employee sees the offer.</t>
        </is>
      </c>
      <c r="D22" s="38" t="n"/>
      <c r="E22" s="38" t="n"/>
      <c r="F22" s="38" t="n"/>
      <c r="G22" s="38" t="n"/>
      <c r="H22" s="38" t="inlineStr">
        <is>
          <t>Written by the validation, not invented here.</t>
        </is>
      </c>
    </row>
  </sheetData>
  <autoFilter ref="A1:H2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4.5"/>
  <cols>
    <col width="16" customWidth="1" style="34" min="1" max="1"/>
    <col width="10" customWidth="1" style="34" min="2" max="2"/>
    <col width="42" customWidth="1" style="34" min="3" max="3"/>
    <col width="22" customWidth="1" style="34" min="4" max="4"/>
    <col width="12" customWidth="1" style="34" min="5" max="5"/>
    <col width="28" customWidth="1" style="34" min="6" max="6"/>
    <col width="62" customWidth="1" style="34" min="7" max="7"/>
    <col width="55" customWidth="1" style="34" min="8" max="8"/>
  </cols>
  <sheetData>
    <row r="1">
      <c r="A1" s="3" t="inlineStr">
        <is>
          <t>Block</t>
        </is>
      </c>
      <c r="B1" s="3" t="inlineStr">
        <is>
          <t>ID</t>
        </is>
      </c>
      <c r="C1" s="3" t="inlineStr">
        <is>
          <t>Item</t>
        </is>
      </c>
      <c r="D1" s="3" t="inlineStr">
        <is>
          <t>Value</t>
        </is>
      </c>
      <c r="E1" s="3" t="inlineStr">
        <is>
          <t>Year</t>
        </is>
      </c>
      <c r="F1" s="3" t="inlineStr">
        <is>
          <t>Origin</t>
        </is>
      </c>
      <c r="G1" s="3" t="inlineStr">
        <is>
          <t>Source URL</t>
        </is>
      </c>
      <c r="H1" s="3" t="inlineStr">
        <is>
          <t>Notes</t>
        </is>
      </c>
    </row>
    <row r="2" ht="36" customHeight="1" s="34">
      <c r="A2" s="38" t="inlineStr">
        <is>
          <t>Identity</t>
        </is>
      </c>
      <c r="B2" s="38" t="inlineStr">
        <is>
          <t>M13</t>
        </is>
      </c>
      <c r="C2" s="38" t="inlineStr">
        <is>
          <t>Net new residential Internet accounts from the channel</t>
        </is>
      </c>
      <c r="D2" s="38" t="n"/>
      <c r="E2" s="38" t="n"/>
      <c r="F2" s="38" t="inlineStr">
        <is>
          <t>DEFINITION</t>
        </is>
      </c>
      <c r="G2" s="38" t="inlineStr">
        <is>
          <t>chtr-ehb-broker-channel-core-metrics.canvas.tsx</t>
        </is>
      </c>
      <c r="H2" s="38" t="inlineStr">
        <is>
          <t>Parent register: Decisions/EH&amp;B/Brokerage Metrics.xlsx Core metrics M13</t>
        </is>
      </c>
    </row>
    <row r="3" ht="36" customHeight="1" s="34">
      <c r="A3" s="38" t="inlineStr">
        <is>
          <t>Verdict</t>
        </is>
      </c>
      <c r="B3" s="38" t="inlineStr">
        <is>
          <t>V1</t>
        </is>
      </c>
      <c r="C3" s="38" t="inlineStr">
        <is>
          <t>Verdict on M13 as specified</t>
        </is>
      </c>
      <c r="D3" s="38" t="inlineStr">
        <is>
          <t>valid-with-caveats — tighten to P−E−D</t>
        </is>
      </c>
      <c r="E3" s="38" t="inlineStr">
        <is>
          <t>21 September 2026</t>
        </is>
      </c>
      <c r="F3" s="38" t="inlineStr">
        <is>
          <t>ESTIMATED</t>
        </is>
      </c>
      <c r="G3" s="38" t="inlineStr">
        <is>
          <t>chtr-ehb-m13-net-new-residential.canvas.tsx</t>
        </is>
      </c>
      <c r="H3" s="38" t="inlineStr">
        <is>
          <t>Right commercial outcome (Internet print in accounts). Excel mixed enrollments into the unit and omitted same-window job-exit D.</t>
        </is>
      </c>
    </row>
    <row r="4" ht="36" customHeight="1" s="34">
      <c r="A4" s="38" t="inlineStr">
        <is>
          <t>Definition</t>
        </is>
      </c>
      <c r="B4" s="38" t="inlineStr">
        <is>
          <t>F0</t>
        </is>
      </c>
      <c r="C4" s="38" t="inlineStr">
        <is>
          <t>Tightened formula</t>
        </is>
      </c>
      <c r="D4" s="38" t="inlineStr">
        <is>
          <t>M13_t = P_t − E_t − D_t</t>
        </is>
      </c>
      <c r="E4" s="38" t="n"/>
      <c r="F4" s="38" t="inlineStr">
        <is>
          <t>ESTIMATED</t>
        </is>
      </c>
      <c r="G4" s="38" t="inlineStr">
        <is>
          <t>Analysis/ehb-broker-metrics/m13/assumption_register.csv</t>
        </is>
      </c>
      <c r="H4" s="38" t="inlineStr">
        <is>
          <t>Primary KPI is the account count. Window t = Ex99.1 calendar quarter locked before the pull. Do not report M13 as a percent of enrollments.</t>
        </is>
      </c>
    </row>
    <row r="5" ht="36" customHeight="1" s="34">
      <c r="A5" s="38" t="inlineStr">
        <is>
          <t>Definition</t>
        </is>
      </c>
      <c r="B5" s="38" t="inlineStr">
        <is>
          <t>P</t>
        </is>
      </c>
      <c r="C5" s="38" t="inlineStr">
        <is>
          <t>Path-tagged provisions P_t</t>
        </is>
      </c>
      <c r="D5" s="38" t="inlineStr">
        <is>
          <t>blank</t>
        </is>
      </c>
      <c r="E5" s="38" t="n"/>
      <c r="F5" s="38" t="inlineStr">
        <is>
          <t>MUST PULL</t>
        </is>
      </c>
      <c r="G5" s="38" t="n"/>
      <c r="H5" s="38" t="inlineStr">
        <is>
          <t>Gross broker/employer-path billing events on a residential Internet PSU in t. Not enrollments; not mobile; not Spectrum Business.</t>
        </is>
      </c>
    </row>
    <row r="6" ht="36" customHeight="1" s="34">
      <c r="A6" s="38" t="inlineStr">
        <is>
          <t>Definition</t>
        </is>
      </c>
      <c r="B6" s="38" t="inlineStr">
        <is>
          <t>E</t>
        </is>
      </c>
      <c r="C6" s="38" t="inlineStr">
        <is>
          <t>Existing / payer-only E_t</t>
        </is>
      </c>
      <c r="D6" s="38" t="inlineStr">
        <is>
          <t>blank</t>
        </is>
      </c>
      <c r="E6" s="38" t="n"/>
      <c r="F6" s="38" t="inlineStr">
        <is>
          <t>MUST PULL</t>
        </is>
      </c>
      <c r="G6" s="38" t="n"/>
      <c r="H6" s="38" t="inlineStr">
        <is>
          <t>Subset of P already active Spectrum residential Internet at t−1. Retention/transfer — not a net add.</t>
        </is>
      </c>
    </row>
    <row r="7" ht="36" customHeight="1" s="34">
      <c r="A7" s="38" t="inlineStr">
        <is>
          <t>Definition</t>
        </is>
      </c>
      <c r="B7" s="38" t="inlineStr">
        <is>
          <t>D</t>
        </is>
      </c>
      <c r="C7" s="38" t="inlineStr">
        <is>
          <t>Same-window job-exit disconnects D_t</t>
        </is>
      </c>
      <c r="D7" s="38" t="inlineStr">
        <is>
          <t>blank</t>
        </is>
      </c>
      <c r="E7" s="38" t="n"/>
      <c r="F7" s="38" t="inlineStr">
        <is>
          <t>MUST PULL</t>
        </is>
      </c>
      <c r="G7" s="38" t="n"/>
      <c r="H7" s="38" t="inlineStr">
        <is>
          <t>Subset of (P−E) that disconnect in t because employment eligibility ended. Do not subtract self-pay stayers.</t>
        </is>
      </c>
    </row>
    <row r="8" ht="36" customHeight="1" s="34">
      <c r="A8" s="11" t="inlineStr">
        <is>
          <t>Specified M13</t>
        </is>
      </c>
      <c r="B8" s="11" t="inlineStr">
        <is>
          <t>M13</t>
        </is>
      </c>
      <c r="C8" s="11" t="inlineStr">
        <is>
          <t>Channel net new residential Internet accounts</t>
        </is>
      </c>
      <c r="D8" s="11" t="inlineStr">
        <is>
          <t>blank</t>
        </is>
      </c>
      <c r="E8" s="11" t="n"/>
      <c r="F8" s="11" t="inlineStr">
        <is>
          <t>MUST PULL / NOT RETRIEVED</t>
        </is>
      </c>
      <c r="G8" s="11" t="n"/>
      <c r="H8" s="11" t="inlineStr">
        <is>
          <t>P − E − D. No number exists for this path. Do not invent conversion rates.</t>
        </is>
      </c>
    </row>
    <row r="9" ht="36" customHeight="1" s="34">
      <c r="A9" s="38" t="inlineStr">
        <is>
          <t>Context only — not M13</t>
        </is>
      </c>
      <c r="B9" s="38" t="inlineStr">
        <is>
          <t>X1</t>
        </is>
      </c>
      <c r="C9" s="38" t="inlineStr">
        <is>
          <t>Company residential Internet net adds Q1 2026</t>
        </is>
      </c>
      <c r="D9" s="38" t="inlineStr">
        <is>
          <t>-117000</t>
        </is>
      </c>
      <c r="E9" s="38" t="inlineStr">
        <is>
          <t>Q1 2026</t>
        </is>
      </c>
      <c r="F9" s="38" t="inlineStr">
        <is>
          <t>RETRIEVED</t>
        </is>
      </c>
      <c r="G9" s="38" t="inlineStr">
        <is>
          <t>PrimarySources/readable/CHTR-Q1-2026-Earnings-Release-Ex99.1.md</t>
        </is>
      </c>
      <c r="H9" s="38" t="inlineStr">
        <is>
          <t>Ex99.1: Residential quarterly net additions (117). NOT channel M13. Do not scale.</t>
        </is>
      </c>
    </row>
    <row r="10" ht="36" customHeight="1" s="34">
      <c r="A10" s="38" t="inlineStr">
        <is>
          <t>Context only — not M13</t>
        </is>
      </c>
      <c r="B10" s="38" t="inlineStr">
        <is>
          <t>X2</t>
        </is>
      </c>
      <c r="C10" s="38" t="inlineStr">
        <is>
          <t>Company residential Internet customers decreased FY2025</t>
        </is>
      </c>
      <c r="D10" s="38" t="inlineStr">
        <is>
          <t>-393000</t>
        </is>
      </c>
      <c r="E10" s="38" t="inlineStr">
        <is>
          <t>FY2025</t>
        </is>
      </c>
      <c r="F10" s="38" t="inlineStr">
        <is>
          <t>RETRIEVED</t>
        </is>
      </c>
      <c r="G10" s="38" t="inlineStr">
        <is>
          <t>PrimarySources/readable/CHTR-10-K-FY2025.md</t>
        </is>
      </c>
      <c r="H10" s="38" t="inlineStr">
        <is>
          <t>10-K: decreased by 393,000 in 2025 vs 2024. Context only.</t>
        </is>
      </c>
    </row>
    <row r="11" ht="36" customHeight="1" s="34">
      <c r="A11" s="38" t="inlineStr">
        <is>
          <t>Context only — not M13</t>
        </is>
      </c>
      <c r="B11" s="38" t="inlineStr">
        <is>
          <t>X3</t>
        </is>
      </c>
      <c r="C11" s="38" t="inlineStr">
        <is>
          <t>Company residential Internet net adds Q2 2026</t>
        </is>
      </c>
      <c r="D11" s="38" t="inlineStr">
        <is>
          <t>-166000</t>
        </is>
      </c>
      <c r="E11" s="38" t="inlineStr">
        <is>
          <t>Q2 2026</t>
        </is>
      </c>
      <c r="F11" s="38" t="inlineStr">
        <is>
          <t>RETRIEVED</t>
        </is>
      </c>
      <c r="G11" s="38" t="inlineStr">
        <is>
          <t>PrimarySources/readable/CHTR-Q2-2026-Earnings-Release-Ex99.1.md</t>
        </is>
      </c>
      <c r="H11" s="38" t="inlineStr">
        <is>
          <t>Ex99.1: Residential quarterly net additions (166). Context only.</t>
        </is>
      </c>
    </row>
    <row r="12" ht="36" customHeight="1" s="34">
      <c r="A12" s="38" t="inlineStr">
        <is>
          <t>Context only — not M13</t>
        </is>
      </c>
      <c r="B12" s="38" t="inlineStr">
        <is>
          <t>X4</t>
        </is>
      </c>
      <c r="C12" s="38" t="inlineStr">
        <is>
          <t>Company total Internet net adds Q1 2026</t>
        </is>
      </c>
      <c r="D12" s="38" t="inlineStr">
        <is>
          <t>-120000</t>
        </is>
      </c>
      <c r="E12" s="38" t="inlineStr">
        <is>
          <t>Q1 2026</t>
        </is>
      </c>
      <c r="F12" s="38" t="inlineStr">
        <is>
          <t>RETRIEVED</t>
        </is>
      </c>
      <c r="G12" s="38" t="inlineStr">
        <is>
          <t>PrimarySources/readable/CHTR-Q1-2026-Earnings-Release-Ex99.1.md</t>
        </is>
      </c>
      <c r="H12" s="38" t="inlineStr">
        <is>
          <t>Headline −120k = residential −117k + SMB −3k. Do not use as the M13 analog; M13 is residential only.</t>
        </is>
      </c>
    </row>
    <row r="13" ht="36" customHeight="1" s="34">
      <c r="A13" s="11" t="inlineStr">
        <is>
          <t>Data needed</t>
        </is>
      </c>
      <c r="B13" s="11" t="inlineStr">
        <is>
          <t>D1</t>
        </is>
      </c>
      <c r="C13" s="11" t="inlineStr">
        <is>
          <t>Channel tag (employer ID + broker/path code)</t>
        </is>
      </c>
      <c r="D13" s="11" t="inlineStr">
        <is>
          <t>missing</t>
        </is>
      </c>
      <c r="E13" s="11" t="n"/>
      <c r="F13" s="11" t="inlineStr">
        <is>
          <t>MUST PULL</t>
        </is>
      </c>
      <c r="G13" s="11" t="n"/>
      <c r="H13" s="11" t="inlineStr">
        <is>
          <t>Without it M13 cannot be isolated from ordinary adds.</t>
        </is>
      </c>
    </row>
    <row r="14" ht="36" customHeight="1" s="34">
      <c r="A14" s="11" t="inlineStr">
        <is>
          <t>Data needed</t>
        </is>
      </c>
      <c r="B14" s="11" t="inlineStr">
        <is>
          <t>D2</t>
        </is>
      </c>
      <c r="C14" s="11" t="inlineStr">
        <is>
          <t>Prior-account flag (active Spectrum res. Internet at t−1)</t>
        </is>
      </c>
      <c r="D14" s="11" t="inlineStr">
        <is>
          <t>missing</t>
        </is>
      </c>
      <c r="E14" s="11" t="n"/>
      <c r="F14" s="11" t="inlineStr">
        <is>
          <t>MUST PULL</t>
        </is>
      </c>
      <c r="G14" s="11" t="n"/>
      <c r="H14" s="11" t="inlineStr">
        <is>
          <t>Computes E. Customer ID preferred; address match is fallback.</t>
        </is>
      </c>
    </row>
    <row r="15" ht="36" customHeight="1" s="34">
      <c r="A15" s="11" t="inlineStr">
        <is>
          <t>Data needed</t>
        </is>
      </c>
      <c r="B15" s="11" t="inlineStr">
        <is>
          <t>D3</t>
        </is>
      </c>
      <c r="C15" s="11" t="inlineStr">
        <is>
          <t>Payer type (employer / employee / self-pay)</t>
        </is>
      </c>
      <c r="D15" s="11" t="inlineStr">
        <is>
          <t>missing</t>
        </is>
      </c>
      <c r="E15" s="11" t="n"/>
      <c r="F15" s="11" t="inlineStr">
        <is>
          <t>MUST PULL</t>
        </is>
      </c>
      <c r="G15" s="11" t="n"/>
      <c r="H15" s="11" t="inlineStr">
        <is>
          <t>Separates discounting an existing line from a new relationship.</t>
        </is>
      </c>
    </row>
    <row r="16" ht="36" customHeight="1" s="34">
      <c r="A16" s="11" t="inlineStr">
        <is>
          <t>Data needed</t>
        </is>
      </c>
      <c r="B16" s="11" t="inlineStr">
        <is>
          <t>D4</t>
        </is>
      </c>
      <c r="C16" s="11" t="inlineStr">
        <is>
          <t>Eligibility termination date</t>
        </is>
      </c>
      <c r="D16" s="11" t="inlineStr">
        <is>
          <t>missing</t>
        </is>
      </c>
      <c r="E16" s="11" t="n"/>
      <c r="F16" s="11" t="inlineStr">
        <is>
          <t>MUST PULL</t>
        </is>
      </c>
      <c r="G16" s="11" t="n"/>
      <c r="H16" s="11" t="inlineStr">
        <is>
          <t>Join to disconnects to compute D. Benefit unenroll ≠ Spectrum disconnect.</t>
        </is>
      </c>
    </row>
    <row r="17" ht="36" customHeight="1" s="34">
      <c r="A17" s="11" t="inlineStr">
        <is>
          <t>Data needed</t>
        </is>
      </c>
      <c r="B17" s="11" t="inlineStr">
        <is>
          <t>D5</t>
        </is>
      </c>
      <c r="C17" s="11" t="inlineStr">
        <is>
          <t>Disconnect date and whether PSU ended</t>
        </is>
      </c>
      <c r="D17" s="11" t="inlineStr">
        <is>
          <t>missing</t>
        </is>
      </c>
      <c r="E17" s="11" t="n"/>
      <c r="F17" s="11" t="inlineStr">
        <is>
          <t>MUST PULL</t>
        </is>
      </c>
      <c r="G17" s="11" t="n"/>
      <c r="H17" s="11" t="inlineStr">
        <is>
          <t>D is Spectrum disconnect in t; self-pay stayers stay in the print.</t>
        </is>
      </c>
    </row>
    <row r="18" ht="36" customHeight="1" s="34">
      <c r="A18" s="11" t="inlineStr">
        <is>
          <t>Data needed</t>
        </is>
      </c>
      <c r="B18" s="11" t="inlineStr">
        <is>
          <t>D6</t>
        </is>
      </c>
      <c r="C18" s="11" t="inlineStr">
        <is>
          <t>Measurement window locked to Ex99.1 quarter</t>
        </is>
      </c>
      <c r="D18" s="11" t="inlineStr">
        <is>
          <t>missing</t>
        </is>
      </c>
      <c r="E18" s="11" t="n"/>
      <c r="F18" s="11" t="inlineStr">
        <is>
          <t>MUST PULL</t>
        </is>
      </c>
      <c r="G18" s="11" t="n"/>
      <c r="H18" s="11" t="inlineStr">
        <is>
          <t>So M13 is in the same unit as the company print.</t>
        </is>
      </c>
    </row>
    <row r="19" ht="36" customHeight="1" s="34">
      <c r="A19" s="38" t="inlineStr">
        <is>
          <t>Unknown</t>
        </is>
      </c>
      <c r="B19" s="38" t="inlineStr">
        <is>
          <t>U1</t>
        </is>
      </c>
      <c r="C19" s="38" t="inlineStr">
        <is>
          <t>Channel net-add count</t>
        </is>
      </c>
      <c r="D19" s="38" t="inlineStr">
        <is>
          <t>not retrieved</t>
        </is>
      </c>
      <c r="E19" s="38" t="n"/>
      <c r="F19" s="38" t="inlineStr">
        <is>
          <t>NOT RETRIEVED</t>
        </is>
      </c>
      <c r="G19" s="38" t="n"/>
      <c r="H19" s="38" t="inlineStr">
        <is>
          <t>Do not invent.</t>
        </is>
      </c>
    </row>
    <row r="20" ht="36" customHeight="1" s="34">
      <c r="A20" s="38" t="inlineStr">
        <is>
          <t>Unknown</t>
        </is>
      </c>
      <c r="B20" s="38" t="inlineStr">
        <is>
          <t>U2</t>
        </is>
      </c>
      <c r="C20" s="38" t="inlineStr">
        <is>
          <t>Conversion of enrollments into accounts</t>
        </is>
      </c>
      <c r="D20" s="38" t="inlineStr">
        <is>
          <t>not retrieved</t>
        </is>
      </c>
      <c r="E20" s="38" t="n"/>
      <c r="F20" s="38" t="inlineStr">
        <is>
          <t>NOT RETRIEVED</t>
        </is>
      </c>
      <c r="G20" s="38" t="n"/>
      <c r="H20" s="38" t="inlineStr">
        <is>
          <t>Optional diagnostic (P−E)/enrollments — leave blank until a pilot produces both counts.</t>
        </is>
      </c>
    </row>
    <row r="21" ht="36" customHeight="1" s="34">
      <c r="A21" s="38" t="inlineStr">
        <is>
          <t>Unknown</t>
        </is>
      </c>
      <c r="B21" s="38" t="inlineStr">
        <is>
          <t>U3</t>
        </is>
      </c>
      <c r="C21" s="38" t="inlineStr">
        <is>
          <t>Share of company print this path would close</t>
        </is>
      </c>
      <c r="D21" s="38" t="inlineStr">
        <is>
          <t>not retrieved</t>
        </is>
      </c>
      <c r="E21" s="38" t="n"/>
      <c r="F21" s="38" t="inlineStr">
        <is>
          <t>NOT RETRIEVED</t>
        </is>
      </c>
      <c r="G21" s="38" t="n"/>
      <c r="H21" s="38" t="inlineStr">
        <is>
          <t>Do not scale −117k / −393k by an invented take-up.</t>
        </is>
      </c>
    </row>
    <row r="22" ht="36" customHeight="1" s="34">
      <c r="A22" s="38" t="inlineStr">
        <is>
          <t>Unknown</t>
        </is>
      </c>
      <c r="B22" s="38" t="inlineStr">
        <is>
          <t>U4</t>
        </is>
      </c>
      <c r="C22" s="38" t="inlineStr">
        <is>
          <t>Incrementality (tagged ≠ would-not-have-signed-up)</t>
        </is>
      </c>
      <c r="D22" s="38" t="inlineStr">
        <is>
          <t>not estimated</t>
        </is>
      </c>
      <c r="E22" s="38" t="n"/>
      <c r="F22" s="38" t="inlineStr">
        <is>
          <t>NOT ESTIMATED</t>
        </is>
      </c>
      <c r="G22" s="38" t="n"/>
      <c r="H22" s="38" t="inlineStr">
        <is>
          <t>A holdout test is a later design, not required to compute the tagged count.</t>
        </is>
      </c>
    </row>
    <row r="23" ht="36" customHeight="1" s="34">
      <c r="A23" s="38" t="inlineStr">
        <is>
          <t>Kill rule</t>
        </is>
      </c>
      <c r="B23" s="38" t="n"/>
      <c r="C23" s="38" t="inlineStr">
        <is>
          <t>Kill the channel as an Internet-print play if a time-boxed pilot with D1–D5 filled shows M13 ≈ 0 because almost all of P is E or D — even if enrollments are large. Do not substitute enrollments, passings, or reach.</t>
        </is>
      </c>
      <c r="D23" s="38" t="n"/>
      <c r="E23" s="38" t="n"/>
      <c r="F23" s="38" t="n"/>
      <c r="G23" s="38" t="n"/>
      <c r="H23" s="38" t="inlineStr">
        <is>
          <t>Written by the validation, not invented here.</t>
        </is>
      </c>
    </row>
  </sheetData>
  <autoFilter ref="A1:H2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4.5"/>
  <cols>
    <col width="36" customWidth="1" style="34" min="1" max="1"/>
    <col width="10" customWidth="1" style="34" min="2" max="2"/>
    <col width="22" customWidth="1" style="34" min="3" max="3"/>
    <col width="26" customWidth="1" style="34" min="4" max="4"/>
    <col width="48" customWidth="1" style="34" min="5" max="5"/>
    <col width="14" customWidth="1" style="34" min="6" max="6"/>
    <col width="28" customWidth="1" style="34" min="7" max="7"/>
    <col width="10" customWidth="1" style="34" min="8" max="8"/>
    <col width="16" customWidth="1" style="34" min="9" max="9"/>
    <col width="36" customWidth="1" style="34" min="10" max="10"/>
    <col width="62" customWidth="1" style="34" min="11" max="11"/>
    <col width="55" customWidth="1" style="34" min="12" max="12"/>
  </cols>
  <sheetData>
    <row r="1">
      <c r="A1" s="3" t="inlineStr">
        <is>
          <t>Label</t>
        </is>
      </c>
      <c r="B1" s="3" t="inlineStr">
        <is>
          <t>Line ID</t>
        </is>
      </c>
      <c r="C1" s="3" t="inlineStr">
        <is>
          <t>Family</t>
        </is>
      </c>
      <c r="D1" s="3" t="inlineStr">
        <is>
          <t>Metric role</t>
        </is>
      </c>
      <c r="E1" s="3" t="inlineStr">
        <is>
          <t>What it measures</t>
        </is>
      </c>
      <c r="F1" s="3" t="inlineStr">
        <is>
          <t>Value</t>
        </is>
      </c>
      <c r="G1" s="3" t="inlineStr">
        <is>
          <t>Unit</t>
        </is>
      </c>
      <c r="H1" s="3" t="inlineStr">
        <is>
          <t>Year</t>
        </is>
      </c>
      <c r="I1" s="3" t="inlineStr">
        <is>
          <t>Origin</t>
        </is>
      </c>
      <c r="J1" s="3" t="inlineStr">
        <is>
          <t>Funder</t>
        </is>
      </c>
      <c r="K1" s="3" t="inlineStr">
        <is>
          <t>Source URL</t>
        </is>
      </c>
      <c r="L1" s="3" t="inlineStr">
        <is>
          <t>Why it is not Charter take-up</t>
        </is>
      </c>
    </row>
    <row r="2" ht="32" customHeight="1" s="34">
      <c r="A2" s="38" t="inlineStr">
        <is>
          <t>ANALOGUE — not Charter take-up</t>
        </is>
      </c>
      <c r="B2" s="38" t="inlineStr">
        <is>
          <t>A1</t>
        </is>
      </c>
      <c r="C2" s="38" t="inlineStr">
        <is>
          <t>core_employer_paid</t>
        </is>
      </c>
      <c r="D2" s="38" t="inlineStr">
        <is>
          <t>employee_takeup</t>
        </is>
      </c>
      <c r="E2" s="38" t="inlineStr">
        <is>
          <t>Eligible-worker take-up of employer health coverage</t>
        </is>
      </c>
      <c r="F2" s="38" t="inlineStr">
        <is>
          <t>76</t>
        </is>
      </c>
      <c r="G2" s="38" t="inlineStr">
        <is>
          <t>percent of eligible workers</t>
        </is>
      </c>
      <c r="H2" s="38" t="inlineStr">
        <is>
          <t>2025</t>
        </is>
      </c>
      <c r="I2" s="38" t="inlineStr">
        <is>
          <t>RETRIEVED</t>
        </is>
      </c>
      <c r="J2" s="38" t="inlineStr">
        <is>
          <t>KFF (nonprofit; not affiliated with Kaiser Permanente)</t>
        </is>
      </c>
      <c r="K2" s="38" t="inlineStr">
        <is>
          <t>https://www.kff.org/health-costs/2025-employer-health-benefits-survey/</t>
        </is>
      </c>
      <c r="L2" s="38" t="inlineStr">
        <is>
          <t>Core heavily employer-subsidized medical is not home internet as a benefit; take-up still is not 100%</t>
        </is>
      </c>
    </row>
    <row r="3" ht="32" customHeight="1" s="34">
      <c r="A3" s="38" t="inlineStr">
        <is>
          <t>ANALOGUE — not Charter take-up</t>
        </is>
      </c>
      <c r="B3" s="38" t="inlineStr">
        <is>
          <t>A2</t>
        </is>
      </c>
      <c r="C3" s="38" t="inlineStr">
        <is>
          <t>core_employer_paid</t>
        </is>
      </c>
      <c r="D3" s="38" t="inlineStr">
        <is>
          <t>employee_eligibility</t>
        </is>
      </c>
      <c r="E3" s="38" t="inlineStr">
        <is>
          <t>Share of workers eligible at firms offering health benefits</t>
        </is>
      </c>
      <c r="F3" s="38" t="inlineStr">
        <is>
          <t>80</t>
        </is>
      </c>
      <c r="G3" s="38" t="inlineStr">
        <is>
          <t>percent of workers at offering firms</t>
        </is>
      </c>
      <c r="H3" s="38" t="inlineStr">
        <is>
          <t>2025</t>
        </is>
      </c>
      <c r="I3" s="38" t="inlineStr">
        <is>
          <t>RETRIEVED</t>
        </is>
      </c>
      <c r="J3" s="38" t="inlineStr">
        <is>
          <t>KFF (nonprofit; not affiliated with Kaiser Permanente)</t>
        </is>
      </c>
      <c r="K3" s="38" t="inlineStr">
        <is>
          <t>https://www.kff.org/health-costs/2025-employer-health-benefits-survey/</t>
        </is>
      </c>
      <c r="L3" s="38" t="inlineStr">
        <is>
          <t>Same as A1 — medical eligibility is not internet-benefit eligibility</t>
        </is>
      </c>
    </row>
    <row r="4" ht="32" customHeight="1" s="34">
      <c r="A4" s="38" t="inlineStr">
        <is>
          <t>ANALOGUE — not Charter take-up</t>
        </is>
      </c>
      <c r="B4" s="38" t="inlineStr">
        <is>
          <t>A3</t>
        </is>
      </c>
      <c r="C4" s="38" t="inlineStr">
        <is>
          <t>core_employer_paid</t>
        </is>
      </c>
      <c r="D4" s="38" t="inlineStr">
        <is>
          <t>employee_enrollment</t>
        </is>
      </c>
      <c r="E4" s="38" t="inlineStr">
        <is>
          <t>Workers enrolled among firms that offer health benefits</t>
        </is>
      </c>
      <c r="F4" s="38" t="inlineStr">
        <is>
          <t>61</t>
        </is>
      </c>
      <c r="G4" s="38" t="inlineStr">
        <is>
          <t>percent of workers at offering firms</t>
        </is>
      </c>
      <c r="H4" s="38" t="inlineStr">
        <is>
          <t>2025</t>
        </is>
      </c>
      <c r="I4" s="38" t="inlineStr">
        <is>
          <t>RETRIEVED</t>
        </is>
      </c>
      <c r="J4" s="38" t="inlineStr">
        <is>
          <t>KFF (nonprofit; not affiliated with Kaiser Permanente)</t>
        </is>
      </c>
      <c r="K4" s="38" t="inlineStr">
        <is>
          <t>https://www.kff.org/health-costs/2025-employer-health-benefits-survey/</t>
        </is>
      </c>
      <c r="L4" s="38" t="inlineStr">
        <is>
          <t>Same as A1</t>
        </is>
      </c>
    </row>
    <row r="5" ht="32" customHeight="1" s="34">
      <c r="A5" s="38" t="inlineStr">
        <is>
          <t>ANALOGUE — not Charter take-up</t>
        </is>
      </c>
      <c r="B5" s="38" t="inlineStr">
        <is>
          <t>A4</t>
        </is>
      </c>
      <c r="C5" s="38" t="inlineStr">
        <is>
          <t>core_employer_paid</t>
        </is>
      </c>
      <c r="D5" s="38" t="inlineStr">
        <is>
          <t>payor_split</t>
        </is>
      </c>
      <c r="E5" s="38" t="inlineStr">
        <is>
          <t>Worker share of single-coverage premium</t>
        </is>
      </c>
      <c r="F5" s="38" t="inlineStr">
        <is>
          <t>16</t>
        </is>
      </c>
      <c r="G5" s="38" t="inlineStr">
        <is>
          <t>percent of premium</t>
        </is>
      </c>
      <c r="H5" s="38" t="inlineStr">
        <is>
          <t>2025</t>
        </is>
      </c>
      <c r="I5" s="38" t="inlineStr">
        <is>
          <t>RETRIEVED</t>
        </is>
      </c>
      <c r="J5" s="38" t="inlineStr">
        <is>
          <t>KFF (nonprofit; not affiliated with Kaiser Permanente)</t>
        </is>
      </c>
      <c r="K5" s="38" t="inlineStr">
        <is>
          <t>https://www.kff.org/health-costs/2025-employer-health-benefits-survey/</t>
        </is>
      </c>
      <c r="L5" s="38" t="inlineStr">
        <is>
          <t>Payor mix for medical premiums is not internet-benefit payor mix</t>
        </is>
      </c>
    </row>
    <row r="6" ht="32" customHeight="1" s="34">
      <c r="A6" s="38" t="inlineStr">
        <is>
          <t>ANALOGUE — not Charter take-up</t>
        </is>
      </c>
      <c r="B6" s="38" t="inlineStr">
        <is>
          <t>A5</t>
        </is>
      </c>
      <c r="C6" s="38" t="inlineStr">
        <is>
          <t>core_employer_paid</t>
        </is>
      </c>
      <c r="D6" s="38" t="inlineStr">
        <is>
          <t>payor_split</t>
        </is>
      </c>
      <c r="E6" s="38" t="inlineStr">
        <is>
          <t>Worker share of family-coverage premium</t>
        </is>
      </c>
      <c r="F6" s="38" t="inlineStr">
        <is>
          <t>26</t>
        </is>
      </c>
      <c r="G6" s="38" t="inlineStr">
        <is>
          <t>percent of premium</t>
        </is>
      </c>
      <c r="H6" s="38" t="inlineStr">
        <is>
          <t>2025</t>
        </is>
      </c>
      <c r="I6" s="38" t="inlineStr">
        <is>
          <t>RETRIEVED</t>
        </is>
      </c>
      <c r="J6" s="38" t="inlineStr">
        <is>
          <t>KFF (nonprofit; not affiliated with Kaiser Permanente)</t>
        </is>
      </c>
      <c r="K6" s="38" t="inlineStr">
        <is>
          <t>https://www.kff.org/health-costs/2025-employer-health-benefits-survey/</t>
        </is>
      </c>
      <c r="L6" s="38" t="inlineStr">
        <is>
          <t>Same as A4</t>
        </is>
      </c>
    </row>
    <row r="7" ht="32" customHeight="1" s="34">
      <c r="A7" s="38" t="inlineStr">
        <is>
          <t>ANALOGUE — not Charter take-up</t>
        </is>
      </c>
      <c r="B7" s="38" t="inlineStr">
        <is>
          <t>B1</t>
        </is>
      </c>
      <c r="C7" s="38" t="inlineStr">
        <is>
          <t>voluntary_lifestyle</t>
        </is>
      </c>
      <c r="D7" s="38" t="inlineStr">
        <is>
          <t>employer_offer</t>
        </is>
      </c>
      <c r="E7" s="38" t="inlineStr">
        <is>
          <t>Employers offering pet insurance</t>
        </is>
      </c>
      <c r="F7" s="38" t="inlineStr">
        <is>
          <t>22</t>
        </is>
      </c>
      <c r="G7" s="38" t="inlineStr">
        <is>
          <t>percent of employers</t>
        </is>
      </c>
      <c r="H7" s="38" t="inlineStr">
        <is>
          <t>2025</t>
        </is>
      </c>
      <c r="I7" s="38" t="inlineStr">
        <is>
          <t>RETRIEVED</t>
        </is>
      </c>
      <c r="J7" s="38" t="inlineStr">
        <is>
          <t>SHRM (membership association; survey of its professional members)</t>
        </is>
      </c>
      <c r="K7" s="38" t="inlineStr">
        <is>
          <t>https://www.shrm.org/content/dam/en/shrm/topics-tools/research/employee-benefits/2025_annual_benefits_survey_executive_summary.pdf</t>
        </is>
      </c>
      <c r="L7" s="38" t="inlineStr">
        <is>
          <t>Offer is not enrollment; pet insurance is not home internet</t>
        </is>
      </c>
    </row>
    <row r="8" ht="32" customHeight="1" s="34">
      <c r="A8" s="38" t="inlineStr">
        <is>
          <t>ANALOGUE — not Charter take-up</t>
        </is>
      </c>
      <c r="B8" s="38" t="inlineStr">
        <is>
          <t>B2</t>
        </is>
      </c>
      <c r="C8" s="38" t="inlineStr">
        <is>
          <t>voluntary_lifestyle</t>
        </is>
      </c>
      <c r="D8" s="38" t="inlineStr">
        <is>
          <t>employer_offer</t>
        </is>
      </c>
      <c r="E8" s="38" t="inlineStr">
        <is>
          <t>Employers offering legal assistance/services</t>
        </is>
      </c>
      <c r="F8" s="38" t="inlineStr">
        <is>
          <t>26</t>
        </is>
      </c>
      <c r="G8" s="38" t="inlineStr">
        <is>
          <t>percent of employers</t>
        </is>
      </c>
      <c r="H8" s="38" t="inlineStr">
        <is>
          <t>2017</t>
        </is>
      </c>
      <c r="I8" s="38" t="inlineStr">
        <is>
          <t>RETRIEVED</t>
        </is>
      </c>
      <c r="J8" s="38" t="inlineStr">
        <is>
          <t>SHRM</t>
        </is>
      </c>
      <c r="K8" s="38" t="inlineStr">
        <is>
          <t>https://www.shrm.org/content/dam/en/shrm/topics-tools/news/organizational-employee-development/Benefits-Prevalence-Report-All-Industries-All-FTEs.pdf</t>
        </is>
      </c>
      <c r="L8" s="38" t="inlineStr">
        <is>
          <t>2017 legal-plan offer is not Charter internet take-up</t>
        </is>
      </c>
    </row>
    <row r="9" ht="32" customHeight="1" s="34">
      <c r="A9" s="38" t="inlineStr">
        <is>
          <t>ANALOGUE — not Charter take-up</t>
        </is>
      </c>
      <c r="B9" s="38" t="inlineStr">
        <is>
          <t>B3</t>
        </is>
      </c>
      <c r="C9" s="38" t="inlineStr">
        <is>
          <t>voluntary_lifestyle</t>
        </is>
      </c>
      <c r="D9" s="38" t="inlineStr">
        <is>
          <t>employer_offer</t>
        </is>
      </c>
      <c r="E9" s="38" t="inlineStr">
        <is>
          <t>Employers offering identity theft protection</t>
        </is>
      </c>
      <c r="F9" s="38" t="inlineStr">
        <is>
          <t>9</t>
        </is>
      </c>
      <c r="G9" s="38" t="inlineStr">
        <is>
          <t>percent of employers</t>
        </is>
      </c>
      <c r="H9" s="38" t="inlineStr">
        <is>
          <t>2017</t>
        </is>
      </c>
      <c r="I9" s="38" t="inlineStr">
        <is>
          <t>RETRIEVED</t>
        </is>
      </c>
      <c r="J9" s="38" t="inlineStr">
        <is>
          <t>SHRM</t>
        </is>
      </c>
      <c r="K9" s="38" t="inlineStr">
        <is>
          <t>https://www.shrm.org/content/dam/en/shrm/topics-tools/news/organizational-employee-development/Benefits-Prevalence-Report-All-Industries-All-FTEs.pdf</t>
        </is>
      </c>
      <c r="L9" s="38" t="inlineStr">
        <is>
          <t>2017 ID-theft offer is not Charter internet take-up</t>
        </is>
      </c>
    </row>
    <row r="10" ht="32" customHeight="1" s="34">
      <c r="A10" s="38" t="inlineStr">
        <is>
          <t>ANALOGUE — not Charter take-up</t>
        </is>
      </c>
      <c r="B10" s="38" t="inlineStr">
        <is>
          <t>B4</t>
        </is>
      </c>
      <c r="C10" s="38" t="inlineStr">
        <is>
          <t>voluntary_lifestyle</t>
        </is>
      </c>
      <c r="D10" s="38" t="inlineStr">
        <is>
          <t>employee_interest_not_takeup</t>
        </is>
      </c>
      <c r="E10" s="38" t="inlineStr">
        <is>
          <t>Gen Z employees very/extremely interested in employer offering identity theft protection</t>
        </is>
      </c>
      <c r="F10" s="38" t="inlineStr">
        <is>
          <t>37</t>
        </is>
      </c>
      <c r="G10" s="38" t="inlineStr">
        <is>
          <t>percent of employees in generation</t>
        </is>
      </c>
      <c r="H10" s="38" t="inlineStr">
        <is>
          <t>2025</t>
        </is>
      </c>
      <c r="I10" s="38" t="inlineStr">
        <is>
          <t>RETRIEVED</t>
        </is>
      </c>
      <c r="J10" s="38" t="inlineStr">
        <is>
          <t>LIMRA and Ernst &amp; Young LLP (industry association + professional-services firm)</t>
        </is>
      </c>
      <c r="K10" s="38" t="inlineStr">
        <is>
          <t>https://www.limra.com/globalassets/limra-loma/events-learning-and-networking/conferences/2025/workplace-benefits-conference/presentations/gs---harnessing-growth-in-workforce-benefits---2025-refresh.pdf</t>
        </is>
      </c>
      <c r="L10" s="38" t="inlineStr">
        <is>
          <t>Interest is not election; identity protection is not internet</t>
        </is>
      </c>
    </row>
    <row r="11" ht="32" customHeight="1" s="34">
      <c r="A11" s="38" t="inlineStr">
        <is>
          <t>ANALOGUE — not Charter take-up</t>
        </is>
      </c>
      <c r="B11" s="38" t="inlineStr">
        <is>
          <t>B5</t>
        </is>
      </c>
      <c r="C11" s="38" t="inlineStr">
        <is>
          <t>voluntary_lifestyle</t>
        </is>
      </c>
      <c r="D11" s="38" t="inlineStr">
        <is>
          <t>employee_interest_not_takeup</t>
        </is>
      </c>
      <c r="E11" s="38" t="inlineStr">
        <is>
          <t>Gen Z employees very/extremely interested in employer offering a legal services plan</t>
        </is>
      </c>
      <c r="F11" s="38" t="inlineStr">
        <is>
          <t>24</t>
        </is>
      </c>
      <c r="G11" s="38" t="inlineStr">
        <is>
          <t>percent of employees in generation</t>
        </is>
      </c>
      <c r="H11" s="38" t="inlineStr">
        <is>
          <t>2025</t>
        </is>
      </c>
      <c r="I11" s="38" t="inlineStr">
        <is>
          <t>RETRIEVED</t>
        </is>
      </c>
      <c r="J11" s="38" t="inlineStr">
        <is>
          <t>LIMRA and Ernst &amp; Young LLP</t>
        </is>
      </c>
      <c r="K11" s="38" t="inlineStr">
        <is>
          <t>https://www.limra.com/globalassets/limra-loma/events-learning-and-networking/conferences/2025/workplace-benefits-conference/presentations/gs---harnessing-growth-in-workforce-benefits---2025-refresh.pdf</t>
        </is>
      </c>
      <c r="L11" s="38" t="inlineStr">
        <is>
          <t>Interest is not election</t>
        </is>
      </c>
    </row>
    <row r="12" ht="32" customHeight="1" s="34">
      <c r="A12" s="38" t="inlineStr">
        <is>
          <t>ANALOGUE — not Charter take-up</t>
        </is>
      </c>
      <c r="B12" s="38" t="inlineStr">
        <is>
          <t>B6</t>
        </is>
      </c>
      <c r="C12" s="38" t="inlineStr">
        <is>
          <t>voluntary_lifestyle</t>
        </is>
      </c>
      <c r="D12" s="38" t="inlineStr">
        <is>
          <t>employee_interest_not_takeup</t>
        </is>
      </c>
      <c r="E12" s="38" t="inlineStr">
        <is>
          <t>Gen Z employees very/extremely interested in employer offering pet insurance</t>
        </is>
      </c>
      <c r="F12" s="38" t="inlineStr">
        <is>
          <t>23</t>
        </is>
      </c>
      <c r="G12" s="38" t="inlineStr">
        <is>
          <t>percent of employees in generation</t>
        </is>
      </c>
      <c r="H12" s="38" t="inlineStr">
        <is>
          <t>2025</t>
        </is>
      </c>
      <c r="I12" s="38" t="inlineStr">
        <is>
          <t>RETRIEVED</t>
        </is>
      </c>
      <c r="J12" s="38" t="inlineStr">
        <is>
          <t>LIMRA and Ernst &amp; Young LLP</t>
        </is>
      </c>
      <c r="K12" s="38" t="inlineStr">
        <is>
          <t>https://www.limra.com/globalassets/limra-loma/events-learning-and-networking/conferences/2025/workplace-benefits-conference/presentations/gs---harnessing-growth-in-workforce-benefits---2025-refresh.pdf</t>
        </is>
      </c>
      <c r="L12" s="38" t="inlineStr">
        <is>
          <t>Interest is not election</t>
        </is>
      </c>
    </row>
    <row r="13" ht="32" customHeight="1" s="34">
      <c r="A13" s="38" t="inlineStr">
        <is>
          <t>ANALOGUE — not Charter take-up</t>
        </is>
      </c>
      <c r="B13" s="38" t="inlineStr">
        <is>
          <t>B7</t>
        </is>
      </c>
      <c r="C13" s="38" t="inlineStr">
        <is>
          <t>voluntary_platform</t>
        </is>
      </c>
      <c r="D13" s="38" t="inlineStr">
        <is>
          <t>employer_offer</t>
        </is>
      </c>
      <c r="E13" s="38" t="inlineStr">
        <is>
          <t>Large employers on Benefitfocus platform offering supplemental/voluntary benefits</t>
        </is>
      </c>
      <c r="F13" s="38" t="inlineStr">
        <is>
          <t>44</t>
        </is>
      </c>
      <c r="G13" s="38" t="inlineStr">
        <is>
          <t>percent of employers in platform</t>
        </is>
      </c>
      <c r="H13" s="38" t="inlineStr">
        <is>
          <t>2025</t>
        </is>
      </c>
      <c r="I13" s="38" t="inlineStr">
        <is>
          <t>RETRIEVED</t>
        </is>
      </c>
      <c r="J13" s="38" t="inlineStr">
        <is>
          <t>Benefitfocus (Voya Financial) — vendor that sells the enrollment platform</t>
        </is>
      </c>
      <c r="K13" s="38" t="inlineStr">
        <is>
          <t>https://www.benefitfocus.com/sites/default/files/2025-06/2025%20State%20of%20Employee%20Benefits%20Report.pdf</t>
        </is>
      </c>
      <c r="L13" s="38" t="inlineStr">
        <is>
          <t>Platform mix of large-employer clients is not Charter take-up</t>
        </is>
      </c>
    </row>
    <row r="14" ht="32" customHeight="1" s="34">
      <c r="A14" s="38" t="inlineStr">
        <is>
          <t>ANALOGUE — not Charter take-up</t>
        </is>
      </c>
      <c r="B14" s="38" t="inlineStr">
        <is>
          <t>B8</t>
        </is>
      </c>
      <c r="C14" s="38" t="inlineStr">
        <is>
          <t>voluntary_platform</t>
        </is>
      </c>
      <c r="D14" s="38" t="inlineStr">
        <is>
          <t>directional_only</t>
        </is>
      </c>
      <c r="E14" s="38" t="inlineStr">
        <is>
          <t>Participation rank among Benefitfocus voluntary products</t>
        </is>
      </c>
      <c r="F14" s="38" t="inlineStr">
        <is>
          <t>highest in ACC then CI then HI vs legal ID pet</t>
        </is>
      </c>
      <c r="G14" s="38" t="inlineStr">
        <is>
          <t>rank (no integer rate retrieved)</t>
        </is>
      </c>
      <c r="H14" s="38" t="inlineStr">
        <is>
          <t>2025</t>
        </is>
      </c>
      <c r="I14" s="38" t="inlineStr">
        <is>
          <t>RETRIEVED</t>
        </is>
      </c>
      <c r="J14" s="38" t="inlineStr">
        <is>
          <t>Benefitfocus (Voya Financial)</t>
        </is>
      </c>
      <c r="K14" s="38" t="inlineStr">
        <is>
          <t>https://www.benefitfocus.com/sites/default/files/2025-06/2025%20State%20of%20Employee%20Benefits%20Report.pdf</t>
        </is>
      </c>
      <c r="L14" s="38" t="inlineStr">
        <is>
          <t>Do not invent missing chart integers; rank is not a Charter rate</t>
        </is>
      </c>
    </row>
    <row r="15" ht="32" customHeight="1" s="34">
      <c r="A15" s="38" t="inlineStr">
        <is>
          <t>ANALOGUE — not Charter take-up</t>
        </is>
      </c>
      <c r="B15" s="38" t="inlineStr">
        <is>
          <t>B9</t>
        </is>
      </c>
      <c r="C15" s="38" t="inlineStr">
        <is>
          <t>voluntary_vendor_survey</t>
        </is>
      </c>
      <c r="D15" s="38" t="inlineStr">
        <is>
          <t>employer_offer</t>
        </is>
      </c>
      <c r="E15" s="38" t="inlineStr">
        <is>
          <t>Employers offering supplemental insurance (Aflac employer survey)</t>
        </is>
      </c>
      <c r="F15" s="38" t="inlineStr">
        <is>
          <t>39</t>
        </is>
      </c>
      <c r="G15" s="38" t="inlineStr">
        <is>
          <t>percent of employers</t>
        </is>
      </c>
      <c r="H15" s="38" t="inlineStr">
        <is>
          <t>2023</t>
        </is>
      </c>
      <c r="I15" s="38" t="inlineStr">
        <is>
          <t>RETRIEVED</t>
        </is>
      </c>
      <c r="J15" s="38" t="inlineStr">
        <is>
          <t>Aflac (carrier that sells supplemental insurance); fielded by Kantar</t>
        </is>
      </c>
      <c r="K15" s="38" t="inlineStr">
        <is>
          <t>https://www.aflac.com/docs/awr/pdf/2023-trends-and-topics/2023-aflac-awr-the-state-of-workplace-benefits-and-enrollment.pdf</t>
        </is>
      </c>
      <c r="L15" s="38" t="inlineStr">
        <is>
          <t>Vendor-funded; supplemental dental/life/vision mix is not internet</t>
        </is>
      </c>
    </row>
    <row r="16" ht="32" customHeight="1" s="34">
      <c r="A16" s="38" t="inlineStr">
        <is>
          <t>ANALOGUE — not Charter take-up</t>
        </is>
      </c>
      <c r="B16" s="38" t="inlineStr">
        <is>
          <t>B10</t>
        </is>
      </c>
      <c r="C16" s="38" t="inlineStr">
        <is>
          <t>voluntary_vendor_survey</t>
        </is>
      </c>
      <c r="D16" s="38" t="inlineStr">
        <is>
          <t>employee_access</t>
        </is>
      </c>
      <c r="E16" s="38" t="inlineStr">
        <is>
          <t>Employees reporting access to supplemental benefits at work</t>
        </is>
      </c>
      <c r="F16" s="38" t="inlineStr">
        <is>
          <t>60</t>
        </is>
      </c>
      <c r="G16" s="38" t="inlineStr">
        <is>
          <t>percent of employees</t>
        </is>
      </c>
      <c r="H16" s="38" t="inlineStr">
        <is>
          <t>2023</t>
        </is>
      </c>
      <c r="I16" s="38" t="inlineStr">
        <is>
          <t>RETRIEVED</t>
        </is>
      </c>
      <c r="J16" s="38" t="inlineStr">
        <is>
          <t>Aflac; fielded by Kantar</t>
        </is>
      </c>
      <c r="K16" s="38" t="inlineStr">
        <is>
          <t>https://www.aflac.com/docs/awr/pdf/2023-trends-and-topics/2023-aflac-awr-the-state-of-workplace-benefits-and-enrollment.pdf</t>
        </is>
      </c>
      <c r="L16" s="38" t="inlineStr">
        <is>
          <t>Access and dental/life/vision elections are not internet take-up</t>
        </is>
      </c>
    </row>
    <row r="17" ht="32" customHeight="1" s="34">
      <c r="A17" s="38" t="inlineStr">
        <is>
          <t>ANALOGUE — not Charter take-up</t>
        </is>
      </c>
      <c r="B17" s="38" t="inlineStr">
        <is>
          <t>B11</t>
        </is>
      </c>
      <c r="C17" s="38" t="inlineStr">
        <is>
          <t>voluntary_vendor_survey</t>
        </is>
      </c>
      <c r="D17" s="38" t="inlineStr">
        <is>
          <t>employer_offer</t>
        </is>
      </c>
      <c r="E17" s="38" t="inlineStr">
        <is>
          <t>Employers offering identity-fraud protection (Aflac)</t>
        </is>
      </c>
      <c r="F17" s="38" t="inlineStr">
        <is>
          <t>25</t>
        </is>
      </c>
      <c r="G17" s="38" t="inlineStr">
        <is>
          <t>percent of employers</t>
        </is>
      </c>
      <c r="H17" s="38" t="inlineStr">
        <is>
          <t>2023</t>
        </is>
      </c>
      <c r="I17" s="38" t="inlineStr">
        <is>
          <t>RETRIEVED</t>
        </is>
      </c>
      <c r="J17" s="38" t="inlineStr">
        <is>
          <t>Aflac; fielded by Kantar</t>
        </is>
      </c>
      <c r="K17" s="38" t="inlineStr">
        <is>
          <t>https://www.aflac.com/docs/awr/pdf/2023-trends-and-topics/2023-aflac-awr-the-state-of-workplace-benefits-and-enrollment.pdf</t>
        </is>
      </c>
      <c r="L17" s="38" t="inlineStr">
        <is>
          <t>Offer/interest gap is not Charter take-up</t>
        </is>
      </c>
    </row>
    <row r="18" ht="32" customHeight="1" s="34">
      <c r="A18" s="38" t="inlineStr">
        <is>
          <t>ANALOGUE — not Charter take-up</t>
        </is>
      </c>
      <c r="B18" s="38" t="inlineStr">
        <is>
          <t>B12</t>
        </is>
      </c>
      <c r="C18" s="38" t="inlineStr">
        <is>
          <t>voluntary_vendor_survey</t>
        </is>
      </c>
      <c r="D18" s="38" t="inlineStr">
        <is>
          <t>employee_interest_not_takeup</t>
        </is>
      </c>
      <c r="E18" s="38" t="inlineStr">
        <is>
          <t>Employees interested in identity-fraud protection (Aflac)</t>
        </is>
      </c>
      <c r="F18" s="38" t="inlineStr">
        <is>
          <t>38</t>
        </is>
      </c>
      <c r="G18" s="38" t="inlineStr">
        <is>
          <t>percent of employees</t>
        </is>
      </c>
      <c r="H18" s="38" t="inlineStr">
        <is>
          <t>2023</t>
        </is>
      </c>
      <c r="I18" s="38" t="inlineStr">
        <is>
          <t>RETRIEVED</t>
        </is>
      </c>
      <c r="J18" s="38" t="inlineStr">
        <is>
          <t>Aflac; fielded by Kantar</t>
        </is>
      </c>
      <c r="K18" s="38" t="inlineStr">
        <is>
          <t>https://www.aflac.com/docs/awr/pdf/2023-trends-and-topics/2023-aflac-awr-the-state-of-workplace-benefits-and-enrollment.pdf</t>
        </is>
      </c>
      <c r="L18" s="38" t="inlineStr">
        <is>
          <t>Interest is not election</t>
        </is>
      </c>
    </row>
    <row r="19" ht="32" customHeight="1" s="34">
      <c r="A19" s="38" t="inlineStr">
        <is>
          <t>ANALOGUE — not Charter take-up</t>
        </is>
      </c>
      <c r="B19" s="38" t="inlineStr">
        <is>
          <t>C1</t>
        </is>
      </c>
      <c r="C19" s="38" t="inlineStr">
        <is>
          <t>student_loan</t>
        </is>
      </c>
      <c r="D19" s="38" t="inlineStr">
        <is>
          <t>employer_offer</t>
        </is>
      </c>
      <c r="E19" s="38" t="inlineStr">
        <is>
          <t>Employers offering qualified student-loan payment 401(k)/403(b) match</t>
        </is>
      </c>
      <c r="F19" s="38" t="inlineStr">
        <is>
          <t>4</t>
        </is>
      </c>
      <c r="G19" s="38" t="inlineStr">
        <is>
          <t>percent of employers</t>
        </is>
      </c>
      <c r="H19" s="38" t="inlineStr">
        <is>
          <t>2025</t>
        </is>
      </c>
      <c r="I19" s="38" t="inlineStr">
        <is>
          <t>RETRIEVED</t>
        </is>
      </c>
      <c r="J19" s="38" t="inlineStr">
        <is>
          <t>SHRM</t>
        </is>
      </c>
      <c r="K19" s="38" t="inlineStr">
        <is>
          <t>https://www.shrm.org/content/dam/en/shrm/topics-tools/research/employee-benefits/2025_annual_benefits_survey_executive_summary.pdf</t>
        </is>
      </c>
      <c r="L19" s="38" t="inlineStr">
        <is>
          <t>QSLP match offer is not internet take-up</t>
        </is>
      </c>
    </row>
    <row r="20" ht="32" customHeight="1" s="34">
      <c r="A20" s="38" t="inlineStr">
        <is>
          <t>ANALOGUE — not Charter take-up</t>
        </is>
      </c>
      <c r="B20" s="38" t="inlineStr">
        <is>
          <t>C2</t>
        </is>
      </c>
      <c r="C20" s="38" t="inlineStr">
        <is>
          <t>student_loan</t>
        </is>
      </c>
      <c r="D20" s="38" t="inlineStr">
        <is>
          <t>employer_offer</t>
        </is>
      </c>
      <c r="E20" s="38" t="inlineStr">
        <is>
          <t>Organizations offering student-loan repayment assistance</t>
        </is>
      </c>
      <c r="F20" s="38" t="inlineStr">
        <is>
          <t>14</t>
        </is>
      </c>
      <c r="G20" s="38" t="inlineStr">
        <is>
          <t>percent of organizations</t>
        </is>
      </c>
      <c r="H20" s="38" t="inlineStr">
        <is>
          <t>2024</t>
        </is>
      </c>
      <c r="I20" s="38" t="inlineStr">
        <is>
          <t>RETRIEVED</t>
        </is>
      </c>
      <c r="J20" s="38" t="inlineStr">
        <is>
          <t>International Foundation of Employee Benefit Plans (nonprofit professional association)</t>
        </is>
      </c>
      <c r="K20" s="38" t="inlineStr">
        <is>
          <t>https://www.ifebp.org/resources---news/news-and-regulatory-updates/press-room/press-releases/2024/12/18/student-loan-repayment-benefits-on-the-rise</t>
        </is>
      </c>
      <c r="L20" s="38" t="inlineStr">
        <is>
          <t>Offer among IFEBP respondents is not Charter take-up</t>
        </is>
      </c>
    </row>
    <row r="21" ht="32" customHeight="1" s="34">
      <c r="A21" s="38" t="inlineStr">
        <is>
          <t>ANALOGUE — not Charter take-up</t>
        </is>
      </c>
      <c r="B21" s="38" t="inlineStr">
        <is>
          <t>C3</t>
        </is>
      </c>
      <c r="C21" s="38" t="inlineStr">
        <is>
          <t>student_loan</t>
        </is>
      </c>
      <c r="D21" s="38" t="inlineStr">
        <is>
          <t>employer_offer</t>
        </is>
      </c>
      <c r="E21" s="38" t="inlineStr">
        <is>
          <t>Organizations offering student-loan repayment (SHRM 2024 wave)</t>
        </is>
      </c>
      <c r="F21" s="38" t="inlineStr">
        <is>
          <t>9</t>
        </is>
      </c>
      <c r="G21" s="38" t="inlineStr">
        <is>
          <t>percent of organizations</t>
        </is>
      </c>
      <c r="H21" s="38" t="inlineStr">
        <is>
          <t>2024</t>
        </is>
      </c>
      <c r="I21" s="38" t="inlineStr">
        <is>
          <t>RETRIEVED</t>
        </is>
      </c>
      <c r="J21" s="38" t="inlineStr">
        <is>
          <t>SHRM</t>
        </is>
      </c>
      <c r="K21" s="38" t="inlineStr">
        <is>
          <t>https://www.shrm.org/mena/topics-tools/news/benefits-compensation/student-loan-benefits-on-the-rise</t>
        </is>
      </c>
      <c r="L21" s="38" t="inlineStr">
        <is>
          <t>Offer is not take-up</t>
        </is>
      </c>
    </row>
    <row r="22" ht="32" customHeight="1" s="34">
      <c r="A22" s="38" t="inlineStr">
        <is>
          <t>ANALOGUE — not Charter take-up</t>
        </is>
      </c>
      <c r="B22" s="38" t="inlineStr">
        <is>
          <t>C4</t>
        </is>
      </c>
      <c r="C22" s="38" t="inlineStr">
        <is>
          <t>student_loan</t>
        </is>
      </c>
      <c r="D22" s="38" t="inlineStr">
        <is>
          <t>employer_offer</t>
        </is>
      </c>
      <c r="E22" s="38" t="inlineStr">
        <is>
          <t>Employers offering company-provided student-loan repayment</t>
        </is>
      </c>
      <c r="F22" s="38" t="inlineStr">
        <is>
          <t>4</t>
        </is>
      </c>
      <c r="G22" s="38" t="inlineStr">
        <is>
          <t>percent of employers</t>
        </is>
      </c>
      <c r="H22" s="38" t="inlineStr">
        <is>
          <t>2017</t>
        </is>
      </c>
      <c r="I22" s="38" t="inlineStr">
        <is>
          <t>RETRIEVED</t>
        </is>
      </c>
      <c r="J22" s="38" t="inlineStr">
        <is>
          <t>SHRM</t>
        </is>
      </c>
      <c r="K22" s="38" t="inlineStr">
        <is>
          <t>https://www.shrm.org/content/dam/en/shrm/topics-tools/news/organizational-employee-development/Benefits-Prevalence-Report-All-Industries-All-FTEs.pdf</t>
        </is>
      </c>
      <c r="L22" s="38" t="inlineStr">
        <is>
          <t>2017 student-loan offer is not 2026 internet take-up</t>
        </is>
      </c>
    </row>
    <row r="23" ht="32" customHeight="1" s="34">
      <c r="A23" s="38" t="inlineStr">
        <is>
          <t>ANALOGUE — not Charter take-up</t>
        </is>
      </c>
      <c r="B23" s="38" t="inlineStr">
        <is>
          <t>D1</t>
        </is>
      </c>
      <c r="C23" s="38" t="inlineStr">
        <is>
          <t>internet_stipend</t>
        </is>
      </c>
      <c r="D23" s="38" t="inlineStr">
        <is>
          <t>employer_offer</t>
        </is>
      </c>
      <c r="E23" s="38" t="inlineStr">
        <is>
          <t>Employers offering free discounted or subsidized home Internet service</t>
        </is>
      </c>
      <c r="F23" s="38" t="inlineStr">
        <is>
          <t>5</t>
        </is>
      </c>
      <c r="G23" s="38" t="inlineStr">
        <is>
          <t>percent of employers</t>
        </is>
      </c>
      <c r="H23" s="38" t="inlineStr">
        <is>
          <t>2017</t>
        </is>
      </c>
      <c r="I23" s="38" t="inlineStr">
        <is>
          <t>RETRIEVED</t>
        </is>
      </c>
      <c r="J23" s="38" t="inlineStr">
        <is>
          <t>SHRM</t>
        </is>
      </c>
      <c r="K23" s="38" t="inlineStr">
        <is>
          <t>https://www.shrm.org/content/dam/en/shrm/topics-tools/news/organizational-employee-development/Benefits-Prevalence-Report-All-Industries-All-FTEs.pdf</t>
        </is>
      </c>
      <c r="L23" s="38" t="inlineStr">
        <is>
          <t>2017 offer prevalence is not Charter 2026 take-up; no Spectrum SKU</t>
        </is>
      </c>
    </row>
    <row r="24" ht="32" customHeight="1" s="34">
      <c r="A24" s="38" t="inlineStr">
        <is>
          <t>ANALOGUE — not Charter take-up</t>
        </is>
      </c>
      <c r="B24" s="38" t="inlineStr">
        <is>
          <t>D2</t>
        </is>
      </c>
      <c r="C24" s="38" t="inlineStr">
        <is>
          <t>internet_stipend</t>
        </is>
      </c>
      <c r="D24" s="38" t="inlineStr">
        <is>
          <t>employer_offer_broader_than_internet</t>
        </is>
      </c>
      <c r="E24" s="38" t="inlineStr">
        <is>
          <t>Employers offering subsidy or reimbursement of remote-work / at-home equipment</t>
        </is>
      </c>
      <c r="F24" s="38" t="inlineStr">
        <is>
          <t>55</t>
        </is>
      </c>
      <c r="G24" s="38" t="inlineStr">
        <is>
          <t>percent of employers</t>
        </is>
      </c>
      <c r="H24" s="38" t="inlineStr">
        <is>
          <t>2025</t>
        </is>
      </c>
      <c r="I24" s="38" t="inlineStr">
        <is>
          <t>RETRIEVED</t>
        </is>
      </c>
      <c r="J24" s="38" t="inlineStr">
        <is>
          <t>SHRM</t>
        </is>
      </c>
      <c r="K24" s="38" t="inlineStr">
        <is>
          <t>https://www.shrm.org/content/dam/en/shrm/topics-tools/research/employee-benefits/2025_annual_benefits_survey_executive_summary.pdf</t>
        </is>
      </c>
      <c r="L24" s="38" t="inlineStr">
        <is>
          <t>Equipment stipend ≠ home-internet benefit</t>
        </is>
      </c>
    </row>
    <row r="25" ht="32" customHeight="1" s="34">
      <c r="A25" s="38" t="inlineStr">
        <is>
          <t>ANALOGUE — not Charter take-up</t>
        </is>
      </c>
      <c r="B25" s="38" t="inlineStr">
        <is>
          <t>D3</t>
        </is>
      </c>
      <c r="C25" s="38" t="inlineStr">
        <is>
          <t>internet_stipend</t>
        </is>
      </c>
      <c r="D25" s="38" t="inlineStr">
        <is>
          <t>employer_offer_broader_than_internet</t>
        </is>
      </c>
      <c r="E25" s="38" t="inlineStr">
        <is>
          <t>Employers offering subsidy or reimbursement of remote-work / at-home equipment</t>
        </is>
      </c>
      <c r="F25" s="38" t="inlineStr">
        <is>
          <t>53</t>
        </is>
      </c>
      <c r="G25" s="38" t="inlineStr">
        <is>
          <t>percent of employers</t>
        </is>
      </c>
      <c r="H25" s="38" t="inlineStr">
        <is>
          <t>2026</t>
        </is>
      </c>
      <c r="I25" s="38" t="inlineStr">
        <is>
          <t>RETRIEVED</t>
        </is>
      </c>
      <c r="J25" s="38" t="inlineStr">
        <is>
          <t>SHRM</t>
        </is>
      </c>
      <c r="K25" s="38" t="inlineStr">
        <is>
          <t>https://www.shrm.org/content/dam/en/shrm/topics-tools/research/employee-benefits/2026_employee-benefits_executive-summary.pdf</t>
        </is>
      </c>
      <c r="L25" s="38" t="inlineStr">
        <is>
          <t>Same as D2; 2026 equipment rate is not internet take-up</t>
        </is>
      </c>
    </row>
    <row r="26" ht="32" customHeight="1" s="34">
      <c r="A26" s="38" t="inlineStr">
        <is>
          <t>ANALOGUE — not Charter take-up</t>
        </is>
      </c>
      <c r="B26" s="38" t="inlineStr">
        <is>
          <t>E1</t>
        </is>
      </c>
      <c r="C26" s="38" t="inlineStr">
        <is>
          <t>commuter</t>
        </is>
      </c>
      <c r="D26" s="38" t="inlineStr">
        <is>
          <t>employer_offer</t>
        </is>
      </c>
      <c r="E26" s="38" t="inlineStr">
        <is>
          <t>Employers offering a transit subsidy</t>
        </is>
      </c>
      <c r="F26" s="38" t="inlineStr">
        <is>
          <t>12</t>
        </is>
      </c>
      <c r="G26" s="38" t="inlineStr">
        <is>
          <t>percent of employers</t>
        </is>
      </c>
      <c r="H26" s="38" t="inlineStr">
        <is>
          <t>2025</t>
        </is>
      </c>
      <c r="I26" s="38" t="inlineStr">
        <is>
          <t>RETRIEVED</t>
        </is>
      </c>
      <c r="J26" s="38" t="inlineStr">
        <is>
          <t>SHRM</t>
        </is>
      </c>
      <c r="K26" s="38" t="inlineStr">
        <is>
          <t>https://www.shrm.org/topics-tools/news/benefits-compensation/irs-boosts-commuter-benefit-limits-2026</t>
        </is>
      </c>
      <c r="L26" s="38" t="inlineStr">
        <is>
          <t>Transit subsidy offer is not internet take-up</t>
        </is>
      </c>
    </row>
    <row r="27" ht="32" customHeight="1" s="34">
      <c r="A27" s="38" t="inlineStr">
        <is>
          <t>ANALOGUE — not Charter take-up</t>
        </is>
      </c>
      <c r="B27" s="38" t="inlineStr">
        <is>
          <t>E2</t>
        </is>
      </c>
      <c r="C27" s="38" t="inlineStr">
        <is>
          <t>commuter</t>
        </is>
      </c>
      <c r="D27" s="38" t="inlineStr">
        <is>
          <t>employer_offer</t>
        </is>
      </c>
      <c r="E27" s="38" t="inlineStr">
        <is>
          <t>Employers offering a parking subsidy (onsite or offsite)</t>
        </is>
      </c>
      <c r="F27" s="38" t="inlineStr">
        <is>
          <t>10</t>
        </is>
      </c>
      <c r="G27" s="38" t="inlineStr">
        <is>
          <t>percent of employers</t>
        </is>
      </c>
      <c r="H27" s="38" t="inlineStr">
        <is>
          <t>2025</t>
        </is>
      </c>
      <c r="I27" s="38" t="inlineStr">
        <is>
          <t>RETRIEVED</t>
        </is>
      </c>
      <c r="J27" s="38" t="inlineStr">
        <is>
          <t>SHRM</t>
        </is>
      </c>
      <c r="K27" s="38" t="inlineStr">
        <is>
          <t>https://www.shrm.org/topics-tools/news/benefits-compensation/irs-boosts-commuter-benefit-limits-2026</t>
        </is>
      </c>
      <c r="L27" s="38" t="inlineStr">
        <is>
          <t>Parking subsidy is not internet</t>
        </is>
      </c>
    </row>
    <row r="28" ht="32" customHeight="1" s="34">
      <c r="A28" s="38" t="inlineStr">
        <is>
          <t>ANALOGUE — not Charter take-up</t>
        </is>
      </c>
      <c r="B28" s="38" t="inlineStr">
        <is>
          <t>E3</t>
        </is>
      </c>
      <c r="C28" s="38" t="inlineStr">
        <is>
          <t>commuter</t>
        </is>
      </c>
      <c r="D28" s="38" t="inlineStr">
        <is>
          <t>employee_takeup_among_offered</t>
        </is>
      </c>
      <c r="E28" s="38" t="inlineStr">
        <is>
          <t>BART weekday riders who participate given employer offers a pretax transit program</t>
        </is>
      </c>
      <c r="F28" s="38" t="inlineStr">
        <is>
          <t>79</t>
        </is>
      </c>
      <c r="G28" s="38" t="inlineStr">
        <is>
          <t>percent of riders whose employer offers</t>
        </is>
      </c>
      <c r="H28" s="38" t="inlineStr">
        <is>
          <t>2010</t>
        </is>
      </c>
      <c r="I28" s="38" t="inlineStr">
        <is>
          <t>RETRIEVED</t>
        </is>
      </c>
      <c r="J28" s="38" t="inlineStr">
        <is>
          <t>BART (public transit agency)</t>
        </is>
      </c>
      <c r="K28" s="38" t="inlineStr">
        <is>
          <t>https://www.bart.gov/sites/default/files/docs/prextaxsurvey.pdf</t>
        </is>
      </c>
      <c r="L28" s="38" t="inlineStr">
        <is>
          <t>Transit-rider sample; pretax commute spend is not home internet; year is 2010</t>
        </is>
      </c>
    </row>
    <row r="29" ht="32" customHeight="1" s="34">
      <c r="A29" s="38" t="inlineStr">
        <is>
          <t>ANALOGUE — not Charter take-up</t>
        </is>
      </c>
      <c r="B29" s="38" t="inlineStr">
        <is>
          <t>E4</t>
        </is>
      </c>
      <c r="C29" s="38" t="inlineStr">
        <is>
          <t>commuter</t>
        </is>
      </c>
      <c r="D29" s="38" t="inlineStr">
        <is>
          <t>employee_takeup_all_employees</t>
        </is>
      </c>
      <c r="E29" s="38" t="inlineStr">
        <is>
          <t>Bay Area employees at covered employers who used at least one commuter benefit in prior 12 months</t>
        </is>
      </c>
      <c r="F29" s="38" t="inlineStr">
        <is>
          <t>28</t>
        </is>
      </c>
      <c r="G29" s="38" t="inlineStr">
        <is>
          <t>percent of employees at covered employers</t>
        </is>
      </c>
      <c r="H29" s="38" t="inlineStr">
        <is>
          <t>2015</t>
        </is>
      </c>
      <c r="I29" s="38" t="inlineStr">
        <is>
          <t>RETRIEVED</t>
        </is>
      </c>
      <c r="J29" s="38" t="inlineStr">
        <is>
          <t>Bay Area Air Quality Management District / MTC (public regulators of the commuter-benefits mandate)</t>
        </is>
      </c>
      <c r="K29" s="38" t="inlineStr">
        <is>
          <t>https://www.baaqmd.gov/~/media/files/planning-and-research/commuter-benefits-program/reports/true-north-employee-survey-report_commuter-benefits-program_6_19_15-pdf.pdf</t>
        </is>
      </c>
      <c r="L29" s="38" t="inlineStr">
        <is>
          <t>Mandate-driven Bay Area commute program is not a national internet-as-benefit rate</t>
        </is>
      </c>
    </row>
    <row r="30" ht="32" customHeight="1" s="34">
      <c r="A30" s="11" t="inlineStr">
        <is>
          <t>EXCLUDED — not retrieved from named primary</t>
        </is>
      </c>
      <c r="B30" s="11" t="inlineStr">
        <is>
          <t>X1</t>
        </is>
      </c>
      <c r="C30" s="11" t="inlineStr">
        <is>
          <t>excluded_secondary</t>
        </is>
      </c>
      <c r="D30" s="11" t="inlineStr">
        <is>
          <t>do_not_use</t>
        </is>
      </c>
      <c r="E30" s="11" t="inlineStr">
        <is>
          <t>Stealth Agents claim of SHRM internet-specific stipend</t>
        </is>
      </c>
      <c r="F30" s="11" t="inlineStr">
        <is>
          <t>38</t>
        </is>
      </c>
      <c r="G30" s="11" t="inlineStr">
        <is>
          <t>percent (NOT retrieved from SHRM primary)</t>
        </is>
      </c>
      <c r="H30" s="11" t="inlineStr">
        <is>
          <t>2025</t>
        </is>
      </c>
      <c r="I30" s="11" t="inlineStr">
        <is>
          <t>NOT RETRIEVED FROM PRIMARY</t>
        </is>
      </c>
      <c r="J30" s="11" t="inlineStr">
        <is>
          <t>Stealth Agents (secondary aggregator)</t>
        </is>
      </c>
      <c r="K30" s="11" t="inlineStr">
        <is>
          <t>https://stealthagents.com/research/remote-work-internet-stipend-statistics-2026</t>
        </is>
      </c>
      <c r="L30" s="11" t="inlineStr">
        <is>
          <t>Secondary restatement not verified against SHRM primary</t>
        </is>
      </c>
    </row>
    <row r="31" ht="32" customHeight="1" s="34">
      <c r="A31" s="11" t="inlineStr">
        <is>
          <t>ABSENCE — no Charter SKU in repo</t>
        </is>
      </c>
      <c r="B31" s="11" t="inlineStr">
        <is>
          <t>X2</t>
        </is>
      </c>
      <c r="C31" s="11" t="inlineStr">
        <is>
          <t>charter_sku</t>
        </is>
      </c>
      <c r="D31" s="11" t="inlineStr">
        <is>
          <t>not_in_repo</t>
        </is>
      </c>
      <c r="E31" s="11" t="inlineStr">
        <is>
          <t>Charter internet-as-benefit SKU</t>
        </is>
      </c>
      <c r="F31" s="11" t="inlineStr">
        <is>
          <t>none documented</t>
        </is>
      </c>
      <c r="G31" s="11" t="inlineStr">
        <is>
          <t>n/a</t>
        </is>
      </c>
      <c r="H31" s="11" t="inlineStr">
        <is>
          <t>2026</t>
        </is>
      </c>
      <c r="I31" s="11" t="inlineStr">
        <is>
          <t>RETRIEVED as absence</t>
        </is>
      </c>
      <c r="J31" s="11" t="inlineStr">
        <is>
          <t>n/a</t>
        </is>
      </c>
      <c r="K31" s="11" t="inlineStr">
        <is>
          <t>n/a</t>
        </is>
      </c>
      <c r="L31" s="11" t="inlineStr">
        <is>
          <t>Cannot invent a SKU or a take-up rate for a SKU that is not in the repo</t>
        </is>
      </c>
    </row>
  </sheetData>
  <autoFilter ref="A1:L3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4.5"/>
  <cols>
    <col width="34" customWidth="1" style="34" min="1" max="1"/>
    <col width="110" customWidth="1" style="34" min="2" max="2"/>
  </cols>
  <sheetData>
    <row r="1">
      <c r="A1" s="3" t="inlineStr">
        <is>
          <t>Field</t>
        </is>
      </c>
      <c r="B1" s="3" t="inlineStr">
        <is>
          <t>Content</t>
        </is>
      </c>
    </row>
    <row r="2" ht="20" customHeight="1" s="34">
      <c r="A2" t="inlineStr">
        <is>
          <t>Title</t>
        </is>
      </c>
      <c r="B2" s="38" t="inlineStr">
        <is>
          <t>Charter vs Comcast by state — who reports more residential locations served</t>
        </is>
      </c>
    </row>
    <row r="3" ht="20" customHeight="1" s="34">
      <c r="A3" t="inlineStr">
        <is>
          <t>Canvas</t>
        </is>
      </c>
      <c r="B3" s="38" t="inlineStr">
        <is>
          <t>chtr-vs-cmcsa-state-lead.canvas.tsx (read-only source; do not treat as subscriber share)</t>
        </is>
      </c>
    </row>
    <row r="4" ht="48" customHeight="1" s="34">
      <c r="A4" t="inlineStr">
        <is>
          <t>Metric definition</t>
        </is>
      </c>
      <c r="B4" s="38" t="inlineStr">
        <is>
          <t>FCC BDC residential location availability: share of residential units at Broadband Serviceable Locations where the holding company reports residential fixed broadband (res_st_pct). Estimated units = res_st_pct × state residential fabric units. THIS IS AVAILABILITY / LOCATIONS SERVED. It is NOT subscriber share, NOT Form 477 subscriptions, and NOT a 10-K state mix.</t>
        </is>
      </c>
    </row>
    <row r="5" ht="20" customHeight="1" s="34">
      <c r="A5" t="inlineStr">
        <is>
          <t>Vintage</t>
        </is>
      </c>
      <c r="B5" s="38" t="inlineStr">
        <is>
          <t>As of 31 December 2025 (D25)</t>
        </is>
      </c>
    </row>
    <row r="6" ht="20" customHeight="1" s="34">
      <c r="A6" t="inlineStr">
        <is>
          <t>File revision</t>
        </is>
      </c>
      <c r="B6" s="38" t="inlineStr">
        <is>
          <t>15 Sep 2026</t>
        </is>
      </c>
    </row>
    <row r="7" ht="20" customHeight="1" s="34">
      <c r="A7" t="inlineStr">
        <is>
          <t>Agency</t>
        </is>
      </c>
      <c r="B7" s="38" t="inlineStr">
        <is>
          <t>Federal Communications Commission</t>
        </is>
      </c>
    </row>
    <row r="8" ht="20" customHeight="1" s="34">
      <c r="A8" t="inlineStr">
        <is>
          <t>Program</t>
        </is>
      </c>
      <c r="B8" s="38" t="inlineStr">
        <is>
          <t>Broadband Data Collection / National Broadband Map</t>
        </is>
      </c>
    </row>
    <row r="9" ht="20" customHeight="1" s="34">
      <c r="A9" t="inlineStr">
        <is>
          <t>Source URL</t>
        </is>
      </c>
      <c r="B9" s="38" t="inlineStr">
        <is>
          <t>https://broadbandmap.fcc.gov/data-download</t>
        </is>
      </c>
    </row>
    <row r="10" ht="20" customHeight="1" s="34">
      <c r="A10" t="inlineStr">
        <is>
          <t>Provider-list file</t>
        </is>
      </c>
      <c r="B10" s="38" t="inlineStr">
        <is>
          <t>bdc_us_provider_list_D25_15sep2026.csv</t>
        </is>
      </c>
    </row>
    <row r="11" ht="48" customHeight="1" s="34">
      <c r="A11" t="inlineStr">
        <is>
          <t>Provider-by-geography file</t>
        </is>
      </c>
      <c r="B11" s="38" t="inlineStr">
        <is>
          <t>bdc_us_provider_summary_by_geography_D25_15sep2026.csv (res_st_pct, geography_type = State, data_type = Fixed Broadband)</t>
        </is>
      </c>
    </row>
    <row r="12" ht="48" customHeight="1" s="34">
      <c r="A12" t="inlineStr">
        <is>
          <t>Fabric-units file</t>
        </is>
      </c>
      <c r="B12" s="38" t="inlineStr">
        <is>
          <t>bdc_us_fixed_broadband_summary_by_geography_D25_15sep2026.csv (total_units, State / Total / Any Technology / residential)</t>
        </is>
      </c>
    </row>
    <row r="13" ht="20" customHeight="1" s="34">
      <c r="A13" t="inlineStr">
        <is>
          <t>National provider file</t>
        </is>
      </c>
      <c r="B13" s="38" t="inlineStr">
        <is>
          <t>bdc_us_fixed_broadband_provider_summary_D25_15sep2026.csv</t>
        </is>
      </c>
    </row>
    <row r="14" ht="20" customHeight="1" s="34">
      <c r="A14" t="inlineStr">
        <is>
          <t>Charter identity</t>
        </is>
      </c>
      <c r="B14" s="38" t="inlineStr">
        <is>
          <t>Charter Communications (Spectrum) · FRN 0025646373 · provider ID 130235</t>
        </is>
      </c>
    </row>
    <row r="15" ht="20" customHeight="1" s="34">
      <c r="A15" t="inlineStr">
        <is>
          <t>Comcast identity</t>
        </is>
      </c>
      <c r="B15" s="38" t="inlineStr">
        <is>
          <t>Comcast Corporation (Xfinity) · FRN 0003768165 · provider ID 130317</t>
        </is>
      </c>
    </row>
    <row r="16" ht="20" customHeight="1" s="34">
      <c r="A16" t="inlineStr">
        <is>
          <t>Affiliates</t>
        </is>
      </c>
      <c r="B16" s="38" t="inlineStr">
        <is>
          <t>Affiliates not rolled in. Sonic Spectrum and Red Spectrum are unrelated.</t>
        </is>
      </c>
    </row>
    <row r="17" ht="20" customHeight="1" s="34">
      <c r="A17" t="inlineStr">
        <is>
          <t>States Charter leads</t>
        </is>
      </c>
      <c r="B17" s="38" t="n">
        <v>19</v>
      </c>
    </row>
    <row r="18" ht="20" customHeight="1" s="34">
      <c r="A18" t="inlineStr">
        <is>
          <t>States Comcast leads</t>
        </is>
      </c>
      <c r="B18" s="38" t="n">
        <v>27</v>
      </c>
    </row>
    <row r="19" ht="20" customHeight="1" s="34">
      <c r="A19" t="inlineStr">
        <is>
          <t>Neither present</t>
        </is>
      </c>
      <c r="B19" s="38" t="n">
        <v>5</v>
      </c>
    </row>
    <row r="20" ht="20" customHeight="1" s="34">
      <c r="A20" t="inlineStr">
        <is>
          <t>Ties</t>
        </is>
      </c>
      <c r="B20" s="38" t="n">
        <v>0</v>
      </c>
    </row>
    <row r="21" ht="20" customHeight="1" s="34">
      <c r="A21" t="inlineStr">
        <is>
          <t>Neither states</t>
        </is>
      </c>
      <c r="B21" s="38" t="inlineStr">
        <is>
          <t>Alaska, Iowa, North Dakota, Oklahoma, South Dakota</t>
        </is>
      </c>
    </row>
    <row r="22" ht="20" customHeight="1" s="34">
      <c r="A22" t="inlineStr">
        <is>
          <t>Charter footprint on this vintage</t>
        </is>
      </c>
      <c r="B22" s="38" t="inlineStr">
        <is>
          <t>42 states + DC with a positive residential res_st_pct (missing row or 0.0000 = absent)</t>
        </is>
      </c>
    </row>
    <row r="23" ht="20" customHeight="1" s="34">
      <c r="A23" t="inlineStr">
        <is>
          <t>Comcast footprint on this vintage</t>
        </is>
      </c>
      <c r="B23" s="38" t="inlineStr">
        <is>
          <t>41 states + DC with a positive residential res_st_pct (missing row or 0.0000 = absent)</t>
        </is>
      </c>
    </row>
    <row r="24" ht="20" customHeight="1" s="34">
      <c r="A24" t="inlineStr">
        <is>
          <t>Leader rule</t>
        </is>
      </c>
      <c r="B24" s="38" t="inlineStr">
        <is>
          <t>Beating = strictly larger res_st_pct. Missing provider row or 0.0000 treated as absent.</t>
        </is>
      </c>
    </row>
    <row r="25" ht="20" customHeight="1" s="34">
      <c r="A25" t="inlineStr">
        <is>
          <t>Top Charter unit leads</t>
        </is>
      </c>
      <c r="B25" s="38" t="inlineStr">
        <is>
          <t>NY +5.54M, OH +4.41M, NC +4.36M, TX +3.76M, WI +2.31M (estimated residential units; Charter minus Comcast)</t>
        </is>
      </c>
    </row>
    <row r="26" ht="48" customHeight="1" s="34">
      <c r="A26" t="inlineStr">
        <is>
          <t>Top Comcast unit leads</t>
        </is>
      </c>
      <c r="B26" s="38" t="inlineStr">
        <is>
          <t>PA −4.36M, IL −4.27M, MD −2.46M, MA −2.45M, WA −2.35M (estimated residential units; Charter minus Comcast)</t>
        </is>
      </c>
    </row>
    <row r="27" ht="48" customHeight="1" s="34">
      <c r="A27" t="inlineStr">
        <is>
          <t>What this is not</t>
        </is>
      </c>
      <c r="B27" s="38" t="inlineStr">
        <is>
          <t>Not subscriber share. Company 10-Ks do not publish state subscriber counts; national mix is not allocated to states. A location the provider can serve is not a customer.</t>
        </is>
      </c>
    </row>
    <row r="28" ht="20" customHeight="1" s="34">
      <c r="A28" t="inlineStr">
        <is>
          <t>Sheet guide</t>
        </is>
      </c>
      <c r="B28" s="38" t="inlineStr">
        <is>
          <t>State leads = all 51 (50 states + DC), sorted by Charter-minus-Comcast unit margin (Charter leads at top). Charter lead states = the 19. Comcast lead states = the 27. Neither = AK, IA, ND, OK, SD.</t>
        </is>
      </c>
    </row>
    <row r="29" ht="20" customHeight="1" s="34">
      <c r="A29" t="inlineStr">
        <is>
          <t>Source CSVs / script</t>
        </is>
      </c>
      <c r="B29" s="38" t="inlineStr">
        <is>
          <t>Analysis/cable-share-small-firm/out/chtr_vs_cmcsa_state_leads.csv · Script: Analysis/cable-share-small-firm/build_state_leads.py (read-only)</t>
        </is>
      </c>
    </row>
  </sheetData>
  <autoFilter ref="A1:B2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52"/>
  <sheetViews>
    <sheetView workbookViewId="0">
      <pane ySplit="1" topLeftCell="A2" activePane="bottomLeft" state="frozen"/>
      <selection pane="bottomLeft" activeCell="A1" sqref="A1"/>
    </sheetView>
  </sheetViews>
  <sheetFormatPr baseColWidth="8" defaultRowHeight="14.5"/>
  <cols>
    <col width="22" customWidth="1" style="34" min="1" max="1"/>
    <col width="8" customWidth="1" style="34" min="2" max="3"/>
    <col width="22" customWidth="1" style="34" min="4" max="4"/>
    <col width="24" customWidth="1" style="34" min="5" max="5"/>
    <col width="22" customWidth="1" style="34" min="6" max="6"/>
    <col width="24" customWidth="1" style="34" min="7" max="7"/>
    <col width="30" customWidth="1" style="34" min="8" max="8"/>
    <col width="12" customWidth="1" style="34" min="9" max="9"/>
    <col width="26" customWidth="1" style="34" min="10" max="10"/>
    <col width="14" customWidth="1" style="34" min="11" max="11"/>
    <col width="16" customWidth="1" style="34" min="12" max="12"/>
    <col width="48" customWidth="1" style="34" min="13" max="13"/>
  </cols>
  <sheetData>
    <row r="1" ht="29" customHeight="1" s="34">
      <c r="A1" s="3" t="inlineStr">
        <is>
          <t>State</t>
        </is>
      </c>
      <c r="B1" s="3" t="inlineStr">
        <is>
          <t>Abbr</t>
        </is>
      </c>
      <c r="C1" s="3" t="inlineStr">
        <is>
          <t>FIPS</t>
        </is>
      </c>
      <c r="D1" s="3" t="inlineStr">
        <is>
          <t>Charter estimated units</t>
        </is>
      </c>
      <c r="E1" s="3" t="inlineStr">
        <is>
          <t>Charter share of fabric (%)</t>
        </is>
      </c>
      <c r="F1" s="3" t="inlineStr">
        <is>
          <t>Comcast estimated units</t>
        </is>
      </c>
      <c r="G1" s="3" t="inlineStr">
        <is>
          <t>Comcast share of fabric (%)</t>
        </is>
      </c>
      <c r="H1" s="3" t="inlineStr">
        <is>
          <t>Margin (Charter − Comcast units)</t>
        </is>
      </c>
      <c r="I1" s="3" t="inlineStr">
        <is>
          <t>Leader</t>
        </is>
      </c>
      <c r="J1" s="3" t="inlineStr">
        <is>
          <t>State residential fabric units</t>
        </is>
      </c>
      <c r="K1" s="3" t="inlineStr">
        <is>
          <t>Charter present</t>
        </is>
      </c>
      <c r="L1" s="3" t="inlineStr">
        <is>
          <t>Comcast present</t>
        </is>
      </c>
      <c r="M1" s="3" t="inlineStr">
        <is>
          <t>Source URL</t>
        </is>
      </c>
    </row>
    <row r="2">
      <c r="A2" t="inlineStr">
        <is>
          <t>New York</t>
        </is>
      </c>
      <c r="B2" t="inlineStr">
        <is>
          <t>NY</t>
        </is>
      </c>
      <c r="C2" t="inlineStr">
        <is>
          <t>36</t>
        </is>
      </c>
      <c r="D2" s="6" t="n">
        <v>5580990</v>
      </c>
      <c r="E2" s="7" t="n">
        <v>60.2</v>
      </c>
      <c r="F2" s="6" t="n">
        <v>44485</v>
      </c>
      <c r="G2" s="7" t="n">
        <v>0.5</v>
      </c>
      <c r="H2" s="6" t="n">
        <v>5536505</v>
      </c>
      <c r="I2" t="inlineStr">
        <is>
          <t>Charter</t>
        </is>
      </c>
      <c r="J2" s="6" t="n">
        <v>9267668</v>
      </c>
      <c r="K2" t="inlineStr">
        <is>
          <t>Yes</t>
        </is>
      </c>
      <c r="L2" t="inlineStr">
        <is>
          <t>Yes</t>
        </is>
      </c>
      <c r="M2" t="inlineStr">
        <is>
          <t>https://broadbandmap.fcc.gov/data-download</t>
        </is>
      </c>
    </row>
    <row r="3">
      <c r="A3" t="inlineStr">
        <is>
          <t>Ohio</t>
        </is>
      </c>
      <c r="B3" t="inlineStr">
        <is>
          <t>OH</t>
        </is>
      </c>
      <c r="C3" t="inlineStr">
        <is>
          <t>39</t>
        </is>
      </c>
      <c r="D3" s="6" t="n">
        <v>4512248</v>
      </c>
      <c r="E3" s="7" t="n">
        <v>77.3</v>
      </c>
      <c r="F3" s="6" t="n">
        <v>97420</v>
      </c>
      <c r="G3" s="7" t="n">
        <v>1.7</v>
      </c>
      <c r="H3" s="6" t="n">
        <v>4414828</v>
      </c>
      <c r="I3" t="inlineStr">
        <is>
          <t>Charter</t>
        </is>
      </c>
      <c r="J3" s="6" t="n">
        <v>5833546</v>
      </c>
      <c r="K3" t="inlineStr">
        <is>
          <t>Yes</t>
        </is>
      </c>
      <c r="L3" t="inlineStr">
        <is>
          <t>Yes</t>
        </is>
      </c>
      <c r="M3" t="inlineStr">
        <is>
          <t>https://broadbandmap.fcc.gov/data-download</t>
        </is>
      </c>
    </row>
    <row r="4">
      <c r="A4" t="inlineStr">
        <is>
          <t>North Carolina</t>
        </is>
      </c>
      <c r="B4" t="inlineStr">
        <is>
          <t>NC</t>
        </is>
      </c>
      <c r="C4" t="inlineStr">
        <is>
          <t>37</t>
        </is>
      </c>
      <c r="D4" s="6" t="n">
        <v>4365296</v>
      </c>
      <c r="E4" s="7" t="n">
        <v>79</v>
      </c>
      <c r="F4" s="6" t="n">
        <v>2211</v>
      </c>
      <c r="G4" s="7" t="n">
        <v>0</v>
      </c>
      <c r="H4" s="6" t="n">
        <v>4363085</v>
      </c>
      <c r="I4" t="inlineStr">
        <is>
          <t>Charter</t>
        </is>
      </c>
      <c r="J4" s="6" t="n">
        <v>5526391</v>
      </c>
      <c r="K4" t="inlineStr">
        <is>
          <t>Yes</t>
        </is>
      </c>
      <c r="L4" t="inlineStr">
        <is>
          <t>Yes</t>
        </is>
      </c>
      <c r="M4" t="inlineStr">
        <is>
          <t>https://broadbandmap.fcc.gov/data-download</t>
        </is>
      </c>
    </row>
    <row r="5">
      <c r="A5" t="inlineStr">
        <is>
          <t>Texas</t>
        </is>
      </c>
      <c r="B5" t="inlineStr">
        <is>
          <t>TX</t>
        </is>
      </c>
      <c r="C5" t="inlineStr">
        <is>
          <t>48</t>
        </is>
      </c>
      <c r="D5" s="6" t="n">
        <v>6809213</v>
      </c>
      <c r="E5" s="7" t="n">
        <v>48.8</v>
      </c>
      <c r="F5" s="6" t="n">
        <v>3046153</v>
      </c>
      <c r="G5" s="7" t="n">
        <v>21.8</v>
      </c>
      <c r="H5" s="6" t="n">
        <v>3763060</v>
      </c>
      <c r="I5" t="inlineStr">
        <is>
          <t>Charter</t>
        </is>
      </c>
      <c r="J5" s="6" t="n">
        <v>13947589</v>
      </c>
      <c r="K5" t="inlineStr">
        <is>
          <t>Yes</t>
        </is>
      </c>
      <c r="L5" t="inlineStr">
        <is>
          <t>Yes</t>
        </is>
      </c>
      <c r="M5" t="inlineStr">
        <is>
          <t>https://broadbandmap.fcc.gov/data-download</t>
        </is>
      </c>
    </row>
    <row r="6">
      <c r="A6" t="inlineStr">
        <is>
          <t>Wisconsin</t>
        </is>
      </c>
      <c r="B6" t="inlineStr">
        <is>
          <t>WI</t>
        </is>
      </c>
      <c r="C6" t="inlineStr">
        <is>
          <t>55</t>
        </is>
      </c>
      <c r="D6" s="6" t="n">
        <v>2348841</v>
      </c>
      <c r="E6" s="7" t="n">
        <v>74.5</v>
      </c>
      <c r="F6" s="6" t="n">
        <v>39079</v>
      </c>
      <c r="G6" s="7" t="n">
        <v>1.2</v>
      </c>
      <c r="H6" s="6" t="n">
        <v>2309762</v>
      </c>
      <c r="I6" t="inlineStr">
        <is>
          <t>Charter</t>
        </is>
      </c>
      <c r="J6" s="6" t="n">
        <v>3151537</v>
      </c>
      <c r="K6" t="inlineStr">
        <is>
          <t>Yes</t>
        </is>
      </c>
      <c r="L6" t="inlineStr">
        <is>
          <t>Yes</t>
        </is>
      </c>
      <c r="M6" t="inlineStr">
        <is>
          <t>https://broadbandmap.fcc.gov/data-download</t>
        </is>
      </c>
    </row>
    <row r="7">
      <c r="A7" t="inlineStr">
        <is>
          <t>California</t>
        </is>
      </c>
      <c r="B7" t="inlineStr">
        <is>
          <t>CA</t>
        </is>
      </c>
      <c r="C7" t="inlineStr">
        <is>
          <t>06</t>
        </is>
      </c>
      <c r="D7" s="6" t="n">
        <v>7651506</v>
      </c>
      <c r="E7" s="7" t="n">
        <v>47</v>
      </c>
      <c r="F7" s="6" t="n">
        <v>5492345</v>
      </c>
      <c r="G7" s="7" t="n">
        <v>33.7</v>
      </c>
      <c r="H7" s="6" t="n">
        <v>2159161</v>
      </c>
      <c r="I7" t="inlineStr">
        <is>
          <t>Charter</t>
        </is>
      </c>
      <c r="J7" s="6" t="n">
        <v>16283265</v>
      </c>
      <c r="K7" t="inlineStr">
        <is>
          <t>Yes</t>
        </is>
      </c>
      <c r="L7" t="inlineStr">
        <is>
          <t>Yes</t>
        </is>
      </c>
      <c r="M7" t="inlineStr">
        <is>
          <t>https://broadbandmap.fcc.gov/data-download</t>
        </is>
      </c>
    </row>
    <row r="8">
      <c r="A8" t="inlineStr">
        <is>
          <t>Missouri</t>
        </is>
      </c>
      <c r="B8" t="inlineStr">
        <is>
          <t>MO</t>
        </is>
      </c>
      <c r="C8" t="inlineStr">
        <is>
          <t>29</t>
        </is>
      </c>
      <c r="D8" s="6" t="n">
        <v>1566412</v>
      </c>
      <c r="E8" s="7" t="n">
        <v>49.9</v>
      </c>
      <c r="F8" s="6" t="n">
        <v>167101</v>
      </c>
      <c r="G8" s="7" t="n">
        <v>5.3</v>
      </c>
      <c r="H8" s="6" t="n">
        <v>1399311</v>
      </c>
      <c r="I8" t="inlineStr">
        <is>
          <t>Charter</t>
        </is>
      </c>
      <c r="J8" s="6" t="n">
        <v>3140991</v>
      </c>
      <c r="K8" t="inlineStr">
        <is>
          <t>Yes</t>
        </is>
      </c>
      <c r="L8" t="inlineStr">
        <is>
          <t>Yes</t>
        </is>
      </c>
      <c r="M8" t="inlineStr">
        <is>
          <t>https://broadbandmap.fcc.gov/data-download</t>
        </is>
      </c>
    </row>
    <row r="9">
      <c r="A9" t="inlineStr">
        <is>
          <t>Kentucky</t>
        </is>
      </c>
      <c r="B9" t="inlineStr">
        <is>
          <t>KY</t>
        </is>
      </c>
      <c r="C9" t="inlineStr">
        <is>
          <t>21</t>
        </is>
      </c>
      <c r="D9" s="6" t="n">
        <v>1363705</v>
      </c>
      <c r="E9" s="7" t="n">
        <v>59.9</v>
      </c>
      <c r="F9" s="6" t="n">
        <v>109124</v>
      </c>
      <c r="G9" s="7" t="n">
        <v>4.8</v>
      </c>
      <c r="H9" s="6" t="n">
        <v>1254581</v>
      </c>
      <c r="I9" t="inlineStr">
        <is>
          <t>Charter</t>
        </is>
      </c>
      <c r="J9" s="6" t="n">
        <v>2278158</v>
      </c>
      <c r="K9" t="inlineStr">
        <is>
          <t>Yes</t>
        </is>
      </c>
      <c r="L9" t="inlineStr">
        <is>
          <t>Yes</t>
        </is>
      </c>
      <c r="M9" t="inlineStr">
        <is>
          <t>https://broadbandmap.fcc.gov/data-download</t>
        </is>
      </c>
    </row>
    <row r="10">
      <c r="A10" t="inlineStr">
        <is>
          <t>South Carolina</t>
        </is>
      </c>
      <c r="B10" t="inlineStr">
        <is>
          <t>SC</t>
        </is>
      </c>
      <c r="C10" t="inlineStr">
        <is>
          <t>45</t>
        </is>
      </c>
      <c r="D10" s="6" t="n">
        <v>1660655</v>
      </c>
      <c r="E10" s="7" t="n">
        <v>59.9</v>
      </c>
      <c r="F10" s="6" t="n">
        <v>410031</v>
      </c>
      <c r="G10" s="7" t="n">
        <v>14.8</v>
      </c>
      <c r="H10" s="6" t="n">
        <v>1250624</v>
      </c>
      <c r="I10" t="inlineStr">
        <is>
          <t>Charter</t>
        </is>
      </c>
      <c r="J10" s="6" t="n">
        <v>2774232</v>
      </c>
      <c r="K10" t="inlineStr">
        <is>
          <t>Yes</t>
        </is>
      </c>
      <c r="L10" t="inlineStr">
        <is>
          <t>Yes</t>
        </is>
      </c>
      <c r="M10" t="inlineStr">
        <is>
          <t>https://broadbandmap.fcc.gov/data-download</t>
        </is>
      </c>
    </row>
    <row r="11">
      <c r="A11" t="inlineStr">
        <is>
          <t>Alabama</t>
        </is>
      </c>
      <c r="B11" t="inlineStr">
        <is>
          <t>AL</t>
        </is>
      </c>
      <c r="C11" t="inlineStr">
        <is>
          <t>01</t>
        </is>
      </c>
      <c r="D11" s="6" t="n">
        <v>1127304</v>
      </c>
      <c r="E11" s="7" t="n">
        <v>42</v>
      </c>
      <c r="F11" s="6" t="n">
        <v>528365</v>
      </c>
      <c r="G11" s="7" t="n">
        <v>19.7</v>
      </c>
      <c r="H11" s="6" t="n">
        <v>598939</v>
      </c>
      <c r="I11" t="inlineStr">
        <is>
          <t>Charter</t>
        </is>
      </c>
      <c r="J11" s="6" t="n">
        <v>2683418</v>
      </c>
      <c r="K11" t="inlineStr">
        <is>
          <t>Yes</t>
        </is>
      </c>
      <c r="L11" t="inlineStr">
        <is>
          <t>Yes</t>
        </is>
      </c>
      <c r="M11" t="inlineStr">
        <is>
          <t>https://broadbandmap.fcc.gov/data-download</t>
        </is>
      </c>
    </row>
    <row r="12">
      <c r="A12" t="inlineStr">
        <is>
          <t>Hawaii</t>
        </is>
      </c>
      <c r="B12" t="inlineStr">
        <is>
          <t>HI</t>
        </is>
      </c>
      <c r="C12" t="inlineStr">
        <is>
          <t>15</t>
        </is>
      </c>
      <c r="D12" s="6" t="n">
        <v>556913</v>
      </c>
      <c r="E12" s="7" t="n">
        <v>92.3</v>
      </c>
      <c r="H12" s="6" t="n">
        <v>556913</v>
      </c>
      <c r="I12" t="inlineStr">
        <is>
          <t>Charter</t>
        </is>
      </c>
      <c r="J12" s="6" t="n">
        <v>603504</v>
      </c>
      <c r="K12" t="inlineStr">
        <is>
          <t>Yes</t>
        </is>
      </c>
      <c r="L12" t="inlineStr">
        <is>
          <t>No</t>
        </is>
      </c>
      <c r="M12" t="inlineStr">
        <is>
          <t>https://broadbandmap.fcc.gov/data-download</t>
        </is>
      </c>
    </row>
    <row r="13">
      <c r="A13" t="inlineStr">
        <is>
          <t>Maine</t>
        </is>
      </c>
      <c r="B13" t="inlineStr">
        <is>
          <t>ME</t>
        </is>
      </c>
      <c r="C13" t="inlineStr">
        <is>
          <t>23</t>
        </is>
      </c>
      <c r="D13" s="6" t="n">
        <v>600801</v>
      </c>
      <c r="E13" s="7" t="n">
        <v>73.59999999999999</v>
      </c>
      <c r="F13" s="6" t="n">
        <v>72426</v>
      </c>
      <c r="G13" s="7" t="n">
        <v>8.9</v>
      </c>
      <c r="H13" s="6" t="n">
        <v>528375</v>
      </c>
      <c r="I13" t="inlineStr">
        <is>
          <t>Charter</t>
        </is>
      </c>
      <c r="J13" s="6" t="n">
        <v>816527</v>
      </c>
      <c r="K13" t="inlineStr">
        <is>
          <t>Yes</t>
        </is>
      </c>
      <c r="L13" t="inlineStr">
        <is>
          <t>Yes</t>
        </is>
      </c>
      <c r="M13" t="inlineStr">
        <is>
          <t>https://broadbandmap.fcc.gov/data-download</t>
        </is>
      </c>
    </row>
    <row r="14">
      <c r="A14" t="inlineStr">
        <is>
          <t>Montana</t>
        </is>
      </c>
      <c r="B14" t="inlineStr">
        <is>
          <t>MT</t>
        </is>
      </c>
      <c r="C14" t="inlineStr">
        <is>
          <t>30</t>
        </is>
      </c>
      <c r="D14" s="6" t="n">
        <v>335785</v>
      </c>
      <c r="E14" s="7" t="n">
        <v>54.4</v>
      </c>
      <c r="H14" s="6" t="n">
        <v>335785</v>
      </c>
      <c r="I14" t="inlineStr">
        <is>
          <t>Charter</t>
        </is>
      </c>
      <c r="J14" s="6" t="n">
        <v>616912</v>
      </c>
      <c r="K14" t="inlineStr">
        <is>
          <t>Yes</t>
        </is>
      </c>
      <c r="L14" t="inlineStr">
        <is>
          <t>No</t>
        </is>
      </c>
      <c r="M14" t="inlineStr">
        <is>
          <t>https://broadbandmap.fcc.gov/data-download</t>
        </is>
      </c>
    </row>
    <row r="15">
      <c r="A15" t="inlineStr">
        <is>
          <t>Nebraska</t>
        </is>
      </c>
      <c r="B15" t="inlineStr">
        <is>
          <t>NE</t>
        </is>
      </c>
      <c r="C15" t="inlineStr">
        <is>
          <t>31</t>
        </is>
      </c>
      <c r="D15" s="6" t="n">
        <v>312736</v>
      </c>
      <c r="E15" s="7" t="n">
        <v>31.3</v>
      </c>
      <c r="H15" s="6" t="n">
        <v>312736</v>
      </c>
      <c r="I15" t="inlineStr">
        <is>
          <t>Charter</t>
        </is>
      </c>
      <c r="J15" s="6" t="n">
        <v>998839</v>
      </c>
      <c r="K15" t="inlineStr">
        <is>
          <t>Yes</t>
        </is>
      </c>
      <c r="L15" t="inlineStr">
        <is>
          <t>No</t>
        </is>
      </c>
      <c r="M15" t="inlineStr">
        <is>
          <t>https://broadbandmap.fcc.gov/data-download</t>
        </is>
      </c>
    </row>
    <row r="16">
      <c r="A16" t="inlineStr">
        <is>
          <t>Nevada</t>
        </is>
      </c>
      <c r="B16" t="inlineStr">
        <is>
          <t>NV</t>
        </is>
      </c>
      <c r="C16" t="inlineStr">
        <is>
          <t>32</t>
        </is>
      </c>
      <c r="D16" s="6" t="n">
        <v>307579</v>
      </c>
      <c r="E16" s="7" t="n">
        <v>21.1</v>
      </c>
      <c r="H16" s="6" t="n">
        <v>307579</v>
      </c>
      <c r="I16" t="inlineStr">
        <is>
          <t>Charter</t>
        </is>
      </c>
      <c r="J16" s="6" t="n">
        <v>1454275</v>
      </c>
      <c r="K16" t="inlineStr">
        <is>
          <t>Yes</t>
        </is>
      </c>
      <c r="L16" t="inlineStr">
        <is>
          <t>No</t>
        </is>
      </c>
      <c r="M16" t="inlineStr">
        <is>
          <t>https://broadbandmap.fcc.gov/data-download</t>
        </is>
      </c>
    </row>
    <row r="17">
      <c r="A17" t="inlineStr">
        <is>
          <t>Kansas</t>
        </is>
      </c>
      <c r="B17" t="inlineStr">
        <is>
          <t>KS</t>
        </is>
      </c>
      <c r="C17" t="inlineStr">
        <is>
          <t>20</t>
        </is>
      </c>
      <c r="D17" s="6" t="n">
        <v>296567</v>
      </c>
      <c r="E17" s="7" t="n">
        <v>19.9</v>
      </c>
      <c r="F17" s="6" t="n">
        <v>67226</v>
      </c>
      <c r="G17" s="7" t="n">
        <v>4.5</v>
      </c>
      <c r="H17" s="6" t="n">
        <v>229341</v>
      </c>
      <c r="I17" t="inlineStr">
        <is>
          <t>Charter</t>
        </is>
      </c>
      <c r="J17" s="6" t="n">
        <v>1487297</v>
      </c>
      <c r="K17" t="inlineStr">
        <is>
          <t>Yes</t>
        </is>
      </c>
      <c r="L17" t="inlineStr">
        <is>
          <t>Yes</t>
        </is>
      </c>
      <c r="M17" t="inlineStr">
        <is>
          <t>https://broadbandmap.fcc.gov/data-download</t>
        </is>
      </c>
    </row>
    <row r="18">
      <c r="A18" t="inlineStr">
        <is>
          <t>Wyoming</t>
        </is>
      </c>
      <c r="B18" t="inlineStr">
        <is>
          <t>WY</t>
        </is>
      </c>
      <c r="C18" t="inlineStr">
        <is>
          <t>56</t>
        </is>
      </c>
      <c r="D18" s="6" t="n">
        <v>161029</v>
      </c>
      <c r="E18" s="7" t="n">
        <v>51.7</v>
      </c>
      <c r="H18" s="6" t="n">
        <v>161029</v>
      </c>
      <c r="I18" t="inlineStr">
        <is>
          <t>Charter</t>
        </is>
      </c>
      <c r="J18" s="6" t="n">
        <v>311347</v>
      </c>
      <c r="K18" t="inlineStr">
        <is>
          <t>Yes</t>
        </is>
      </c>
      <c r="L18" t="inlineStr">
        <is>
          <t>No</t>
        </is>
      </c>
      <c r="M18" t="inlineStr">
        <is>
          <t>https://broadbandmap.fcc.gov/data-download</t>
        </is>
      </c>
    </row>
    <row r="19">
      <c r="A19" t="inlineStr">
        <is>
          <t>Idaho</t>
        </is>
      </c>
      <c r="B19" t="inlineStr">
        <is>
          <t>ID</t>
        </is>
      </c>
      <c r="C19" t="inlineStr">
        <is>
          <t>16</t>
        </is>
      </c>
      <c r="D19" s="6" t="n">
        <v>82999</v>
      </c>
      <c r="E19" s="7" t="n">
        <v>9</v>
      </c>
      <c r="F19" s="6" t="n">
        <v>2387</v>
      </c>
      <c r="G19" s="7" t="n">
        <v>0.3</v>
      </c>
      <c r="H19" s="6" t="n">
        <v>80612</v>
      </c>
      <c r="I19" t="inlineStr">
        <is>
          <t>Charter</t>
        </is>
      </c>
      <c r="J19" s="6" t="n">
        <v>918136</v>
      </c>
      <c r="K19" t="inlineStr">
        <is>
          <t>Yes</t>
        </is>
      </c>
      <c r="L19" t="inlineStr">
        <is>
          <t>Yes</t>
        </is>
      </c>
      <c r="M19" t="inlineStr">
        <is>
          <t>https://broadbandmap.fcc.gov/data-download</t>
        </is>
      </c>
    </row>
    <row r="20">
      <c r="A20" t="inlineStr">
        <is>
          <t>Louisiana</t>
        </is>
      </c>
      <c r="B20" t="inlineStr">
        <is>
          <t>LA</t>
        </is>
      </c>
      <c r="C20" t="inlineStr">
        <is>
          <t>22</t>
        </is>
      </c>
      <c r="D20" s="6" t="n">
        <v>318024</v>
      </c>
      <c r="E20" s="7" t="n">
        <v>13.5</v>
      </c>
      <c r="F20" s="6" t="n">
        <v>266159</v>
      </c>
      <c r="G20" s="7" t="n">
        <v>11.3</v>
      </c>
      <c r="H20" s="6" t="n">
        <v>51865</v>
      </c>
      <c r="I20" t="inlineStr">
        <is>
          <t>Charter</t>
        </is>
      </c>
      <c r="J20" s="6" t="n">
        <v>2357476</v>
      </c>
      <c r="K20" t="inlineStr">
        <is>
          <t>Yes</t>
        </is>
      </c>
      <c r="L20" t="inlineStr">
        <is>
          <t>Yes</t>
        </is>
      </c>
      <c r="M20" t="inlineStr">
        <is>
          <t>https://broadbandmap.fcc.gov/data-download</t>
        </is>
      </c>
    </row>
    <row r="21">
      <c r="A21" t="inlineStr">
        <is>
          <t>Alaska</t>
        </is>
      </c>
      <c r="B21" t="inlineStr">
        <is>
          <t>AK</t>
        </is>
      </c>
      <c r="C21" t="inlineStr">
        <is>
          <t>02</t>
        </is>
      </c>
      <c r="H21" s="6" t="n">
        <v>0</v>
      </c>
      <c r="I21" t="inlineStr">
        <is>
          <t>Neither</t>
        </is>
      </c>
      <c r="J21" s="6" t="n">
        <v>383830</v>
      </c>
      <c r="K21" t="inlineStr">
        <is>
          <t>No</t>
        </is>
      </c>
      <c r="L21" t="inlineStr">
        <is>
          <t>No</t>
        </is>
      </c>
      <c r="M21" t="inlineStr">
        <is>
          <t>https://broadbandmap.fcc.gov/data-download</t>
        </is>
      </c>
    </row>
    <row r="22">
      <c r="A22" t="inlineStr">
        <is>
          <t>Iowa</t>
        </is>
      </c>
      <c r="B22" t="inlineStr">
        <is>
          <t>IA</t>
        </is>
      </c>
      <c r="C22" t="inlineStr">
        <is>
          <t>19</t>
        </is>
      </c>
      <c r="H22" s="6" t="n">
        <v>0</v>
      </c>
      <c r="I22" t="inlineStr">
        <is>
          <t>Neither</t>
        </is>
      </c>
      <c r="J22" s="6" t="n">
        <v>1661913</v>
      </c>
      <c r="K22" t="inlineStr">
        <is>
          <t>No</t>
        </is>
      </c>
      <c r="L22" t="inlineStr">
        <is>
          <t>No</t>
        </is>
      </c>
      <c r="M22" t="inlineStr">
        <is>
          <t>https://broadbandmap.fcc.gov/data-download</t>
        </is>
      </c>
    </row>
    <row r="23">
      <c r="A23" t="inlineStr">
        <is>
          <t>North Dakota</t>
        </is>
      </c>
      <c r="B23" t="inlineStr">
        <is>
          <t>ND</t>
        </is>
      </c>
      <c r="C23" t="inlineStr">
        <is>
          <t>38</t>
        </is>
      </c>
      <c r="H23" s="6" t="n">
        <v>0</v>
      </c>
      <c r="I23" t="inlineStr">
        <is>
          <t>Neither</t>
        </is>
      </c>
      <c r="J23" s="6" t="n">
        <v>452871</v>
      </c>
      <c r="K23" t="inlineStr">
        <is>
          <t>No</t>
        </is>
      </c>
      <c r="L23" t="inlineStr">
        <is>
          <t>No</t>
        </is>
      </c>
      <c r="M23" t="inlineStr">
        <is>
          <t>https://broadbandmap.fcc.gov/data-download</t>
        </is>
      </c>
    </row>
    <row r="24">
      <c r="A24" t="inlineStr">
        <is>
          <t>Oklahoma</t>
        </is>
      </c>
      <c r="B24" t="inlineStr">
        <is>
          <t>OK</t>
        </is>
      </c>
      <c r="C24" t="inlineStr">
        <is>
          <t>40</t>
        </is>
      </c>
      <c r="H24" s="6" t="n">
        <v>0</v>
      </c>
      <c r="I24" t="inlineStr">
        <is>
          <t>Neither</t>
        </is>
      </c>
      <c r="J24" s="6" t="n">
        <v>2056192</v>
      </c>
      <c r="K24" t="inlineStr">
        <is>
          <t>No</t>
        </is>
      </c>
      <c r="L24" t="inlineStr">
        <is>
          <t>No</t>
        </is>
      </c>
      <c r="M24" t="inlineStr">
        <is>
          <t>https://broadbandmap.fcc.gov/data-download</t>
        </is>
      </c>
    </row>
    <row r="25">
      <c r="A25" t="inlineStr">
        <is>
          <t>South Dakota</t>
        </is>
      </c>
      <c r="B25" t="inlineStr">
        <is>
          <t>SD</t>
        </is>
      </c>
      <c r="C25" t="inlineStr">
        <is>
          <t>46</t>
        </is>
      </c>
      <c r="H25" s="6" t="n">
        <v>0</v>
      </c>
      <c r="I25" t="inlineStr">
        <is>
          <t>Neither</t>
        </is>
      </c>
      <c r="J25" s="6" t="n">
        <v>498516</v>
      </c>
      <c r="K25" t="inlineStr">
        <is>
          <t>No</t>
        </is>
      </c>
      <c r="L25" t="inlineStr">
        <is>
          <t>No</t>
        </is>
      </c>
      <c r="M25" t="inlineStr">
        <is>
          <t>https://broadbandmap.fcc.gov/data-download</t>
        </is>
      </c>
    </row>
    <row r="26">
      <c r="A26" t="inlineStr">
        <is>
          <t>Rhode Island</t>
        </is>
      </c>
      <c r="B26" t="inlineStr">
        <is>
          <t>RI</t>
        </is>
      </c>
      <c r="C26" t="inlineStr">
        <is>
          <t>44</t>
        </is>
      </c>
      <c r="D26" s="6" t="n">
        <v>106</v>
      </c>
      <c r="E26" s="7" t="n">
        <v>0</v>
      </c>
      <c r="F26" s="6" t="n">
        <v>265</v>
      </c>
      <c r="G26" s="7" t="n">
        <v>0.1</v>
      </c>
      <c r="H26" s="6" t="n">
        <v>-159</v>
      </c>
      <c r="I26" t="inlineStr">
        <is>
          <t>Comcast</t>
        </is>
      </c>
      <c r="J26" s="6" t="n">
        <v>530201</v>
      </c>
      <c r="K26" t="inlineStr">
        <is>
          <t>Yes</t>
        </is>
      </c>
      <c r="L26" t="inlineStr">
        <is>
          <t>Yes</t>
        </is>
      </c>
      <c r="M26" t="inlineStr">
        <is>
          <t>https://broadbandmap.fcc.gov/data-download</t>
        </is>
      </c>
    </row>
    <row r="27">
      <c r="A27" t="inlineStr">
        <is>
          <t>Arizona</t>
        </is>
      </c>
      <c r="B27" t="inlineStr">
        <is>
          <t>AZ</t>
        </is>
      </c>
      <c r="C27" t="inlineStr">
        <is>
          <t>04</t>
        </is>
      </c>
      <c r="D27" s="6" t="n">
        <v>94903</v>
      </c>
      <c r="E27" s="7" t="n">
        <v>2.6</v>
      </c>
      <c r="F27" s="6" t="n">
        <v>186210</v>
      </c>
      <c r="G27" s="7" t="n">
        <v>5.2</v>
      </c>
      <c r="H27" s="6" t="n">
        <v>-91307</v>
      </c>
      <c r="I27" t="inlineStr">
        <is>
          <t>Comcast</t>
        </is>
      </c>
      <c r="J27" s="6" t="n">
        <v>3594796</v>
      </c>
      <c r="K27" t="inlineStr">
        <is>
          <t>Yes</t>
        </is>
      </c>
      <c r="L27" t="inlineStr">
        <is>
          <t>Yes</t>
        </is>
      </c>
      <c r="M27" t="inlineStr">
        <is>
          <t>https://broadbandmap.fcc.gov/data-download</t>
        </is>
      </c>
    </row>
    <row r="28">
      <c r="A28" t="inlineStr">
        <is>
          <t>Vermont</t>
        </is>
      </c>
      <c r="B28" t="inlineStr">
        <is>
          <t>VT</t>
        </is>
      </c>
      <c r="C28" t="inlineStr">
        <is>
          <t>50</t>
        </is>
      </c>
      <c r="D28" s="6" t="n">
        <v>22092</v>
      </c>
      <c r="E28" s="7" t="n">
        <v>5.9</v>
      </c>
      <c r="F28" s="6" t="n">
        <v>246531</v>
      </c>
      <c r="G28" s="7" t="n">
        <v>65.8</v>
      </c>
      <c r="H28" s="6" t="n">
        <v>-224439</v>
      </c>
      <c r="I28" t="inlineStr">
        <is>
          <t>Comcast</t>
        </is>
      </c>
      <c r="J28" s="6" t="n">
        <v>374439</v>
      </c>
      <c r="K28" t="inlineStr">
        <is>
          <t>Yes</t>
        </is>
      </c>
      <c r="L28" t="inlineStr">
        <is>
          <t>Yes</t>
        </is>
      </c>
      <c r="M28" t="inlineStr">
        <is>
          <t>https://broadbandmap.fcc.gov/data-download</t>
        </is>
      </c>
    </row>
    <row r="29">
      <c r="A29" t="inlineStr">
        <is>
          <t>West Virginia</t>
        </is>
      </c>
      <c r="B29" t="inlineStr">
        <is>
          <t>WV</t>
        </is>
      </c>
      <c r="C29" t="inlineStr">
        <is>
          <t>54</t>
        </is>
      </c>
      <c r="D29" s="6" t="n">
        <v>33378</v>
      </c>
      <c r="E29" s="7" t="n">
        <v>3.4</v>
      </c>
      <c r="F29" s="6" t="n">
        <v>288945</v>
      </c>
      <c r="G29" s="7" t="n">
        <v>29</v>
      </c>
      <c r="H29" s="6" t="n">
        <v>-255567</v>
      </c>
      <c r="I29" t="inlineStr">
        <is>
          <t>Comcast</t>
        </is>
      </c>
      <c r="J29" s="6" t="n">
        <v>996362</v>
      </c>
      <c r="K29" t="inlineStr">
        <is>
          <t>Yes</t>
        </is>
      </c>
      <c r="L29" t="inlineStr">
        <is>
          <t>Yes</t>
        </is>
      </c>
      <c r="M29" t="inlineStr">
        <is>
          <t>https://broadbandmap.fcc.gov/data-download</t>
        </is>
      </c>
    </row>
    <row r="30">
      <c r="A30" t="inlineStr">
        <is>
          <t>Arkansas</t>
        </is>
      </c>
      <c r="B30" t="inlineStr">
        <is>
          <t>AR</t>
        </is>
      </c>
      <c r="C30" t="inlineStr">
        <is>
          <t>05</t>
        </is>
      </c>
      <c r="F30" s="6" t="n">
        <v>262392</v>
      </c>
      <c r="G30" s="7" t="n">
        <v>16.3</v>
      </c>
      <c r="H30" s="6" t="n">
        <v>-262392</v>
      </c>
      <c r="I30" t="inlineStr">
        <is>
          <t>Comcast</t>
        </is>
      </c>
      <c r="J30" s="6" t="n">
        <v>1608780</v>
      </c>
      <c r="K30" t="inlineStr">
        <is>
          <t>No</t>
        </is>
      </c>
      <c r="L30" t="inlineStr">
        <is>
          <t>Yes</t>
        </is>
      </c>
      <c r="M30" t="inlineStr">
        <is>
          <t>https://broadbandmap.fcc.gov/data-download</t>
        </is>
      </c>
    </row>
    <row r="31">
      <c r="A31" t="inlineStr">
        <is>
          <t>District of Columbia</t>
        </is>
      </c>
      <c r="B31" t="inlineStr">
        <is>
          <t>DC</t>
        </is>
      </c>
      <c r="C31" t="inlineStr">
        <is>
          <t>11</t>
        </is>
      </c>
      <c r="F31" s="6" t="n">
        <v>380427</v>
      </c>
      <c r="G31" s="7" t="n">
        <v>98.59999999999999</v>
      </c>
      <c r="H31" s="6" t="n">
        <v>-380427</v>
      </c>
      <c r="I31" t="inlineStr">
        <is>
          <t>Comcast</t>
        </is>
      </c>
      <c r="J31" s="6" t="n">
        <v>385672</v>
      </c>
      <c r="K31" t="inlineStr">
        <is>
          <t>No</t>
        </is>
      </c>
      <c r="L31" t="inlineStr">
        <is>
          <t>Yes</t>
        </is>
      </c>
      <c r="M31" t="inlineStr">
        <is>
          <t>https://broadbandmap.fcc.gov/data-download</t>
        </is>
      </c>
    </row>
    <row r="32">
      <c r="A32" t="inlineStr">
        <is>
          <t>New Hampshire</t>
        </is>
      </c>
      <c r="B32" t="inlineStr">
        <is>
          <t>NH</t>
        </is>
      </c>
      <c r="C32" t="inlineStr">
        <is>
          <t>33</t>
        </is>
      </c>
      <c r="D32" s="6" t="n">
        <v>99798</v>
      </c>
      <c r="E32" s="7" t="n">
        <v>13.9</v>
      </c>
      <c r="F32" s="6" t="n">
        <v>503942</v>
      </c>
      <c r="G32" s="7" t="n">
        <v>70.2</v>
      </c>
      <c r="H32" s="6" t="n">
        <v>-404144</v>
      </c>
      <c r="I32" t="inlineStr">
        <is>
          <t>Comcast</t>
        </is>
      </c>
      <c r="J32" s="6" t="n">
        <v>717969</v>
      </c>
      <c r="K32" t="inlineStr">
        <is>
          <t>Yes</t>
        </is>
      </c>
      <c r="L32" t="inlineStr">
        <is>
          <t>Yes</t>
        </is>
      </c>
      <c r="M32" t="inlineStr">
        <is>
          <t>https://broadbandmap.fcc.gov/data-download</t>
        </is>
      </c>
    </row>
    <row r="33">
      <c r="A33" t="inlineStr">
        <is>
          <t>Delaware</t>
        </is>
      </c>
      <c r="B33" t="inlineStr">
        <is>
          <t>DE</t>
        </is>
      </c>
      <c r="C33" t="inlineStr">
        <is>
          <t>10</t>
        </is>
      </c>
      <c r="F33" s="6" t="n">
        <v>419605</v>
      </c>
      <c r="G33" s="7" t="n">
        <v>82.09999999999999</v>
      </c>
      <c r="H33" s="6" t="n">
        <v>-419605</v>
      </c>
      <c r="I33" t="inlineStr">
        <is>
          <t>Comcast</t>
        </is>
      </c>
      <c r="J33" s="6" t="n">
        <v>511215</v>
      </c>
      <c r="K33" t="inlineStr">
        <is>
          <t>No</t>
        </is>
      </c>
      <c r="L33" t="inlineStr">
        <is>
          <t>Yes</t>
        </is>
      </c>
      <c r="M33" t="inlineStr">
        <is>
          <t>https://broadbandmap.fcc.gov/data-download</t>
        </is>
      </c>
    </row>
    <row r="34">
      <c r="A34" t="inlineStr">
        <is>
          <t>Mississippi</t>
        </is>
      </c>
      <c r="B34" t="inlineStr">
        <is>
          <t>MS</t>
        </is>
      </c>
      <c r="C34" t="inlineStr">
        <is>
          <t>28</t>
        </is>
      </c>
      <c r="D34" s="6" t="n">
        <v>17742</v>
      </c>
      <c r="E34" s="7" t="n">
        <v>1.1</v>
      </c>
      <c r="F34" s="6" t="n">
        <v>470167</v>
      </c>
      <c r="G34" s="7" t="n">
        <v>29.1</v>
      </c>
      <c r="H34" s="6" t="n">
        <v>-452425</v>
      </c>
      <c r="I34" t="inlineStr">
        <is>
          <t>Comcast</t>
        </is>
      </c>
      <c r="J34" s="6" t="n">
        <v>1612924</v>
      </c>
      <c r="K34" t="inlineStr">
        <is>
          <t>Yes</t>
        </is>
      </c>
      <c r="L34" t="inlineStr">
        <is>
          <t>Yes</t>
        </is>
      </c>
      <c r="M34" t="inlineStr">
        <is>
          <t>https://broadbandmap.fcc.gov/data-download</t>
        </is>
      </c>
    </row>
    <row r="35">
      <c r="A35" t="inlineStr">
        <is>
          <t>New Mexico</t>
        </is>
      </c>
      <c r="B35" t="inlineStr">
        <is>
          <t>NM</t>
        </is>
      </c>
      <c r="C35" t="inlineStr">
        <is>
          <t>35</t>
        </is>
      </c>
      <c r="D35" s="6" t="n">
        <v>14165</v>
      </c>
      <c r="E35" s="7" t="n">
        <v>1.3</v>
      </c>
      <c r="F35" s="6" t="n">
        <v>628976</v>
      </c>
      <c r="G35" s="7" t="n">
        <v>58.2</v>
      </c>
      <c r="H35" s="6" t="n">
        <v>-614811</v>
      </c>
      <c r="I35" t="inlineStr">
        <is>
          <t>Comcast</t>
        </is>
      </c>
      <c r="J35" s="6" t="n">
        <v>1081272</v>
      </c>
      <c r="K35" t="inlineStr">
        <is>
          <t>Yes</t>
        </is>
      </c>
      <c r="L35" t="inlineStr">
        <is>
          <t>Yes</t>
        </is>
      </c>
      <c r="M35" t="inlineStr">
        <is>
          <t>https://broadbandmap.fcc.gov/data-download</t>
        </is>
      </c>
    </row>
    <row r="36">
      <c r="A36" t="inlineStr">
        <is>
          <t>Minnesota</t>
        </is>
      </c>
      <c r="B36" t="inlineStr">
        <is>
          <t>MN</t>
        </is>
      </c>
      <c r="C36" t="inlineStr">
        <is>
          <t>27</t>
        </is>
      </c>
      <c r="D36" s="6" t="n">
        <v>496591</v>
      </c>
      <c r="E36" s="7" t="n">
        <v>17.4</v>
      </c>
      <c r="F36" s="6" t="n">
        <v>1251466</v>
      </c>
      <c r="G36" s="7" t="n">
        <v>43.9</v>
      </c>
      <c r="H36" s="6" t="n">
        <v>-754875</v>
      </c>
      <c r="I36" t="inlineStr">
        <is>
          <t>Comcast</t>
        </is>
      </c>
      <c r="J36" s="6" t="n">
        <v>2853970</v>
      </c>
      <c r="K36" t="inlineStr">
        <is>
          <t>Yes</t>
        </is>
      </c>
      <c r="L36" t="inlineStr">
        <is>
          <t>Yes</t>
        </is>
      </c>
      <c r="M36" t="inlineStr">
        <is>
          <t>https://broadbandmap.fcc.gov/data-download</t>
        </is>
      </c>
    </row>
    <row r="37">
      <c r="A37" t="inlineStr">
        <is>
          <t>Oregon</t>
        </is>
      </c>
      <c r="B37" t="inlineStr">
        <is>
          <t>OR</t>
        </is>
      </c>
      <c r="C37" t="inlineStr">
        <is>
          <t>41</t>
        </is>
      </c>
      <c r="D37" s="6" t="n">
        <v>429744</v>
      </c>
      <c r="E37" s="7" t="n">
        <v>20.7</v>
      </c>
      <c r="F37" s="6" t="n">
        <v>1201997</v>
      </c>
      <c r="G37" s="7" t="n">
        <v>58</v>
      </c>
      <c r="H37" s="6" t="n">
        <v>-772253</v>
      </c>
      <c r="I37" t="inlineStr">
        <is>
          <t>Comcast</t>
        </is>
      </c>
      <c r="J37" s="6" t="n">
        <v>2072052</v>
      </c>
      <c r="K37" t="inlineStr">
        <is>
          <t>Yes</t>
        </is>
      </c>
      <c r="L37" t="inlineStr">
        <is>
          <t>Yes</t>
        </is>
      </c>
      <c r="M37" t="inlineStr">
        <is>
          <t>https://broadbandmap.fcc.gov/data-download</t>
        </is>
      </c>
    </row>
    <row r="38">
      <c r="A38" t="inlineStr">
        <is>
          <t>Connecticut</t>
        </is>
      </c>
      <c r="B38" t="inlineStr">
        <is>
          <t>CT</t>
        </is>
      </c>
      <c r="C38" t="inlineStr">
        <is>
          <t>09</t>
        </is>
      </c>
      <c r="D38" s="6" t="n">
        <v>148317</v>
      </c>
      <c r="E38" s="7" t="n">
        <v>8.9</v>
      </c>
      <c r="F38" s="6" t="n">
        <v>1055159</v>
      </c>
      <c r="G38" s="7" t="n">
        <v>63.5</v>
      </c>
      <c r="H38" s="6" t="n">
        <v>-906842</v>
      </c>
      <c r="I38" t="inlineStr">
        <is>
          <t>Comcast</t>
        </is>
      </c>
      <c r="J38" s="6" t="n">
        <v>1660883</v>
      </c>
      <c r="K38" t="inlineStr">
        <is>
          <t>Yes</t>
        </is>
      </c>
      <c r="L38" t="inlineStr">
        <is>
          <t>Yes</t>
        </is>
      </c>
      <c r="M38" t="inlineStr">
        <is>
          <t>https://broadbandmap.fcc.gov/data-download</t>
        </is>
      </c>
    </row>
    <row r="39">
      <c r="A39" t="inlineStr">
        <is>
          <t>Tennessee</t>
        </is>
      </c>
      <c r="B39" t="inlineStr">
        <is>
          <t>TN</t>
        </is>
      </c>
      <c r="C39" t="inlineStr">
        <is>
          <t>47</t>
        </is>
      </c>
      <c r="D39" s="6" t="n">
        <v>988389</v>
      </c>
      <c r="E39" s="7" t="n">
        <v>28</v>
      </c>
      <c r="F39" s="6" t="n">
        <v>1954210</v>
      </c>
      <c r="G39" s="7" t="n">
        <v>55.4</v>
      </c>
      <c r="H39" s="6" t="n">
        <v>-965821</v>
      </c>
      <c r="I39" t="inlineStr">
        <is>
          <t>Comcast</t>
        </is>
      </c>
      <c r="J39" s="6" t="n">
        <v>3526181</v>
      </c>
      <c r="K39" t="inlineStr">
        <is>
          <t>Yes</t>
        </is>
      </c>
      <c r="L39" t="inlineStr">
        <is>
          <t>Yes</t>
        </is>
      </c>
      <c r="M39" t="inlineStr">
        <is>
          <t>https://broadbandmap.fcc.gov/data-download</t>
        </is>
      </c>
    </row>
    <row r="40">
      <c r="A40" t="inlineStr">
        <is>
          <t>Utah</t>
        </is>
      </c>
      <c r="B40" t="inlineStr">
        <is>
          <t>UT</t>
        </is>
      </c>
      <c r="C40" t="inlineStr">
        <is>
          <t>49</t>
        </is>
      </c>
      <c r="F40" s="6" t="n">
        <v>1078558</v>
      </c>
      <c r="G40" s="7" t="n">
        <v>76.7</v>
      </c>
      <c r="H40" s="6" t="n">
        <v>-1078558</v>
      </c>
      <c r="I40" t="inlineStr">
        <is>
          <t>Comcast</t>
        </is>
      </c>
      <c r="J40" s="6" t="n">
        <v>1405470</v>
      </c>
      <c r="K40" t="inlineStr">
        <is>
          <t>No</t>
        </is>
      </c>
      <c r="L40" t="inlineStr">
        <is>
          <t>Yes</t>
        </is>
      </c>
      <c r="M40" t="inlineStr">
        <is>
          <t>https://broadbandmap.fcc.gov/data-download</t>
        </is>
      </c>
    </row>
    <row r="41">
      <c r="A41" t="inlineStr">
        <is>
          <t>Indiana</t>
        </is>
      </c>
      <c r="B41" t="inlineStr">
        <is>
          <t>IN</t>
        </is>
      </c>
      <c r="C41" t="inlineStr">
        <is>
          <t>18</t>
        </is>
      </c>
      <c r="D41" s="6" t="n">
        <v>699558</v>
      </c>
      <c r="E41" s="7" t="n">
        <v>21.1</v>
      </c>
      <c r="F41" s="6" t="n">
        <v>1936242</v>
      </c>
      <c r="G41" s="7" t="n">
        <v>58.3</v>
      </c>
      <c r="H41" s="6" t="n">
        <v>-1236684</v>
      </c>
      <c r="I41" t="inlineStr">
        <is>
          <t>Comcast</t>
        </is>
      </c>
      <c r="J41" s="6" t="n">
        <v>3321739</v>
      </c>
      <c r="K41" t="inlineStr">
        <is>
          <t>Yes</t>
        </is>
      </c>
      <c r="L41" t="inlineStr">
        <is>
          <t>Yes</t>
        </is>
      </c>
      <c r="M41" t="inlineStr">
        <is>
          <t>https://broadbandmap.fcc.gov/data-download</t>
        </is>
      </c>
    </row>
    <row r="42">
      <c r="A42" t="inlineStr">
        <is>
          <t>Michigan</t>
        </is>
      </c>
      <c r="B42" t="inlineStr">
        <is>
          <t>MI</t>
        </is>
      </c>
      <c r="C42" t="inlineStr">
        <is>
          <t>26</t>
        </is>
      </c>
      <c r="D42" s="6" t="n">
        <v>1312548</v>
      </c>
      <c r="E42" s="7" t="n">
        <v>25.9</v>
      </c>
      <c r="F42" s="6" t="n">
        <v>2945008</v>
      </c>
      <c r="G42" s="7" t="n">
        <v>58.2</v>
      </c>
      <c r="H42" s="6" t="n">
        <v>-1632460</v>
      </c>
      <c r="I42" t="inlineStr">
        <is>
          <t>Comcast</t>
        </is>
      </c>
      <c r="J42" s="6" t="n">
        <v>5061891</v>
      </c>
      <c r="K42" t="inlineStr">
        <is>
          <t>Yes</t>
        </is>
      </c>
      <c r="L42" t="inlineStr">
        <is>
          <t>Yes</t>
        </is>
      </c>
      <c r="M42" t="inlineStr">
        <is>
          <t>https://broadbandmap.fcc.gov/data-download</t>
        </is>
      </c>
    </row>
    <row r="43">
      <c r="A43" t="inlineStr">
        <is>
          <t>Virginia</t>
        </is>
      </c>
      <c r="B43" t="inlineStr">
        <is>
          <t>VA</t>
        </is>
      </c>
      <c r="C43" t="inlineStr">
        <is>
          <t>51</t>
        </is>
      </c>
      <c r="D43" s="6" t="n">
        <v>133546</v>
      </c>
      <c r="E43" s="7" t="n">
        <v>3.3</v>
      </c>
      <c r="F43" s="6" t="n">
        <v>1891293</v>
      </c>
      <c r="G43" s="7" t="n">
        <v>46.3</v>
      </c>
      <c r="H43" s="6" t="n">
        <v>-1757747</v>
      </c>
      <c r="I43" t="inlineStr">
        <is>
          <t>Comcast</t>
        </is>
      </c>
      <c r="J43" s="6" t="n">
        <v>4083985</v>
      </c>
      <c r="K43" t="inlineStr">
        <is>
          <t>Yes</t>
        </is>
      </c>
      <c r="L43" t="inlineStr">
        <is>
          <t>Yes</t>
        </is>
      </c>
      <c r="M43" t="inlineStr">
        <is>
          <t>https://broadbandmap.fcc.gov/data-download</t>
        </is>
      </c>
    </row>
    <row r="44">
      <c r="A44" t="inlineStr">
        <is>
          <t>Florida</t>
        </is>
      </c>
      <c r="B44" t="inlineStr">
        <is>
          <t>FL</t>
        </is>
      </c>
      <c r="C44" t="inlineStr">
        <is>
          <t>12</t>
        </is>
      </c>
      <c r="D44" s="6" t="n">
        <v>4148992</v>
      </c>
      <c r="E44" s="7" t="n">
        <v>36.1</v>
      </c>
      <c r="F44" s="6" t="n">
        <v>6004849</v>
      </c>
      <c r="G44" s="7" t="n">
        <v>52.3</v>
      </c>
      <c r="H44" s="6" t="n">
        <v>-1855857</v>
      </c>
      <c r="I44" t="inlineStr">
        <is>
          <t>Comcast</t>
        </is>
      </c>
      <c r="J44" s="6" t="n">
        <v>11477157</v>
      </c>
      <c r="K44" t="inlineStr">
        <is>
          <t>Yes</t>
        </is>
      </c>
      <c r="L44" t="inlineStr">
        <is>
          <t>Yes</t>
        </is>
      </c>
      <c r="M44" t="inlineStr">
        <is>
          <t>https://broadbandmap.fcc.gov/data-download</t>
        </is>
      </c>
    </row>
    <row r="45">
      <c r="A45" t="inlineStr">
        <is>
          <t>Georgia</t>
        </is>
      </c>
      <c r="B45" t="inlineStr">
        <is>
          <t>GA</t>
        </is>
      </c>
      <c r="C45" t="inlineStr">
        <is>
          <t>13</t>
        </is>
      </c>
      <c r="D45" s="6" t="n">
        <v>859861</v>
      </c>
      <c r="E45" s="7" t="n">
        <v>16.9</v>
      </c>
      <c r="F45" s="6" t="n">
        <v>2916314</v>
      </c>
      <c r="G45" s="7" t="n">
        <v>57.4</v>
      </c>
      <c r="H45" s="6" t="n">
        <v>-2056453</v>
      </c>
      <c r="I45" t="inlineStr">
        <is>
          <t>Comcast</t>
        </is>
      </c>
      <c r="J45" s="6" t="n">
        <v>5078917</v>
      </c>
      <c r="K45" t="inlineStr">
        <is>
          <t>Yes</t>
        </is>
      </c>
      <c r="L45" t="inlineStr">
        <is>
          <t>Yes</t>
        </is>
      </c>
      <c r="M45" t="inlineStr">
        <is>
          <t>https://broadbandmap.fcc.gov/data-download</t>
        </is>
      </c>
    </row>
    <row r="46">
      <c r="A46" t="inlineStr">
        <is>
          <t>Colorado</t>
        </is>
      </c>
      <c r="B46" t="inlineStr">
        <is>
          <t>CO</t>
        </is>
      </c>
      <c r="C46" t="inlineStr">
        <is>
          <t>08</t>
        </is>
      </c>
      <c r="D46" s="6" t="n">
        <v>181782</v>
      </c>
      <c r="E46" s="7" t="n">
        <v>6.3</v>
      </c>
      <c r="F46" s="6" t="n">
        <v>2275168</v>
      </c>
      <c r="G46" s="7" t="n">
        <v>78.59999999999999</v>
      </c>
      <c r="H46" s="6" t="n">
        <v>-2093386</v>
      </c>
      <c r="I46" t="inlineStr">
        <is>
          <t>Comcast</t>
        </is>
      </c>
      <c r="J46" s="6" t="n">
        <v>2894616</v>
      </c>
      <c r="K46" t="inlineStr">
        <is>
          <t>Yes</t>
        </is>
      </c>
      <c r="L46" t="inlineStr">
        <is>
          <t>Yes</t>
        </is>
      </c>
      <c r="M46" t="inlineStr">
        <is>
          <t>https://broadbandmap.fcc.gov/data-download</t>
        </is>
      </c>
    </row>
    <row r="47">
      <c r="A47" t="inlineStr">
        <is>
          <t>New Jersey</t>
        </is>
      </c>
      <c r="B47" t="inlineStr">
        <is>
          <t>NJ</t>
        </is>
      </c>
      <c r="C47" t="inlineStr">
        <is>
          <t>34</t>
        </is>
      </c>
      <c r="D47" s="6" t="n">
        <v>91648</v>
      </c>
      <c r="E47" s="7" t="n">
        <v>2.2</v>
      </c>
      <c r="F47" s="6" t="n">
        <v>2387411</v>
      </c>
      <c r="G47" s="7" t="n">
        <v>57.6</v>
      </c>
      <c r="H47" s="6" t="n">
        <v>-2295763</v>
      </c>
      <c r="I47" t="inlineStr">
        <is>
          <t>Comcast</t>
        </is>
      </c>
      <c r="J47" s="6" t="n">
        <v>4146970</v>
      </c>
      <c r="K47" t="inlineStr">
        <is>
          <t>Yes</t>
        </is>
      </c>
      <c r="L47" t="inlineStr">
        <is>
          <t>Yes</t>
        </is>
      </c>
      <c r="M47" t="inlineStr">
        <is>
          <t>https://broadbandmap.fcc.gov/data-download</t>
        </is>
      </c>
    </row>
    <row r="48">
      <c r="A48" t="inlineStr">
        <is>
          <t>Washington</t>
        </is>
      </c>
      <c r="B48" t="inlineStr">
        <is>
          <t>WA</t>
        </is>
      </c>
      <c r="C48" t="inlineStr">
        <is>
          <t>53</t>
        </is>
      </c>
      <c r="D48" s="6" t="n">
        <v>317027</v>
      </c>
      <c r="E48" s="7" t="n">
        <v>8.6</v>
      </c>
      <c r="F48" s="6" t="n">
        <v>2666565</v>
      </c>
      <c r="G48" s="7" t="n">
        <v>72.40000000000001</v>
      </c>
      <c r="H48" s="6" t="n">
        <v>-2349538</v>
      </c>
      <c r="I48" t="inlineStr">
        <is>
          <t>Comcast</t>
        </is>
      </c>
      <c r="J48" s="6" t="n">
        <v>3682084</v>
      </c>
      <c r="K48" t="inlineStr">
        <is>
          <t>Yes</t>
        </is>
      </c>
      <c r="L48" t="inlineStr">
        <is>
          <t>Yes</t>
        </is>
      </c>
      <c r="M48" t="inlineStr">
        <is>
          <t>https://broadbandmap.fcc.gov/data-download</t>
        </is>
      </c>
    </row>
    <row r="49">
      <c r="A49" t="inlineStr">
        <is>
          <t>Massachusetts</t>
        </is>
      </c>
      <c r="B49" t="inlineStr">
        <is>
          <t>MA</t>
        </is>
      </c>
      <c r="C49" t="inlineStr">
        <is>
          <t>25</t>
        </is>
      </c>
      <c r="D49" s="6" t="n">
        <v>412202</v>
      </c>
      <c r="E49" s="7" t="n">
        <v>12.4</v>
      </c>
      <c r="F49" s="6" t="n">
        <v>2861422</v>
      </c>
      <c r="G49" s="7" t="n">
        <v>85.90000000000001</v>
      </c>
      <c r="H49" s="6" t="n">
        <v>-2449220</v>
      </c>
      <c r="I49" t="inlineStr">
        <is>
          <t>Comcast</t>
        </is>
      </c>
      <c r="J49" s="6" t="n">
        <v>3332272</v>
      </c>
      <c r="K49" t="inlineStr">
        <is>
          <t>Yes</t>
        </is>
      </c>
      <c r="L49" t="inlineStr">
        <is>
          <t>Yes</t>
        </is>
      </c>
      <c r="M49" t="inlineStr">
        <is>
          <t>https://broadbandmap.fcc.gov/data-download</t>
        </is>
      </c>
    </row>
    <row r="50">
      <c r="A50" t="inlineStr">
        <is>
          <t>Maryland</t>
        </is>
      </c>
      <c r="B50" t="inlineStr">
        <is>
          <t>MD</t>
        </is>
      </c>
      <c r="C50" t="inlineStr">
        <is>
          <t>24</t>
        </is>
      </c>
      <c r="D50" s="6" t="n">
        <v>4407</v>
      </c>
      <c r="E50" s="7" t="n">
        <v>0.2</v>
      </c>
      <c r="F50" s="6" t="n">
        <v>2463446</v>
      </c>
      <c r="G50" s="7" t="n">
        <v>89.40000000000001</v>
      </c>
      <c r="H50" s="6" t="n">
        <v>-2459039</v>
      </c>
      <c r="I50" t="inlineStr">
        <is>
          <t>Comcast</t>
        </is>
      </c>
      <c r="J50" s="6" t="n">
        <v>2754300</v>
      </c>
      <c r="K50" t="inlineStr">
        <is>
          <t>Yes</t>
        </is>
      </c>
      <c r="L50" t="inlineStr">
        <is>
          <t>Yes</t>
        </is>
      </c>
      <c r="M50" t="inlineStr">
        <is>
          <t>https://broadbandmap.fcc.gov/data-download</t>
        </is>
      </c>
    </row>
    <row r="51">
      <c r="A51" t="inlineStr">
        <is>
          <t>Illinois</t>
        </is>
      </c>
      <c r="B51" t="inlineStr">
        <is>
          <t>IL</t>
        </is>
      </c>
      <c r="C51" t="inlineStr">
        <is>
          <t>17</t>
        </is>
      </c>
      <c r="D51" s="6" t="n">
        <v>297963</v>
      </c>
      <c r="E51" s="7" t="n">
        <v>4.9</v>
      </c>
      <c r="F51" s="6" t="n">
        <v>4564524</v>
      </c>
      <c r="G51" s="7" t="n">
        <v>75.40000000000001</v>
      </c>
      <c r="H51" s="6" t="n">
        <v>-4266561</v>
      </c>
      <c r="I51" t="inlineStr">
        <is>
          <t>Comcast</t>
        </is>
      </c>
      <c r="J51" s="6" t="n">
        <v>6056155</v>
      </c>
      <c r="K51" t="inlineStr">
        <is>
          <t>Yes</t>
        </is>
      </c>
      <c r="L51" t="inlineStr">
        <is>
          <t>Yes</t>
        </is>
      </c>
      <c r="M51" t="inlineStr">
        <is>
          <t>https://broadbandmap.fcc.gov/data-download</t>
        </is>
      </c>
    </row>
    <row r="52">
      <c r="A52" t="inlineStr">
        <is>
          <t>Pennsylvania</t>
        </is>
      </c>
      <c r="B52" t="inlineStr">
        <is>
          <t>PA</t>
        </is>
      </c>
      <c r="C52" t="inlineStr">
        <is>
          <t>42</t>
        </is>
      </c>
      <c r="D52" s="6" t="n">
        <v>176083</v>
      </c>
      <c r="E52" s="7" t="n">
        <v>2.8</v>
      </c>
      <c r="F52" s="6" t="n">
        <v>4533021</v>
      </c>
      <c r="G52" s="7" t="n">
        <v>71.3</v>
      </c>
      <c r="H52" s="6" t="n">
        <v>-4356938</v>
      </c>
      <c r="I52" t="inlineStr">
        <is>
          <t>Comcast</t>
        </is>
      </c>
      <c r="J52" s="6" t="n">
        <v>6356781</v>
      </c>
      <c r="K52" t="inlineStr">
        <is>
          <t>Yes</t>
        </is>
      </c>
      <c r="L52" t="inlineStr">
        <is>
          <t>Yes</t>
        </is>
      </c>
      <c r="M52" t="inlineStr">
        <is>
          <t>https://broadbandmap.fcc.gov/data-download</t>
        </is>
      </c>
    </row>
  </sheetData>
  <autoFilter ref="A1:M5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4.5"/>
  <cols>
    <col width="22" customWidth="1" style="34" min="1" max="1"/>
    <col width="8" customWidth="1" style="34" min="2" max="3"/>
    <col width="22" customWidth="1" style="34" min="4" max="4"/>
    <col width="24" customWidth="1" style="34" min="5" max="5"/>
    <col width="22" customWidth="1" style="34" min="6" max="6"/>
    <col width="24" customWidth="1" style="34" min="7" max="7"/>
    <col width="30" customWidth="1" style="34" min="8" max="8"/>
    <col width="12" customWidth="1" style="34" min="9" max="9"/>
    <col width="26" customWidth="1" style="34" min="10" max="10"/>
    <col width="14" customWidth="1" style="34" min="11" max="11"/>
    <col width="16" customWidth="1" style="34" min="12" max="12"/>
    <col width="48" customWidth="1" style="34" min="13" max="13"/>
  </cols>
  <sheetData>
    <row r="1" ht="29" customHeight="1" s="34">
      <c r="A1" s="3" t="inlineStr">
        <is>
          <t>State</t>
        </is>
      </c>
      <c r="B1" s="3" t="inlineStr">
        <is>
          <t>Abbr</t>
        </is>
      </c>
      <c r="C1" s="3" t="inlineStr">
        <is>
          <t>FIPS</t>
        </is>
      </c>
      <c r="D1" s="3" t="inlineStr">
        <is>
          <t>Charter estimated units</t>
        </is>
      </c>
      <c r="E1" s="3" t="inlineStr">
        <is>
          <t>Charter share of fabric (%)</t>
        </is>
      </c>
      <c r="F1" s="3" t="inlineStr">
        <is>
          <t>Comcast estimated units</t>
        </is>
      </c>
      <c r="G1" s="3" t="inlineStr">
        <is>
          <t>Comcast share of fabric (%)</t>
        </is>
      </c>
      <c r="H1" s="3" t="inlineStr">
        <is>
          <t>Margin (Charter − Comcast units)</t>
        </is>
      </c>
      <c r="I1" s="3" t="inlineStr">
        <is>
          <t>Leader</t>
        </is>
      </c>
      <c r="J1" s="3" t="inlineStr">
        <is>
          <t>State residential fabric units</t>
        </is>
      </c>
      <c r="K1" s="3" t="inlineStr">
        <is>
          <t>Charter present</t>
        </is>
      </c>
      <c r="L1" s="3" t="inlineStr">
        <is>
          <t>Comcast present</t>
        </is>
      </c>
      <c r="M1" s="3" t="inlineStr">
        <is>
          <t>Source URL</t>
        </is>
      </c>
    </row>
    <row r="2">
      <c r="A2" t="inlineStr">
        <is>
          <t>New York</t>
        </is>
      </c>
      <c r="B2" t="inlineStr">
        <is>
          <t>NY</t>
        </is>
      </c>
      <c r="C2" t="inlineStr">
        <is>
          <t>36</t>
        </is>
      </c>
      <c r="D2" s="6" t="n">
        <v>5580990</v>
      </c>
      <c r="E2" s="7" t="n">
        <v>60.2</v>
      </c>
      <c r="F2" s="6" t="n">
        <v>44485</v>
      </c>
      <c r="G2" s="7" t="n">
        <v>0.5</v>
      </c>
      <c r="H2" s="6" t="n">
        <v>5536505</v>
      </c>
      <c r="I2" t="inlineStr">
        <is>
          <t>Charter</t>
        </is>
      </c>
      <c r="J2" s="6" t="n">
        <v>9267668</v>
      </c>
      <c r="K2" t="inlineStr">
        <is>
          <t>Yes</t>
        </is>
      </c>
      <c r="L2" t="inlineStr">
        <is>
          <t>Yes</t>
        </is>
      </c>
      <c r="M2" t="inlineStr">
        <is>
          <t>https://broadbandmap.fcc.gov/data-download</t>
        </is>
      </c>
    </row>
    <row r="3">
      <c r="A3" t="inlineStr">
        <is>
          <t>Ohio</t>
        </is>
      </c>
      <c r="B3" t="inlineStr">
        <is>
          <t>OH</t>
        </is>
      </c>
      <c r="C3" t="inlineStr">
        <is>
          <t>39</t>
        </is>
      </c>
      <c r="D3" s="6" t="n">
        <v>4512248</v>
      </c>
      <c r="E3" s="7" t="n">
        <v>77.3</v>
      </c>
      <c r="F3" s="6" t="n">
        <v>97420</v>
      </c>
      <c r="G3" s="7" t="n">
        <v>1.7</v>
      </c>
      <c r="H3" s="6" t="n">
        <v>4414828</v>
      </c>
      <c r="I3" t="inlineStr">
        <is>
          <t>Charter</t>
        </is>
      </c>
      <c r="J3" s="6" t="n">
        <v>5833546</v>
      </c>
      <c r="K3" t="inlineStr">
        <is>
          <t>Yes</t>
        </is>
      </c>
      <c r="L3" t="inlineStr">
        <is>
          <t>Yes</t>
        </is>
      </c>
      <c r="M3" t="inlineStr">
        <is>
          <t>https://broadbandmap.fcc.gov/data-download</t>
        </is>
      </c>
    </row>
    <row r="4">
      <c r="A4" t="inlineStr">
        <is>
          <t>North Carolina</t>
        </is>
      </c>
      <c r="B4" t="inlineStr">
        <is>
          <t>NC</t>
        </is>
      </c>
      <c r="C4" t="inlineStr">
        <is>
          <t>37</t>
        </is>
      </c>
      <c r="D4" s="6" t="n">
        <v>4365296</v>
      </c>
      <c r="E4" s="7" t="n">
        <v>79</v>
      </c>
      <c r="F4" s="6" t="n">
        <v>2211</v>
      </c>
      <c r="G4" s="7" t="n">
        <v>0</v>
      </c>
      <c r="H4" s="6" t="n">
        <v>4363085</v>
      </c>
      <c r="I4" t="inlineStr">
        <is>
          <t>Charter</t>
        </is>
      </c>
      <c r="J4" s="6" t="n">
        <v>5526391</v>
      </c>
      <c r="K4" t="inlineStr">
        <is>
          <t>Yes</t>
        </is>
      </c>
      <c r="L4" t="inlineStr">
        <is>
          <t>Yes</t>
        </is>
      </c>
      <c r="M4" t="inlineStr">
        <is>
          <t>https://broadbandmap.fcc.gov/data-download</t>
        </is>
      </c>
    </row>
    <row r="5">
      <c r="A5" t="inlineStr">
        <is>
          <t>Texas</t>
        </is>
      </c>
      <c r="B5" t="inlineStr">
        <is>
          <t>TX</t>
        </is>
      </c>
      <c r="C5" t="inlineStr">
        <is>
          <t>48</t>
        </is>
      </c>
      <c r="D5" s="6" t="n">
        <v>6809213</v>
      </c>
      <c r="E5" s="7" t="n">
        <v>48.8</v>
      </c>
      <c r="F5" s="6" t="n">
        <v>3046153</v>
      </c>
      <c r="G5" s="7" t="n">
        <v>21.8</v>
      </c>
      <c r="H5" s="6" t="n">
        <v>3763060</v>
      </c>
      <c r="I5" t="inlineStr">
        <is>
          <t>Charter</t>
        </is>
      </c>
      <c r="J5" s="6" t="n">
        <v>13947589</v>
      </c>
      <c r="K5" t="inlineStr">
        <is>
          <t>Yes</t>
        </is>
      </c>
      <c r="L5" t="inlineStr">
        <is>
          <t>Yes</t>
        </is>
      </c>
      <c r="M5" t="inlineStr">
        <is>
          <t>https://broadbandmap.fcc.gov/data-download</t>
        </is>
      </c>
    </row>
    <row r="6">
      <c r="A6" t="inlineStr">
        <is>
          <t>Wisconsin</t>
        </is>
      </c>
      <c r="B6" t="inlineStr">
        <is>
          <t>WI</t>
        </is>
      </c>
      <c r="C6" t="inlineStr">
        <is>
          <t>55</t>
        </is>
      </c>
      <c r="D6" s="6" t="n">
        <v>2348841</v>
      </c>
      <c r="E6" s="7" t="n">
        <v>74.5</v>
      </c>
      <c r="F6" s="6" t="n">
        <v>39079</v>
      </c>
      <c r="G6" s="7" t="n">
        <v>1.2</v>
      </c>
      <c r="H6" s="6" t="n">
        <v>2309762</v>
      </c>
      <c r="I6" t="inlineStr">
        <is>
          <t>Charter</t>
        </is>
      </c>
      <c r="J6" s="6" t="n">
        <v>3151537</v>
      </c>
      <c r="K6" t="inlineStr">
        <is>
          <t>Yes</t>
        </is>
      </c>
      <c r="L6" t="inlineStr">
        <is>
          <t>Yes</t>
        </is>
      </c>
      <c r="M6" t="inlineStr">
        <is>
          <t>https://broadbandmap.fcc.gov/data-download</t>
        </is>
      </c>
    </row>
    <row r="7">
      <c r="A7" t="inlineStr">
        <is>
          <t>California</t>
        </is>
      </c>
      <c r="B7" t="inlineStr">
        <is>
          <t>CA</t>
        </is>
      </c>
      <c r="C7" t="inlineStr">
        <is>
          <t>06</t>
        </is>
      </c>
      <c r="D7" s="6" t="n">
        <v>7651506</v>
      </c>
      <c r="E7" s="7" t="n">
        <v>47</v>
      </c>
      <c r="F7" s="6" t="n">
        <v>5492345</v>
      </c>
      <c r="G7" s="7" t="n">
        <v>33.7</v>
      </c>
      <c r="H7" s="6" t="n">
        <v>2159161</v>
      </c>
      <c r="I7" t="inlineStr">
        <is>
          <t>Charter</t>
        </is>
      </c>
      <c r="J7" s="6" t="n">
        <v>16283265</v>
      </c>
      <c r="K7" t="inlineStr">
        <is>
          <t>Yes</t>
        </is>
      </c>
      <c r="L7" t="inlineStr">
        <is>
          <t>Yes</t>
        </is>
      </c>
      <c r="M7" t="inlineStr">
        <is>
          <t>https://broadbandmap.fcc.gov/data-download</t>
        </is>
      </c>
    </row>
    <row r="8">
      <c r="A8" t="inlineStr">
        <is>
          <t>Missouri</t>
        </is>
      </c>
      <c r="B8" t="inlineStr">
        <is>
          <t>MO</t>
        </is>
      </c>
      <c r="C8" t="inlineStr">
        <is>
          <t>29</t>
        </is>
      </c>
      <c r="D8" s="6" t="n">
        <v>1566412</v>
      </c>
      <c r="E8" s="7" t="n">
        <v>49.9</v>
      </c>
      <c r="F8" s="6" t="n">
        <v>167101</v>
      </c>
      <c r="G8" s="7" t="n">
        <v>5.3</v>
      </c>
      <c r="H8" s="6" t="n">
        <v>1399311</v>
      </c>
      <c r="I8" t="inlineStr">
        <is>
          <t>Charter</t>
        </is>
      </c>
      <c r="J8" s="6" t="n">
        <v>3140991</v>
      </c>
      <c r="K8" t="inlineStr">
        <is>
          <t>Yes</t>
        </is>
      </c>
      <c r="L8" t="inlineStr">
        <is>
          <t>Yes</t>
        </is>
      </c>
      <c r="M8" t="inlineStr">
        <is>
          <t>https://broadbandmap.fcc.gov/data-download</t>
        </is>
      </c>
    </row>
    <row r="9">
      <c r="A9" t="inlineStr">
        <is>
          <t>Kentucky</t>
        </is>
      </c>
      <c r="B9" t="inlineStr">
        <is>
          <t>KY</t>
        </is>
      </c>
      <c r="C9" t="inlineStr">
        <is>
          <t>21</t>
        </is>
      </c>
      <c r="D9" s="6" t="n">
        <v>1363705</v>
      </c>
      <c r="E9" s="7" t="n">
        <v>59.9</v>
      </c>
      <c r="F9" s="6" t="n">
        <v>109124</v>
      </c>
      <c r="G9" s="7" t="n">
        <v>4.8</v>
      </c>
      <c r="H9" s="6" t="n">
        <v>1254581</v>
      </c>
      <c r="I9" t="inlineStr">
        <is>
          <t>Charter</t>
        </is>
      </c>
      <c r="J9" s="6" t="n">
        <v>2278158</v>
      </c>
      <c r="K9" t="inlineStr">
        <is>
          <t>Yes</t>
        </is>
      </c>
      <c r="L9" t="inlineStr">
        <is>
          <t>Yes</t>
        </is>
      </c>
      <c r="M9" t="inlineStr">
        <is>
          <t>https://broadbandmap.fcc.gov/data-download</t>
        </is>
      </c>
    </row>
    <row r="10">
      <c r="A10" t="inlineStr">
        <is>
          <t>South Carolina</t>
        </is>
      </c>
      <c r="B10" t="inlineStr">
        <is>
          <t>SC</t>
        </is>
      </c>
      <c r="C10" t="inlineStr">
        <is>
          <t>45</t>
        </is>
      </c>
      <c r="D10" s="6" t="n">
        <v>1660655</v>
      </c>
      <c r="E10" s="7" t="n">
        <v>59.9</v>
      </c>
      <c r="F10" s="6" t="n">
        <v>410031</v>
      </c>
      <c r="G10" s="7" t="n">
        <v>14.8</v>
      </c>
      <c r="H10" s="6" t="n">
        <v>1250624</v>
      </c>
      <c r="I10" t="inlineStr">
        <is>
          <t>Charter</t>
        </is>
      </c>
      <c r="J10" s="6" t="n">
        <v>2774232</v>
      </c>
      <c r="K10" t="inlineStr">
        <is>
          <t>Yes</t>
        </is>
      </c>
      <c r="L10" t="inlineStr">
        <is>
          <t>Yes</t>
        </is>
      </c>
      <c r="M10" t="inlineStr">
        <is>
          <t>https://broadbandmap.fcc.gov/data-download</t>
        </is>
      </c>
    </row>
    <row r="11">
      <c r="A11" t="inlineStr">
        <is>
          <t>Alabama</t>
        </is>
      </c>
      <c r="B11" t="inlineStr">
        <is>
          <t>AL</t>
        </is>
      </c>
      <c r="C11" t="inlineStr">
        <is>
          <t>01</t>
        </is>
      </c>
      <c r="D11" s="6" t="n">
        <v>1127304</v>
      </c>
      <c r="E11" s="7" t="n">
        <v>42</v>
      </c>
      <c r="F11" s="6" t="n">
        <v>528365</v>
      </c>
      <c r="G11" s="7" t="n">
        <v>19.7</v>
      </c>
      <c r="H11" s="6" t="n">
        <v>598939</v>
      </c>
      <c r="I11" t="inlineStr">
        <is>
          <t>Charter</t>
        </is>
      </c>
      <c r="J11" s="6" t="n">
        <v>2683418</v>
      </c>
      <c r="K11" t="inlineStr">
        <is>
          <t>Yes</t>
        </is>
      </c>
      <c r="L11" t="inlineStr">
        <is>
          <t>Yes</t>
        </is>
      </c>
      <c r="M11" t="inlineStr">
        <is>
          <t>https://broadbandmap.fcc.gov/data-download</t>
        </is>
      </c>
    </row>
    <row r="12">
      <c r="A12" t="inlineStr">
        <is>
          <t>Hawaii</t>
        </is>
      </c>
      <c r="B12" t="inlineStr">
        <is>
          <t>HI</t>
        </is>
      </c>
      <c r="C12" t="inlineStr">
        <is>
          <t>15</t>
        </is>
      </c>
      <c r="D12" s="6" t="n">
        <v>556913</v>
      </c>
      <c r="E12" s="7" t="n">
        <v>92.3</v>
      </c>
      <c r="H12" s="6" t="n">
        <v>556913</v>
      </c>
      <c r="I12" t="inlineStr">
        <is>
          <t>Charter</t>
        </is>
      </c>
      <c r="J12" s="6" t="n">
        <v>603504</v>
      </c>
      <c r="K12" t="inlineStr">
        <is>
          <t>Yes</t>
        </is>
      </c>
      <c r="L12" t="inlineStr">
        <is>
          <t>No</t>
        </is>
      </c>
      <c r="M12" t="inlineStr">
        <is>
          <t>https://broadbandmap.fcc.gov/data-download</t>
        </is>
      </c>
    </row>
    <row r="13">
      <c r="A13" t="inlineStr">
        <is>
          <t>Maine</t>
        </is>
      </c>
      <c r="B13" t="inlineStr">
        <is>
          <t>ME</t>
        </is>
      </c>
      <c r="C13" t="inlineStr">
        <is>
          <t>23</t>
        </is>
      </c>
      <c r="D13" s="6" t="n">
        <v>600801</v>
      </c>
      <c r="E13" s="7" t="n">
        <v>73.59999999999999</v>
      </c>
      <c r="F13" s="6" t="n">
        <v>72426</v>
      </c>
      <c r="G13" s="7" t="n">
        <v>8.9</v>
      </c>
      <c r="H13" s="6" t="n">
        <v>528375</v>
      </c>
      <c r="I13" t="inlineStr">
        <is>
          <t>Charter</t>
        </is>
      </c>
      <c r="J13" s="6" t="n">
        <v>816527</v>
      </c>
      <c r="K13" t="inlineStr">
        <is>
          <t>Yes</t>
        </is>
      </c>
      <c r="L13" t="inlineStr">
        <is>
          <t>Yes</t>
        </is>
      </c>
      <c r="M13" t="inlineStr">
        <is>
          <t>https://broadbandmap.fcc.gov/data-download</t>
        </is>
      </c>
    </row>
    <row r="14">
      <c r="A14" t="inlineStr">
        <is>
          <t>Montana</t>
        </is>
      </c>
      <c r="B14" t="inlineStr">
        <is>
          <t>MT</t>
        </is>
      </c>
      <c r="C14" t="inlineStr">
        <is>
          <t>30</t>
        </is>
      </c>
      <c r="D14" s="6" t="n">
        <v>335785</v>
      </c>
      <c r="E14" s="7" t="n">
        <v>54.4</v>
      </c>
      <c r="H14" s="6" t="n">
        <v>335785</v>
      </c>
      <c r="I14" t="inlineStr">
        <is>
          <t>Charter</t>
        </is>
      </c>
      <c r="J14" s="6" t="n">
        <v>616912</v>
      </c>
      <c r="K14" t="inlineStr">
        <is>
          <t>Yes</t>
        </is>
      </c>
      <c r="L14" t="inlineStr">
        <is>
          <t>No</t>
        </is>
      </c>
      <c r="M14" t="inlineStr">
        <is>
          <t>https://broadbandmap.fcc.gov/data-download</t>
        </is>
      </c>
    </row>
    <row r="15">
      <c r="A15" t="inlineStr">
        <is>
          <t>Nebraska</t>
        </is>
      </c>
      <c r="B15" t="inlineStr">
        <is>
          <t>NE</t>
        </is>
      </c>
      <c r="C15" t="inlineStr">
        <is>
          <t>31</t>
        </is>
      </c>
      <c r="D15" s="6" t="n">
        <v>312736</v>
      </c>
      <c r="E15" s="7" t="n">
        <v>31.3</v>
      </c>
      <c r="H15" s="6" t="n">
        <v>312736</v>
      </c>
      <c r="I15" t="inlineStr">
        <is>
          <t>Charter</t>
        </is>
      </c>
      <c r="J15" s="6" t="n">
        <v>998839</v>
      </c>
      <c r="K15" t="inlineStr">
        <is>
          <t>Yes</t>
        </is>
      </c>
      <c r="L15" t="inlineStr">
        <is>
          <t>No</t>
        </is>
      </c>
      <c r="M15" t="inlineStr">
        <is>
          <t>https://broadbandmap.fcc.gov/data-download</t>
        </is>
      </c>
    </row>
    <row r="16">
      <c r="A16" t="inlineStr">
        <is>
          <t>Nevada</t>
        </is>
      </c>
      <c r="B16" t="inlineStr">
        <is>
          <t>NV</t>
        </is>
      </c>
      <c r="C16" t="inlineStr">
        <is>
          <t>32</t>
        </is>
      </c>
      <c r="D16" s="6" t="n">
        <v>307579</v>
      </c>
      <c r="E16" s="7" t="n">
        <v>21.1</v>
      </c>
      <c r="H16" s="6" t="n">
        <v>307579</v>
      </c>
      <c r="I16" t="inlineStr">
        <is>
          <t>Charter</t>
        </is>
      </c>
      <c r="J16" s="6" t="n">
        <v>1454275</v>
      </c>
      <c r="K16" t="inlineStr">
        <is>
          <t>Yes</t>
        </is>
      </c>
      <c r="L16" t="inlineStr">
        <is>
          <t>No</t>
        </is>
      </c>
      <c r="M16" t="inlineStr">
        <is>
          <t>https://broadbandmap.fcc.gov/data-download</t>
        </is>
      </c>
    </row>
    <row r="17">
      <c r="A17" t="inlineStr">
        <is>
          <t>Kansas</t>
        </is>
      </c>
      <c r="B17" t="inlineStr">
        <is>
          <t>KS</t>
        </is>
      </c>
      <c r="C17" t="inlineStr">
        <is>
          <t>20</t>
        </is>
      </c>
      <c r="D17" s="6" t="n">
        <v>296567</v>
      </c>
      <c r="E17" s="7" t="n">
        <v>19.9</v>
      </c>
      <c r="F17" s="6" t="n">
        <v>67226</v>
      </c>
      <c r="G17" s="7" t="n">
        <v>4.5</v>
      </c>
      <c r="H17" s="6" t="n">
        <v>229341</v>
      </c>
      <c r="I17" t="inlineStr">
        <is>
          <t>Charter</t>
        </is>
      </c>
      <c r="J17" s="6" t="n">
        <v>1487297</v>
      </c>
      <c r="K17" t="inlineStr">
        <is>
          <t>Yes</t>
        </is>
      </c>
      <c r="L17" t="inlineStr">
        <is>
          <t>Yes</t>
        </is>
      </c>
      <c r="M17" t="inlineStr">
        <is>
          <t>https://broadbandmap.fcc.gov/data-download</t>
        </is>
      </c>
    </row>
    <row r="18">
      <c r="A18" t="inlineStr">
        <is>
          <t>Wyoming</t>
        </is>
      </c>
      <c r="B18" t="inlineStr">
        <is>
          <t>WY</t>
        </is>
      </c>
      <c r="C18" t="inlineStr">
        <is>
          <t>56</t>
        </is>
      </c>
      <c r="D18" s="6" t="n">
        <v>161029</v>
      </c>
      <c r="E18" s="7" t="n">
        <v>51.7</v>
      </c>
      <c r="H18" s="6" t="n">
        <v>161029</v>
      </c>
      <c r="I18" t="inlineStr">
        <is>
          <t>Charter</t>
        </is>
      </c>
      <c r="J18" s="6" t="n">
        <v>311347</v>
      </c>
      <c r="K18" t="inlineStr">
        <is>
          <t>Yes</t>
        </is>
      </c>
      <c r="L18" t="inlineStr">
        <is>
          <t>No</t>
        </is>
      </c>
      <c r="M18" t="inlineStr">
        <is>
          <t>https://broadbandmap.fcc.gov/data-download</t>
        </is>
      </c>
    </row>
    <row r="19">
      <c r="A19" t="inlineStr">
        <is>
          <t>Idaho</t>
        </is>
      </c>
      <c r="B19" t="inlineStr">
        <is>
          <t>ID</t>
        </is>
      </c>
      <c r="C19" t="inlineStr">
        <is>
          <t>16</t>
        </is>
      </c>
      <c r="D19" s="6" t="n">
        <v>82999</v>
      </c>
      <c r="E19" s="7" t="n">
        <v>9</v>
      </c>
      <c r="F19" s="6" t="n">
        <v>2387</v>
      </c>
      <c r="G19" s="7" t="n">
        <v>0.3</v>
      </c>
      <c r="H19" s="6" t="n">
        <v>80612</v>
      </c>
      <c r="I19" t="inlineStr">
        <is>
          <t>Charter</t>
        </is>
      </c>
      <c r="J19" s="6" t="n">
        <v>918136</v>
      </c>
      <c r="K19" t="inlineStr">
        <is>
          <t>Yes</t>
        </is>
      </c>
      <c r="L19" t="inlineStr">
        <is>
          <t>Yes</t>
        </is>
      </c>
      <c r="M19" t="inlineStr">
        <is>
          <t>https://broadbandmap.fcc.gov/data-download</t>
        </is>
      </c>
    </row>
    <row r="20">
      <c r="A20" t="inlineStr">
        <is>
          <t>Louisiana</t>
        </is>
      </c>
      <c r="B20" t="inlineStr">
        <is>
          <t>LA</t>
        </is>
      </c>
      <c r="C20" t="inlineStr">
        <is>
          <t>22</t>
        </is>
      </c>
      <c r="D20" s="6" t="n">
        <v>318024</v>
      </c>
      <c r="E20" s="7" t="n">
        <v>13.5</v>
      </c>
      <c r="F20" s="6" t="n">
        <v>266159</v>
      </c>
      <c r="G20" s="7" t="n">
        <v>11.3</v>
      </c>
      <c r="H20" s="6" t="n">
        <v>51865</v>
      </c>
      <c r="I20" t="inlineStr">
        <is>
          <t>Charter</t>
        </is>
      </c>
      <c r="J20" s="6" t="n">
        <v>2357476</v>
      </c>
      <c r="K20" t="inlineStr">
        <is>
          <t>Yes</t>
        </is>
      </c>
      <c r="L20" t="inlineStr">
        <is>
          <t>Yes</t>
        </is>
      </c>
      <c r="M20" t="inlineStr">
        <is>
          <t>https://broadbandmap.fcc.gov/data-download</t>
        </is>
      </c>
    </row>
  </sheetData>
  <autoFilter ref="A1:M2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4.5"/>
  <cols>
    <col width="22" customWidth="1" style="34" min="1" max="1"/>
    <col width="8" customWidth="1" style="34" min="2" max="3"/>
    <col width="22" customWidth="1" style="34" min="4" max="4"/>
    <col width="24" customWidth="1" style="34" min="5" max="5"/>
    <col width="22" customWidth="1" style="34" min="6" max="6"/>
    <col width="24" customWidth="1" style="34" min="7" max="7"/>
    <col width="30" customWidth="1" style="34" min="8" max="8"/>
    <col width="12" customWidth="1" style="34" min="9" max="9"/>
    <col width="26" customWidth="1" style="34" min="10" max="10"/>
    <col width="14" customWidth="1" style="34" min="11" max="11"/>
    <col width="16" customWidth="1" style="34" min="12" max="12"/>
    <col width="48" customWidth="1" style="34" min="13" max="13"/>
  </cols>
  <sheetData>
    <row r="1" ht="29" customHeight="1" s="34">
      <c r="A1" s="3" t="inlineStr">
        <is>
          <t>State</t>
        </is>
      </c>
      <c r="B1" s="3" t="inlineStr">
        <is>
          <t>Abbr</t>
        </is>
      </c>
      <c r="C1" s="3" t="inlineStr">
        <is>
          <t>FIPS</t>
        </is>
      </c>
      <c r="D1" s="3" t="inlineStr">
        <is>
          <t>Charter estimated units</t>
        </is>
      </c>
      <c r="E1" s="3" t="inlineStr">
        <is>
          <t>Charter share of fabric (%)</t>
        </is>
      </c>
      <c r="F1" s="3" t="inlineStr">
        <is>
          <t>Comcast estimated units</t>
        </is>
      </c>
      <c r="G1" s="3" t="inlineStr">
        <is>
          <t>Comcast share of fabric (%)</t>
        </is>
      </c>
      <c r="H1" s="3" t="inlineStr">
        <is>
          <t>Margin (Charter − Comcast units)</t>
        </is>
      </c>
      <c r="I1" s="3" t="inlineStr">
        <is>
          <t>Leader</t>
        </is>
      </c>
      <c r="J1" s="3" t="inlineStr">
        <is>
          <t>State residential fabric units</t>
        </is>
      </c>
      <c r="K1" s="3" t="inlineStr">
        <is>
          <t>Charter present</t>
        </is>
      </c>
      <c r="L1" s="3" t="inlineStr">
        <is>
          <t>Comcast present</t>
        </is>
      </c>
      <c r="M1" s="3" t="inlineStr">
        <is>
          <t>Source URL</t>
        </is>
      </c>
    </row>
    <row r="2">
      <c r="A2" t="inlineStr">
        <is>
          <t>Rhode Island</t>
        </is>
      </c>
      <c r="B2" t="inlineStr">
        <is>
          <t>RI</t>
        </is>
      </c>
      <c r="C2" t="inlineStr">
        <is>
          <t>44</t>
        </is>
      </c>
      <c r="D2" s="6" t="n">
        <v>106</v>
      </c>
      <c r="E2" s="7" t="n">
        <v>0</v>
      </c>
      <c r="F2" s="6" t="n">
        <v>265</v>
      </c>
      <c r="G2" s="7" t="n">
        <v>0.1</v>
      </c>
      <c r="H2" s="6" t="n">
        <v>-159</v>
      </c>
      <c r="I2" t="inlineStr">
        <is>
          <t>Comcast</t>
        </is>
      </c>
      <c r="J2" s="6" t="n">
        <v>530201</v>
      </c>
      <c r="K2" t="inlineStr">
        <is>
          <t>Yes</t>
        </is>
      </c>
      <c r="L2" t="inlineStr">
        <is>
          <t>Yes</t>
        </is>
      </c>
      <c r="M2" t="inlineStr">
        <is>
          <t>https://broadbandmap.fcc.gov/data-download</t>
        </is>
      </c>
    </row>
    <row r="3">
      <c r="A3" t="inlineStr">
        <is>
          <t>Arizona</t>
        </is>
      </c>
      <c r="B3" t="inlineStr">
        <is>
          <t>AZ</t>
        </is>
      </c>
      <c r="C3" t="inlineStr">
        <is>
          <t>04</t>
        </is>
      </c>
      <c r="D3" s="6" t="n">
        <v>94903</v>
      </c>
      <c r="E3" s="7" t="n">
        <v>2.6</v>
      </c>
      <c r="F3" s="6" t="n">
        <v>186210</v>
      </c>
      <c r="G3" s="7" t="n">
        <v>5.2</v>
      </c>
      <c r="H3" s="6" t="n">
        <v>-91307</v>
      </c>
      <c r="I3" t="inlineStr">
        <is>
          <t>Comcast</t>
        </is>
      </c>
      <c r="J3" s="6" t="n">
        <v>3594796</v>
      </c>
      <c r="K3" t="inlineStr">
        <is>
          <t>Yes</t>
        </is>
      </c>
      <c r="L3" t="inlineStr">
        <is>
          <t>Yes</t>
        </is>
      </c>
      <c r="M3" t="inlineStr">
        <is>
          <t>https://broadbandmap.fcc.gov/data-download</t>
        </is>
      </c>
    </row>
    <row r="4">
      <c r="A4" t="inlineStr">
        <is>
          <t>Vermont</t>
        </is>
      </c>
      <c r="B4" t="inlineStr">
        <is>
          <t>VT</t>
        </is>
      </c>
      <c r="C4" t="inlineStr">
        <is>
          <t>50</t>
        </is>
      </c>
      <c r="D4" s="6" t="n">
        <v>22092</v>
      </c>
      <c r="E4" s="7" t="n">
        <v>5.9</v>
      </c>
      <c r="F4" s="6" t="n">
        <v>246531</v>
      </c>
      <c r="G4" s="7" t="n">
        <v>65.8</v>
      </c>
      <c r="H4" s="6" t="n">
        <v>-224439</v>
      </c>
      <c r="I4" t="inlineStr">
        <is>
          <t>Comcast</t>
        </is>
      </c>
      <c r="J4" s="6" t="n">
        <v>374439</v>
      </c>
      <c r="K4" t="inlineStr">
        <is>
          <t>Yes</t>
        </is>
      </c>
      <c r="L4" t="inlineStr">
        <is>
          <t>Yes</t>
        </is>
      </c>
      <c r="M4" t="inlineStr">
        <is>
          <t>https://broadbandmap.fcc.gov/data-download</t>
        </is>
      </c>
    </row>
    <row r="5">
      <c r="A5" t="inlineStr">
        <is>
          <t>West Virginia</t>
        </is>
      </c>
      <c r="B5" t="inlineStr">
        <is>
          <t>WV</t>
        </is>
      </c>
      <c r="C5" t="inlineStr">
        <is>
          <t>54</t>
        </is>
      </c>
      <c r="D5" s="6" t="n">
        <v>33378</v>
      </c>
      <c r="E5" s="7" t="n">
        <v>3.4</v>
      </c>
      <c r="F5" s="6" t="n">
        <v>288945</v>
      </c>
      <c r="G5" s="7" t="n">
        <v>29</v>
      </c>
      <c r="H5" s="6" t="n">
        <v>-255567</v>
      </c>
      <c r="I5" t="inlineStr">
        <is>
          <t>Comcast</t>
        </is>
      </c>
      <c r="J5" s="6" t="n">
        <v>996362</v>
      </c>
      <c r="K5" t="inlineStr">
        <is>
          <t>Yes</t>
        </is>
      </c>
      <c r="L5" t="inlineStr">
        <is>
          <t>Yes</t>
        </is>
      </c>
      <c r="M5" t="inlineStr">
        <is>
          <t>https://broadbandmap.fcc.gov/data-download</t>
        </is>
      </c>
    </row>
    <row r="6">
      <c r="A6" t="inlineStr">
        <is>
          <t>Arkansas</t>
        </is>
      </c>
      <c r="B6" t="inlineStr">
        <is>
          <t>AR</t>
        </is>
      </c>
      <c r="C6" t="inlineStr">
        <is>
          <t>05</t>
        </is>
      </c>
      <c r="F6" s="6" t="n">
        <v>262392</v>
      </c>
      <c r="G6" s="7" t="n">
        <v>16.3</v>
      </c>
      <c r="H6" s="6" t="n">
        <v>-262392</v>
      </c>
      <c r="I6" t="inlineStr">
        <is>
          <t>Comcast</t>
        </is>
      </c>
      <c r="J6" s="6" t="n">
        <v>1608780</v>
      </c>
      <c r="K6" t="inlineStr">
        <is>
          <t>No</t>
        </is>
      </c>
      <c r="L6" t="inlineStr">
        <is>
          <t>Yes</t>
        </is>
      </c>
      <c r="M6" t="inlineStr">
        <is>
          <t>https://broadbandmap.fcc.gov/data-download</t>
        </is>
      </c>
    </row>
    <row r="7">
      <c r="A7" t="inlineStr">
        <is>
          <t>District of Columbia</t>
        </is>
      </c>
      <c r="B7" t="inlineStr">
        <is>
          <t>DC</t>
        </is>
      </c>
      <c r="C7" t="inlineStr">
        <is>
          <t>11</t>
        </is>
      </c>
      <c r="F7" s="6" t="n">
        <v>380427</v>
      </c>
      <c r="G7" s="7" t="n">
        <v>98.59999999999999</v>
      </c>
      <c r="H7" s="6" t="n">
        <v>-380427</v>
      </c>
      <c r="I7" t="inlineStr">
        <is>
          <t>Comcast</t>
        </is>
      </c>
      <c r="J7" s="6" t="n">
        <v>385672</v>
      </c>
      <c r="K7" t="inlineStr">
        <is>
          <t>No</t>
        </is>
      </c>
      <c r="L7" t="inlineStr">
        <is>
          <t>Yes</t>
        </is>
      </c>
      <c r="M7" t="inlineStr">
        <is>
          <t>https://broadbandmap.fcc.gov/data-download</t>
        </is>
      </c>
    </row>
    <row r="8">
      <c r="A8" t="inlineStr">
        <is>
          <t>New Hampshire</t>
        </is>
      </c>
      <c r="B8" t="inlineStr">
        <is>
          <t>NH</t>
        </is>
      </c>
      <c r="C8" t="inlineStr">
        <is>
          <t>33</t>
        </is>
      </c>
      <c r="D8" s="6" t="n">
        <v>99798</v>
      </c>
      <c r="E8" s="7" t="n">
        <v>13.9</v>
      </c>
      <c r="F8" s="6" t="n">
        <v>503942</v>
      </c>
      <c r="G8" s="7" t="n">
        <v>70.2</v>
      </c>
      <c r="H8" s="6" t="n">
        <v>-404144</v>
      </c>
      <c r="I8" t="inlineStr">
        <is>
          <t>Comcast</t>
        </is>
      </c>
      <c r="J8" s="6" t="n">
        <v>717969</v>
      </c>
      <c r="K8" t="inlineStr">
        <is>
          <t>Yes</t>
        </is>
      </c>
      <c r="L8" t="inlineStr">
        <is>
          <t>Yes</t>
        </is>
      </c>
      <c r="M8" t="inlineStr">
        <is>
          <t>https://broadbandmap.fcc.gov/data-download</t>
        </is>
      </c>
    </row>
    <row r="9">
      <c r="A9" t="inlineStr">
        <is>
          <t>Delaware</t>
        </is>
      </c>
      <c r="B9" t="inlineStr">
        <is>
          <t>DE</t>
        </is>
      </c>
      <c r="C9" t="inlineStr">
        <is>
          <t>10</t>
        </is>
      </c>
      <c r="F9" s="6" t="n">
        <v>419605</v>
      </c>
      <c r="G9" s="7" t="n">
        <v>82.09999999999999</v>
      </c>
      <c r="H9" s="6" t="n">
        <v>-419605</v>
      </c>
      <c r="I9" t="inlineStr">
        <is>
          <t>Comcast</t>
        </is>
      </c>
      <c r="J9" s="6" t="n">
        <v>511215</v>
      </c>
      <c r="K9" t="inlineStr">
        <is>
          <t>No</t>
        </is>
      </c>
      <c r="L9" t="inlineStr">
        <is>
          <t>Yes</t>
        </is>
      </c>
      <c r="M9" t="inlineStr">
        <is>
          <t>https://broadbandmap.fcc.gov/data-download</t>
        </is>
      </c>
    </row>
    <row r="10">
      <c r="A10" t="inlineStr">
        <is>
          <t>Mississippi</t>
        </is>
      </c>
      <c r="B10" t="inlineStr">
        <is>
          <t>MS</t>
        </is>
      </c>
      <c r="C10" t="inlineStr">
        <is>
          <t>28</t>
        </is>
      </c>
      <c r="D10" s="6" t="n">
        <v>17742</v>
      </c>
      <c r="E10" s="7" t="n">
        <v>1.1</v>
      </c>
      <c r="F10" s="6" t="n">
        <v>470167</v>
      </c>
      <c r="G10" s="7" t="n">
        <v>29.1</v>
      </c>
      <c r="H10" s="6" t="n">
        <v>-452425</v>
      </c>
      <c r="I10" t="inlineStr">
        <is>
          <t>Comcast</t>
        </is>
      </c>
      <c r="J10" s="6" t="n">
        <v>1612924</v>
      </c>
      <c r="K10" t="inlineStr">
        <is>
          <t>Yes</t>
        </is>
      </c>
      <c r="L10" t="inlineStr">
        <is>
          <t>Yes</t>
        </is>
      </c>
      <c r="M10" t="inlineStr">
        <is>
          <t>https://broadbandmap.fcc.gov/data-download</t>
        </is>
      </c>
    </row>
    <row r="11">
      <c r="A11" t="inlineStr">
        <is>
          <t>New Mexico</t>
        </is>
      </c>
      <c r="B11" t="inlineStr">
        <is>
          <t>NM</t>
        </is>
      </c>
      <c r="C11" t="inlineStr">
        <is>
          <t>35</t>
        </is>
      </c>
      <c r="D11" s="6" t="n">
        <v>14165</v>
      </c>
      <c r="E11" s="7" t="n">
        <v>1.3</v>
      </c>
      <c r="F11" s="6" t="n">
        <v>628976</v>
      </c>
      <c r="G11" s="7" t="n">
        <v>58.2</v>
      </c>
      <c r="H11" s="6" t="n">
        <v>-614811</v>
      </c>
      <c r="I11" t="inlineStr">
        <is>
          <t>Comcast</t>
        </is>
      </c>
      <c r="J11" s="6" t="n">
        <v>1081272</v>
      </c>
      <c r="K11" t="inlineStr">
        <is>
          <t>Yes</t>
        </is>
      </c>
      <c r="L11" t="inlineStr">
        <is>
          <t>Yes</t>
        </is>
      </c>
      <c r="M11" t="inlineStr">
        <is>
          <t>https://broadbandmap.fcc.gov/data-download</t>
        </is>
      </c>
    </row>
    <row r="12">
      <c r="A12" t="inlineStr">
        <is>
          <t>Minnesota</t>
        </is>
      </c>
      <c r="B12" t="inlineStr">
        <is>
          <t>MN</t>
        </is>
      </c>
      <c r="C12" t="inlineStr">
        <is>
          <t>27</t>
        </is>
      </c>
      <c r="D12" s="6" t="n">
        <v>496591</v>
      </c>
      <c r="E12" s="7" t="n">
        <v>17.4</v>
      </c>
      <c r="F12" s="6" t="n">
        <v>1251466</v>
      </c>
      <c r="G12" s="7" t="n">
        <v>43.9</v>
      </c>
      <c r="H12" s="6" t="n">
        <v>-754875</v>
      </c>
      <c r="I12" t="inlineStr">
        <is>
          <t>Comcast</t>
        </is>
      </c>
      <c r="J12" s="6" t="n">
        <v>2853970</v>
      </c>
      <c r="K12" t="inlineStr">
        <is>
          <t>Yes</t>
        </is>
      </c>
      <c r="L12" t="inlineStr">
        <is>
          <t>Yes</t>
        </is>
      </c>
      <c r="M12" t="inlineStr">
        <is>
          <t>https://broadbandmap.fcc.gov/data-download</t>
        </is>
      </c>
    </row>
    <row r="13">
      <c r="A13" t="inlineStr">
        <is>
          <t>Oregon</t>
        </is>
      </c>
      <c r="B13" t="inlineStr">
        <is>
          <t>OR</t>
        </is>
      </c>
      <c r="C13" t="inlineStr">
        <is>
          <t>41</t>
        </is>
      </c>
      <c r="D13" s="6" t="n">
        <v>429744</v>
      </c>
      <c r="E13" s="7" t="n">
        <v>20.7</v>
      </c>
      <c r="F13" s="6" t="n">
        <v>1201997</v>
      </c>
      <c r="G13" s="7" t="n">
        <v>58</v>
      </c>
      <c r="H13" s="6" t="n">
        <v>-772253</v>
      </c>
      <c r="I13" t="inlineStr">
        <is>
          <t>Comcast</t>
        </is>
      </c>
      <c r="J13" s="6" t="n">
        <v>2072052</v>
      </c>
      <c r="K13" t="inlineStr">
        <is>
          <t>Yes</t>
        </is>
      </c>
      <c r="L13" t="inlineStr">
        <is>
          <t>Yes</t>
        </is>
      </c>
      <c r="M13" t="inlineStr">
        <is>
          <t>https://broadbandmap.fcc.gov/data-download</t>
        </is>
      </c>
    </row>
    <row r="14">
      <c r="A14" t="inlineStr">
        <is>
          <t>Connecticut</t>
        </is>
      </c>
      <c r="B14" t="inlineStr">
        <is>
          <t>CT</t>
        </is>
      </c>
      <c r="C14" t="inlineStr">
        <is>
          <t>09</t>
        </is>
      </c>
      <c r="D14" s="6" t="n">
        <v>148317</v>
      </c>
      <c r="E14" s="7" t="n">
        <v>8.9</v>
      </c>
      <c r="F14" s="6" t="n">
        <v>1055159</v>
      </c>
      <c r="G14" s="7" t="n">
        <v>63.5</v>
      </c>
      <c r="H14" s="6" t="n">
        <v>-906842</v>
      </c>
      <c r="I14" t="inlineStr">
        <is>
          <t>Comcast</t>
        </is>
      </c>
      <c r="J14" s="6" t="n">
        <v>1660883</v>
      </c>
      <c r="K14" t="inlineStr">
        <is>
          <t>Yes</t>
        </is>
      </c>
      <c r="L14" t="inlineStr">
        <is>
          <t>Yes</t>
        </is>
      </c>
      <c r="M14" t="inlineStr">
        <is>
          <t>https://broadbandmap.fcc.gov/data-download</t>
        </is>
      </c>
    </row>
    <row r="15">
      <c r="A15" t="inlineStr">
        <is>
          <t>Tennessee</t>
        </is>
      </c>
      <c r="B15" t="inlineStr">
        <is>
          <t>TN</t>
        </is>
      </c>
      <c r="C15" t="inlineStr">
        <is>
          <t>47</t>
        </is>
      </c>
      <c r="D15" s="6" t="n">
        <v>988389</v>
      </c>
      <c r="E15" s="7" t="n">
        <v>28</v>
      </c>
      <c r="F15" s="6" t="n">
        <v>1954210</v>
      </c>
      <c r="G15" s="7" t="n">
        <v>55.4</v>
      </c>
      <c r="H15" s="6" t="n">
        <v>-965821</v>
      </c>
      <c r="I15" t="inlineStr">
        <is>
          <t>Comcast</t>
        </is>
      </c>
      <c r="J15" s="6" t="n">
        <v>3526181</v>
      </c>
      <c r="K15" t="inlineStr">
        <is>
          <t>Yes</t>
        </is>
      </c>
      <c r="L15" t="inlineStr">
        <is>
          <t>Yes</t>
        </is>
      </c>
      <c r="M15" t="inlineStr">
        <is>
          <t>https://broadbandmap.fcc.gov/data-download</t>
        </is>
      </c>
    </row>
    <row r="16">
      <c r="A16" t="inlineStr">
        <is>
          <t>Utah</t>
        </is>
      </c>
      <c r="B16" t="inlineStr">
        <is>
          <t>UT</t>
        </is>
      </c>
      <c r="C16" t="inlineStr">
        <is>
          <t>49</t>
        </is>
      </c>
      <c r="F16" s="6" t="n">
        <v>1078558</v>
      </c>
      <c r="G16" s="7" t="n">
        <v>76.7</v>
      </c>
      <c r="H16" s="6" t="n">
        <v>-1078558</v>
      </c>
      <c r="I16" t="inlineStr">
        <is>
          <t>Comcast</t>
        </is>
      </c>
      <c r="J16" s="6" t="n">
        <v>1405470</v>
      </c>
      <c r="K16" t="inlineStr">
        <is>
          <t>No</t>
        </is>
      </c>
      <c r="L16" t="inlineStr">
        <is>
          <t>Yes</t>
        </is>
      </c>
      <c r="M16" t="inlineStr">
        <is>
          <t>https://broadbandmap.fcc.gov/data-download</t>
        </is>
      </c>
    </row>
    <row r="17">
      <c r="A17" t="inlineStr">
        <is>
          <t>Indiana</t>
        </is>
      </c>
      <c r="B17" t="inlineStr">
        <is>
          <t>IN</t>
        </is>
      </c>
      <c r="C17" t="inlineStr">
        <is>
          <t>18</t>
        </is>
      </c>
      <c r="D17" s="6" t="n">
        <v>699558</v>
      </c>
      <c r="E17" s="7" t="n">
        <v>21.1</v>
      </c>
      <c r="F17" s="6" t="n">
        <v>1936242</v>
      </c>
      <c r="G17" s="7" t="n">
        <v>58.3</v>
      </c>
      <c r="H17" s="6" t="n">
        <v>-1236684</v>
      </c>
      <c r="I17" t="inlineStr">
        <is>
          <t>Comcast</t>
        </is>
      </c>
      <c r="J17" s="6" t="n">
        <v>3321739</v>
      </c>
      <c r="K17" t="inlineStr">
        <is>
          <t>Yes</t>
        </is>
      </c>
      <c r="L17" t="inlineStr">
        <is>
          <t>Yes</t>
        </is>
      </c>
      <c r="M17" t="inlineStr">
        <is>
          <t>https://broadbandmap.fcc.gov/data-download</t>
        </is>
      </c>
    </row>
    <row r="18">
      <c r="A18" t="inlineStr">
        <is>
          <t>Michigan</t>
        </is>
      </c>
      <c r="B18" t="inlineStr">
        <is>
          <t>MI</t>
        </is>
      </c>
      <c r="C18" t="inlineStr">
        <is>
          <t>26</t>
        </is>
      </c>
      <c r="D18" s="6" t="n">
        <v>1312548</v>
      </c>
      <c r="E18" s="7" t="n">
        <v>25.9</v>
      </c>
      <c r="F18" s="6" t="n">
        <v>2945008</v>
      </c>
      <c r="G18" s="7" t="n">
        <v>58.2</v>
      </c>
      <c r="H18" s="6" t="n">
        <v>-1632460</v>
      </c>
      <c r="I18" t="inlineStr">
        <is>
          <t>Comcast</t>
        </is>
      </c>
      <c r="J18" s="6" t="n">
        <v>5061891</v>
      </c>
      <c r="K18" t="inlineStr">
        <is>
          <t>Yes</t>
        </is>
      </c>
      <c r="L18" t="inlineStr">
        <is>
          <t>Yes</t>
        </is>
      </c>
      <c r="M18" t="inlineStr">
        <is>
          <t>https://broadbandmap.fcc.gov/data-download</t>
        </is>
      </c>
    </row>
    <row r="19">
      <c r="A19" t="inlineStr">
        <is>
          <t>Virginia</t>
        </is>
      </c>
      <c r="B19" t="inlineStr">
        <is>
          <t>VA</t>
        </is>
      </c>
      <c r="C19" t="inlineStr">
        <is>
          <t>51</t>
        </is>
      </c>
      <c r="D19" s="6" t="n">
        <v>133546</v>
      </c>
      <c r="E19" s="7" t="n">
        <v>3.3</v>
      </c>
      <c r="F19" s="6" t="n">
        <v>1891293</v>
      </c>
      <c r="G19" s="7" t="n">
        <v>46.3</v>
      </c>
      <c r="H19" s="6" t="n">
        <v>-1757747</v>
      </c>
      <c r="I19" t="inlineStr">
        <is>
          <t>Comcast</t>
        </is>
      </c>
      <c r="J19" s="6" t="n">
        <v>4083985</v>
      </c>
      <c r="K19" t="inlineStr">
        <is>
          <t>Yes</t>
        </is>
      </c>
      <c r="L19" t="inlineStr">
        <is>
          <t>Yes</t>
        </is>
      </c>
      <c r="M19" t="inlineStr">
        <is>
          <t>https://broadbandmap.fcc.gov/data-download</t>
        </is>
      </c>
    </row>
    <row r="20">
      <c r="A20" t="inlineStr">
        <is>
          <t>Florida</t>
        </is>
      </c>
      <c r="B20" t="inlineStr">
        <is>
          <t>FL</t>
        </is>
      </c>
      <c r="C20" t="inlineStr">
        <is>
          <t>12</t>
        </is>
      </c>
      <c r="D20" s="6" t="n">
        <v>4148992</v>
      </c>
      <c r="E20" s="7" t="n">
        <v>36.1</v>
      </c>
      <c r="F20" s="6" t="n">
        <v>6004849</v>
      </c>
      <c r="G20" s="7" t="n">
        <v>52.3</v>
      </c>
      <c r="H20" s="6" t="n">
        <v>-1855857</v>
      </c>
      <c r="I20" t="inlineStr">
        <is>
          <t>Comcast</t>
        </is>
      </c>
      <c r="J20" s="6" t="n">
        <v>11477157</v>
      </c>
      <c r="K20" t="inlineStr">
        <is>
          <t>Yes</t>
        </is>
      </c>
      <c r="L20" t="inlineStr">
        <is>
          <t>Yes</t>
        </is>
      </c>
      <c r="M20" t="inlineStr">
        <is>
          <t>https://broadbandmap.fcc.gov/data-download</t>
        </is>
      </c>
    </row>
    <row r="21">
      <c r="A21" t="inlineStr">
        <is>
          <t>Georgia</t>
        </is>
      </c>
      <c r="B21" t="inlineStr">
        <is>
          <t>GA</t>
        </is>
      </c>
      <c r="C21" t="inlineStr">
        <is>
          <t>13</t>
        </is>
      </c>
      <c r="D21" s="6" t="n">
        <v>859861</v>
      </c>
      <c r="E21" s="7" t="n">
        <v>16.9</v>
      </c>
      <c r="F21" s="6" t="n">
        <v>2916314</v>
      </c>
      <c r="G21" s="7" t="n">
        <v>57.4</v>
      </c>
      <c r="H21" s="6" t="n">
        <v>-2056453</v>
      </c>
      <c r="I21" t="inlineStr">
        <is>
          <t>Comcast</t>
        </is>
      </c>
      <c r="J21" s="6" t="n">
        <v>5078917</v>
      </c>
      <c r="K21" t="inlineStr">
        <is>
          <t>Yes</t>
        </is>
      </c>
      <c r="L21" t="inlineStr">
        <is>
          <t>Yes</t>
        </is>
      </c>
      <c r="M21" t="inlineStr">
        <is>
          <t>https://broadbandmap.fcc.gov/data-download</t>
        </is>
      </c>
    </row>
    <row r="22">
      <c r="A22" t="inlineStr">
        <is>
          <t>Colorado</t>
        </is>
      </c>
      <c r="B22" t="inlineStr">
        <is>
          <t>CO</t>
        </is>
      </c>
      <c r="C22" t="inlineStr">
        <is>
          <t>08</t>
        </is>
      </c>
      <c r="D22" s="6" t="n">
        <v>181782</v>
      </c>
      <c r="E22" s="7" t="n">
        <v>6.3</v>
      </c>
      <c r="F22" s="6" t="n">
        <v>2275168</v>
      </c>
      <c r="G22" s="7" t="n">
        <v>78.59999999999999</v>
      </c>
      <c r="H22" s="6" t="n">
        <v>-2093386</v>
      </c>
      <c r="I22" t="inlineStr">
        <is>
          <t>Comcast</t>
        </is>
      </c>
      <c r="J22" s="6" t="n">
        <v>2894616</v>
      </c>
      <c r="K22" t="inlineStr">
        <is>
          <t>Yes</t>
        </is>
      </c>
      <c r="L22" t="inlineStr">
        <is>
          <t>Yes</t>
        </is>
      </c>
      <c r="M22" t="inlineStr">
        <is>
          <t>https://broadbandmap.fcc.gov/data-download</t>
        </is>
      </c>
    </row>
    <row r="23">
      <c r="A23" t="inlineStr">
        <is>
          <t>New Jersey</t>
        </is>
      </c>
      <c r="B23" t="inlineStr">
        <is>
          <t>NJ</t>
        </is>
      </c>
      <c r="C23" t="inlineStr">
        <is>
          <t>34</t>
        </is>
      </c>
      <c r="D23" s="6" t="n">
        <v>91648</v>
      </c>
      <c r="E23" s="7" t="n">
        <v>2.2</v>
      </c>
      <c r="F23" s="6" t="n">
        <v>2387411</v>
      </c>
      <c r="G23" s="7" t="n">
        <v>57.6</v>
      </c>
      <c r="H23" s="6" t="n">
        <v>-2295763</v>
      </c>
      <c r="I23" t="inlineStr">
        <is>
          <t>Comcast</t>
        </is>
      </c>
      <c r="J23" s="6" t="n">
        <v>4146970</v>
      </c>
      <c r="K23" t="inlineStr">
        <is>
          <t>Yes</t>
        </is>
      </c>
      <c r="L23" t="inlineStr">
        <is>
          <t>Yes</t>
        </is>
      </c>
      <c r="M23" t="inlineStr">
        <is>
          <t>https://broadbandmap.fcc.gov/data-download</t>
        </is>
      </c>
    </row>
    <row r="24">
      <c r="A24" t="inlineStr">
        <is>
          <t>Washington</t>
        </is>
      </c>
      <c r="B24" t="inlineStr">
        <is>
          <t>WA</t>
        </is>
      </c>
      <c r="C24" t="inlineStr">
        <is>
          <t>53</t>
        </is>
      </c>
      <c r="D24" s="6" t="n">
        <v>317027</v>
      </c>
      <c r="E24" s="7" t="n">
        <v>8.6</v>
      </c>
      <c r="F24" s="6" t="n">
        <v>2666565</v>
      </c>
      <c r="G24" s="7" t="n">
        <v>72.40000000000001</v>
      </c>
      <c r="H24" s="6" t="n">
        <v>-2349538</v>
      </c>
      <c r="I24" t="inlineStr">
        <is>
          <t>Comcast</t>
        </is>
      </c>
      <c r="J24" s="6" t="n">
        <v>3682084</v>
      </c>
      <c r="K24" t="inlineStr">
        <is>
          <t>Yes</t>
        </is>
      </c>
      <c r="L24" t="inlineStr">
        <is>
          <t>Yes</t>
        </is>
      </c>
      <c r="M24" t="inlineStr">
        <is>
          <t>https://broadbandmap.fcc.gov/data-download</t>
        </is>
      </c>
    </row>
    <row r="25">
      <c r="A25" t="inlineStr">
        <is>
          <t>Massachusetts</t>
        </is>
      </c>
      <c r="B25" t="inlineStr">
        <is>
          <t>MA</t>
        </is>
      </c>
      <c r="C25" t="inlineStr">
        <is>
          <t>25</t>
        </is>
      </c>
      <c r="D25" s="6" t="n">
        <v>412202</v>
      </c>
      <c r="E25" s="7" t="n">
        <v>12.4</v>
      </c>
      <c r="F25" s="6" t="n">
        <v>2861422</v>
      </c>
      <c r="G25" s="7" t="n">
        <v>85.90000000000001</v>
      </c>
      <c r="H25" s="6" t="n">
        <v>-2449220</v>
      </c>
      <c r="I25" t="inlineStr">
        <is>
          <t>Comcast</t>
        </is>
      </c>
      <c r="J25" s="6" t="n">
        <v>3332272</v>
      </c>
      <c r="K25" t="inlineStr">
        <is>
          <t>Yes</t>
        </is>
      </c>
      <c r="L25" t="inlineStr">
        <is>
          <t>Yes</t>
        </is>
      </c>
      <c r="M25" t="inlineStr">
        <is>
          <t>https://broadbandmap.fcc.gov/data-download</t>
        </is>
      </c>
    </row>
    <row r="26">
      <c r="A26" t="inlineStr">
        <is>
          <t>Maryland</t>
        </is>
      </c>
      <c r="B26" t="inlineStr">
        <is>
          <t>MD</t>
        </is>
      </c>
      <c r="C26" t="inlineStr">
        <is>
          <t>24</t>
        </is>
      </c>
      <c r="D26" s="6" t="n">
        <v>4407</v>
      </c>
      <c r="E26" s="7" t="n">
        <v>0.2</v>
      </c>
      <c r="F26" s="6" t="n">
        <v>2463446</v>
      </c>
      <c r="G26" s="7" t="n">
        <v>89.40000000000001</v>
      </c>
      <c r="H26" s="6" t="n">
        <v>-2459039</v>
      </c>
      <c r="I26" t="inlineStr">
        <is>
          <t>Comcast</t>
        </is>
      </c>
      <c r="J26" s="6" t="n">
        <v>2754300</v>
      </c>
      <c r="K26" t="inlineStr">
        <is>
          <t>Yes</t>
        </is>
      </c>
      <c r="L26" t="inlineStr">
        <is>
          <t>Yes</t>
        </is>
      </c>
      <c r="M26" t="inlineStr">
        <is>
          <t>https://broadbandmap.fcc.gov/data-download</t>
        </is>
      </c>
    </row>
    <row r="27">
      <c r="A27" t="inlineStr">
        <is>
          <t>Illinois</t>
        </is>
      </c>
      <c r="B27" t="inlineStr">
        <is>
          <t>IL</t>
        </is>
      </c>
      <c r="C27" t="inlineStr">
        <is>
          <t>17</t>
        </is>
      </c>
      <c r="D27" s="6" t="n">
        <v>297963</v>
      </c>
      <c r="E27" s="7" t="n">
        <v>4.9</v>
      </c>
      <c r="F27" s="6" t="n">
        <v>4564524</v>
      </c>
      <c r="G27" s="7" t="n">
        <v>75.40000000000001</v>
      </c>
      <c r="H27" s="6" t="n">
        <v>-4266561</v>
      </c>
      <c r="I27" t="inlineStr">
        <is>
          <t>Comcast</t>
        </is>
      </c>
      <c r="J27" s="6" t="n">
        <v>6056155</v>
      </c>
      <c r="K27" t="inlineStr">
        <is>
          <t>Yes</t>
        </is>
      </c>
      <c r="L27" t="inlineStr">
        <is>
          <t>Yes</t>
        </is>
      </c>
      <c r="M27" t="inlineStr">
        <is>
          <t>https://broadbandmap.fcc.gov/data-download</t>
        </is>
      </c>
    </row>
    <row r="28">
      <c r="A28" t="inlineStr">
        <is>
          <t>Pennsylvania</t>
        </is>
      </c>
      <c r="B28" t="inlineStr">
        <is>
          <t>PA</t>
        </is>
      </c>
      <c r="C28" t="inlineStr">
        <is>
          <t>42</t>
        </is>
      </c>
      <c r="D28" s="6" t="n">
        <v>176083</v>
      </c>
      <c r="E28" s="7" t="n">
        <v>2.8</v>
      </c>
      <c r="F28" s="6" t="n">
        <v>4533021</v>
      </c>
      <c r="G28" s="7" t="n">
        <v>71.3</v>
      </c>
      <c r="H28" s="6" t="n">
        <v>-4356938</v>
      </c>
      <c r="I28" t="inlineStr">
        <is>
          <t>Comcast</t>
        </is>
      </c>
      <c r="J28" s="6" t="n">
        <v>6356781</v>
      </c>
      <c r="K28" t="inlineStr">
        <is>
          <t>Yes</t>
        </is>
      </c>
      <c r="L28" t="inlineStr">
        <is>
          <t>Yes</t>
        </is>
      </c>
      <c r="M28" t="inlineStr">
        <is>
          <t>https://broadbandmap.fcc.gov/data-download</t>
        </is>
      </c>
    </row>
  </sheetData>
  <autoFilter ref="A1:M2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4.5"/>
  <cols>
    <col width="22" customWidth="1" style="34" min="1" max="1"/>
    <col width="8" customWidth="1" style="34" min="2" max="3"/>
    <col width="22" customWidth="1" style="34" min="4" max="4"/>
    <col width="24" customWidth="1" style="34" min="5" max="5"/>
    <col width="22" customWidth="1" style="34" min="6" max="6"/>
    <col width="24" customWidth="1" style="34" min="7" max="7"/>
    <col width="30" customWidth="1" style="34" min="8" max="8"/>
    <col width="12" customWidth="1" style="34" min="9" max="9"/>
    <col width="26" customWidth="1" style="34" min="10" max="10"/>
    <col width="14" customWidth="1" style="34" min="11" max="11"/>
    <col width="16" customWidth="1" style="34" min="12" max="12"/>
    <col width="48" customWidth="1" style="34" min="13" max="13"/>
  </cols>
  <sheetData>
    <row r="1" ht="29" customHeight="1" s="34">
      <c r="A1" s="3" t="inlineStr">
        <is>
          <t>State</t>
        </is>
      </c>
      <c r="B1" s="3" t="inlineStr">
        <is>
          <t>Abbr</t>
        </is>
      </c>
      <c r="C1" s="3" t="inlineStr">
        <is>
          <t>FIPS</t>
        </is>
      </c>
      <c r="D1" s="3" t="inlineStr">
        <is>
          <t>Charter estimated units</t>
        </is>
      </c>
      <c r="E1" s="3" t="inlineStr">
        <is>
          <t>Charter share of fabric (%)</t>
        </is>
      </c>
      <c r="F1" s="3" t="inlineStr">
        <is>
          <t>Comcast estimated units</t>
        </is>
      </c>
      <c r="G1" s="3" t="inlineStr">
        <is>
          <t>Comcast share of fabric (%)</t>
        </is>
      </c>
      <c r="H1" s="3" t="inlineStr">
        <is>
          <t>Margin (Charter − Comcast units)</t>
        </is>
      </c>
      <c r="I1" s="3" t="inlineStr">
        <is>
          <t>Leader</t>
        </is>
      </c>
      <c r="J1" s="3" t="inlineStr">
        <is>
          <t>State residential fabric units</t>
        </is>
      </c>
      <c r="K1" s="3" t="inlineStr">
        <is>
          <t>Charter present</t>
        </is>
      </c>
      <c r="L1" s="3" t="inlineStr">
        <is>
          <t>Comcast present</t>
        </is>
      </c>
      <c r="M1" s="3" t="inlineStr">
        <is>
          <t>Source URL</t>
        </is>
      </c>
    </row>
    <row r="2">
      <c r="A2" t="inlineStr">
        <is>
          <t>Alaska</t>
        </is>
      </c>
      <c r="B2" t="inlineStr">
        <is>
          <t>AK</t>
        </is>
      </c>
      <c r="C2" t="inlineStr">
        <is>
          <t>02</t>
        </is>
      </c>
      <c r="H2" s="6" t="n">
        <v>0</v>
      </c>
      <c r="I2" t="inlineStr">
        <is>
          <t>Neither</t>
        </is>
      </c>
      <c r="J2" s="6" t="n">
        <v>383830</v>
      </c>
      <c r="K2" t="inlineStr">
        <is>
          <t>No</t>
        </is>
      </c>
      <c r="L2" t="inlineStr">
        <is>
          <t>No</t>
        </is>
      </c>
      <c r="M2" t="inlineStr">
        <is>
          <t>https://broadbandmap.fcc.gov/data-download</t>
        </is>
      </c>
    </row>
    <row r="3">
      <c r="A3" t="inlineStr">
        <is>
          <t>Iowa</t>
        </is>
      </c>
      <c r="B3" t="inlineStr">
        <is>
          <t>IA</t>
        </is>
      </c>
      <c r="C3" t="inlineStr">
        <is>
          <t>19</t>
        </is>
      </c>
      <c r="H3" s="6" t="n">
        <v>0</v>
      </c>
      <c r="I3" t="inlineStr">
        <is>
          <t>Neither</t>
        </is>
      </c>
      <c r="J3" s="6" t="n">
        <v>1661913</v>
      </c>
      <c r="K3" t="inlineStr">
        <is>
          <t>No</t>
        </is>
      </c>
      <c r="L3" t="inlineStr">
        <is>
          <t>No</t>
        </is>
      </c>
      <c r="M3" t="inlineStr">
        <is>
          <t>https://broadbandmap.fcc.gov/data-download</t>
        </is>
      </c>
    </row>
    <row r="4">
      <c r="A4" t="inlineStr">
        <is>
          <t>North Dakota</t>
        </is>
      </c>
      <c r="B4" t="inlineStr">
        <is>
          <t>ND</t>
        </is>
      </c>
      <c r="C4" t="inlineStr">
        <is>
          <t>38</t>
        </is>
      </c>
      <c r="H4" s="6" t="n">
        <v>0</v>
      </c>
      <c r="I4" t="inlineStr">
        <is>
          <t>Neither</t>
        </is>
      </c>
      <c r="J4" s="6" t="n">
        <v>452871</v>
      </c>
      <c r="K4" t="inlineStr">
        <is>
          <t>No</t>
        </is>
      </c>
      <c r="L4" t="inlineStr">
        <is>
          <t>No</t>
        </is>
      </c>
      <c r="M4" t="inlineStr">
        <is>
          <t>https://broadbandmap.fcc.gov/data-download</t>
        </is>
      </c>
    </row>
    <row r="5">
      <c r="A5" t="inlineStr">
        <is>
          <t>Oklahoma</t>
        </is>
      </c>
      <c r="B5" t="inlineStr">
        <is>
          <t>OK</t>
        </is>
      </c>
      <c r="C5" t="inlineStr">
        <is>
          <t>40</t>
        </is>
      </c>
      <c r="H5" s="6" t="n">
        <v>0</v>
      </c>
      <c r="I5" t="inlineStr">
        <is>
          <t>Neither</t>
        </is>
      </c>
      <c r="J5" s="6" t="n">
        <v>2056192</v>
      </c>
      <c r="K5" t="inlineStr">
        <is>
          <t>No</t>
        </is>
      </c>
      <c r="L5" t="inlineStr">
        <is>
          <t>No</t>
        </is>
      </c>
      <c r="M5" t="inlineStr">
        <is>
          <t>https://broadbandmap.fcc.gov/data-download</t>
        </is>
      </c>
    </row>
    <row r="6">
      <c r="A6" t="inlineStr">
        <is>
          <t>South Dakota</t>
        </is>
      </c>
      <c r="B6" t="inlineStr">
        <is>
          <t>SD</t>
        </is>
      </c>
      <c r="C6" t="inlineStr">
        <is>
          <t>46</t>
        </is>
      </c>
      <c r="H6" s="6" t="n">
        <v>0</v>
      </c>
      <c r="I6" t="inlineStr">
        <is>
          <t>Neither</t>
        </is>
      </c>
      <c r="J6" s="6" t="n">
        <v>498516</v>
      </c>
      <c r="K6" t="inlineStr">
        <is>
          <t>No</t>
        </is>
      </c>
      <c r="L6" t="inlineStr">
        <is>
          <t>No</t>
        </is>
      </c>
      <c r="M6" t="inlineStr">
        <is>
          <t>https://broadbandmap.fcc.gov/data-download</t>
        </is>
      </c>
    </row>
  </sheetData>
  <autoFilter ref="A1:M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4.5"/>
  <cols>
    <col width="36" customWidth="1" style="34" min="1" max="1"/>
    <col width="110" customWidth="1" style="34" min="2" max="2"/>
  </cols>
  <sheetData>
    <row r="1" ht="22" customHeight="1" s="34">
      <c r="A1" s="35" t="inlineStr">
        <is>
          <t>State + region density maps — EH&amp;B diagnostic (not a recommendation)</t>
        </is>
      </c>
    </row>
    <row r="3" ht="36" customHeight="1" s="34">
      <c r="A3" s="13" t="inlineStr">
        <is>
          <t>What this is</t>
        </is>
      </c>
      <c r="B3" s="14" t="inlineStr">
        <is>
          <t>State-level density of three already-retrieved EH&amp;B inputs, rolled to Census division and region. No TAM. No launch rec. No metro operator share.</t>
        </is>
      </c>
    </row>
    <row r="4" ht="36" customHeight="1" s="34">
      <c r="A4" s="13" t="inlineStr">
        <is>
          <t>What this is not</t>
        </is>
      </c>
      <c r="B4" s="14" t="inlineStr">
        <is>
          <t>Not subscriber share. Not Form 477. Not ATUS or ABS WFH. Not a new Census vintage. Not a recommendation.</t>
        </is>
      </c>
    </row>
    <row r="6" ht="36" customHeight="1" s="34">
      <c r="A6" s="13" t="inlineStr">
        <is>
          <t>A. Charter vs Comcast</t>
        </is>
      </c>
      <c r="B6" s="14" t="inlineStr">
        <is>
          <t>FCC BDC D25 residential location availability (res_st_pct). Leader = strictly larger res_st_pct. Missing provider row = absent. Estimated units = res_st_pct × fabric units. Origin: RETRIEVED.</t>
        </is>
      </c>
    </row>
    <row r="7" ht="36" customHeight="1" s="34">
      <c r="A7" s="13" t="inlineStr">
        <is>
          <t>B. Work-from-home</t>
        </is>
      </c>
      <c r="B7" s="14" t="inlineStr">
        <is>
          <t>ACS 2024 B08301 usually worked from home, workers 16+. State WFH = ACS only. Division/region rates are worker-weighted (sum WFH / sum workers). Origin: RETRIEVED.</t>
        </is>
      </c>
    </row>
    <row r="8" ht="36" customHeight="1" s="34">
      <c r="A8" s="13" t="inlineStr">
        <is>
          <t>C. Large-firm density</t>
        </is>
      </c>
      <c r="B8" s="14" t="inlineStr">
        <is>
          <t>SUSB 2022 share of mid-March payroll employment at firms with 500+ employees (enterprise). Division/region shares are employment-weighted. Origin: RETRIEVED.</t>
        </is>
      </c>
    </row>
    <row r="9" ht="36" customHeight="1" s="34">
      <c r="A9" s="13" t="inlineStr">
        <is>
          <t>D. Combined table</t>
        </is>
      </c>
      <c r="B9" s="14" t="inlineStr">
        <is>
          <t>One row per state: three metrics + division + Charter leader flag. Optional HYPOTHESIS score labeled as such.</t>
        </is>
      </c>
    </row>
    <row r="11" ht="36" customHeight="1" s="34">
      <c r="A11" s="13" t="inlineStr">
        <is>
          <t>HYPOTHESIS rule (not a recommendation)</t>
        </is>
      </c>
      <c r="B11" s="14" t="inlineStr">
        <is>
          <t>EH&amp;B-plausible = Charter-lead AND above-median ACS usual-WFH AND above-median SUSB 500+ employment share. Medians are unweighted across 51 states+DC. Show the rule; do not call it a recommendation.</t>
        </is>
      </c>
    </row>
    <row r="12" ht="18" customHeight="1" s="34">
      <c r="A12" s="13" t="inlineStr">
        <is>
          <t>Median ACS usual-WFH (51)</t>
        </is>
      </c>
      <c r="B12" s="14" t="n">
        <v>12.320286</v>
      </c>
    </row>
    <row r="13" ht="18" customHeight="1" s="34">
      <c r="A13" s="13" t="inlineStr">
        <is>
          <t>Median SUSB 500+ share (51)</t>
        </is>
      </c>
      <c r="B13" s="14" t="n">
        <v>52.501994</v>
      </c>
    </row>
    <row r="14" ht="18" customHeight="1" s="34">
      <c r="A14" s="13" t="inlineStr">
        <is>
          <t>States hitting EH&amp;B-plausible</t>
        </is>
      </c>
      <c r="B14" s="14" t="n">
        <v>3</v>
      </c>
    </row>
    <row r="15" ht="18" customHeight="1" s="34">
      <c r="A15" s="13" t="inlineStr">
        <is>
          <t>EH&amp;B-plausible states</t>
        </is>
      </c>
      <c r="B15" s="14" t="inlineStr">
        <is>
          <t>NC (North Carolina), TX (Texas), CA (California)</t>
        </is>
      </c>
    </row>
    <row r="17" ht="36" customHeight="1" s="34">
      <c r="A17" s="13" t="inlineStr">
        <is>
          <t>Census geography</t>
        </is>
      </c>
      <c r="B17" s="14" t="inlineStr">
        <is>
          <t>U.S. Census Bureau Geographic Division and Census Region definitions (9 divisions, 4 regions). District of Columbia is in South Atlantic / South. Same map as Decisions/CHURN/build_plays_strategies_by_region.py. https://www.census.gov/programs-surveys/popest/guidance-geographies/terms-and-definitions.html</t>
        </is>
      </c>
    </row>
    <row r="18" ht="36" customHeight="1" s="34">
      <c r="A18" s="13" t="inlineStr">
        <is>
          <t>Vintages differ</t>
        </is>
      </c>
      <c r="B18" s="14" t="inlineStr">
        <is>
          <t>FCC BDC as-of 2025-12-31 (D25); ACS 2024 1-year; SUSB reference year 2022. Do not treat as the same year.</t>
        </is>
      </c>
    </row>
    <row r="19" ht="36" customHeight="1" s="34">
      <c r="A19" s="13" t="inlineStr">
        <is>
          <t>Unwilling to claim</t>
        </is>
      </c>
      <c r="B19" s="14" t="inlineStr">
        <is>
          <t>Metro-level Charter vs Comcast share (not in the retrieved state files). Subscriber share. That the hypothesis flags a launch market.</t>
        </is>
      </c>
    </row>
    <row r="20" ht="36" customHeight="1" s="34">
      <c r="A20" s="13" t="inlineStr">
        <is>
          <t>Prior EH&amp;B files</t>
        </is>
      </c>
      <c r="B20" s="14" t="inlineStr">
        <is>
          <t>Does not change headline numbers in Comcast vs Charter.xlsx, Work from Home Rates.xlsx, or Small Large Employment Shares.xlsx. This workbook adds the merge + division rollups.</t>
        </is>
      </c>
    </row>
    <row r="22" ht="36" customHeight="1" s="34">
      <c r="A22" s="13" t="inlineStr">
        <is>
          <t>Finding A</t>
        </is>
      </c>
      <c r="B22" s="14" t="inlineStr">
        <is>
          <t>Charter leads Comcast on residential locations in 19 of 51 states (+5.54M units in New York) against 27 Comcast-lead states (-4.36M in Pennsylvania); by Census division the only positive Charter unit margins are West South Central (+3.55M, Texas-driven), West North Central (+1.19M), and East South Central (+0.44M).</t>
        </is>
      </c>
    </row>
    <row r="23" ht="36" customHeight="1" s="34">
      <c r="A23" s="13" t="inlineStr">
        <is>
          <t>Finding B</t>
        </is>
      </c>
      <c r="B23" s="14" t="inlineStr">
        <is>
          <t>ACS usual-WFH ranges from 22.9% in District of Columbia to 6.2% in Mississippi; worker-weighted, Mountain is highest among the 9 divisions at 15.4% vs East South Central at 9.9% (US 13.3%; 51-state+DC worker-weighted 13.3%).</t>
        </is>
      </c>
    </row>
    <row r="24" ht="36" customHeight="1" s="34">
      <c r="A24" s="13" t="inlineStr">
        <is>
          <t>Finding C</t>
        </is>
      </c>
      <c r="B24" s="14" t="inlineStr">
        <is>
          <t>Florida has the highest 500+ firm employment share at 60.4%; Montana is lowest at 33.7%; employment-weighted, South Atlantic is the most large-firm-dense division at 57.0% vs Pacific at 51.8% (US / 51-state+DC 54.1%).</t>
        </is>
      </c>
    </row>
    <row r="26" ht="18" customHeight="1" s="34">
      <c r="A26" s="13" t="inlineStr">
        <is>
          <t>Citations</t>
        </is>
      </c>
    </row>
    <row r="27" ht="36" customHeight="1" s="34">
      <c r="A27" s="13" t="inlineStr">
        <is>
          <t>FCC BDC</t>
        </is>
      </c>
      <c r="B27" s="14" t="inlineStr">
        <is>
          <t>Federal Communications Commission, Broadband Data Collection / National Broadband Map, as of 31 Dec 2025 (D25), file revision 15 Sep 2026. Metric: res_st_pct = share of residential units at Broadband Serviceable Locations where the holding company reports residential fixed broadband availability. Estimated units = res_st_pct × state residential fabric units. Availability, not subscribers. Charter Communications (Spectrum, provider_id 130235, FRN 0025646373); Comcast Corporation (Xfinity, provider_id 130317, FRN 0003768165). Files: bdc_us_provider_list_D25_15sep2026.csv; bdc_us_provider_summary_by_geography_D25_15sep2026.csv; bdc_us_fixed_broadband_summary_by_geography_D25_15sep2026.csv; bdc_us_fixed_broadband_provider_summary_D25_15sep2026.csv. URL: https://broadbandmap.fcc.gov/data-download</t>
        </is>
      </c>
    </row>
    <row r="28" ht="36" customHeight="1" s="34">
      <c r="A28" s="13" t="inlineStr">
        <is>
          <t>ACS B08301</t>
        </is>
      </c>
      <c r="B28" s="14" t="inlineStr">
        <is>
          <t>U.S. Census Bureau, American Community Survey (ACS) 1-Year Estimates Detailed Tables, 2024, table B08301 Means of Transportation to Work. Variable: B08301_021E Worked from home / B08301_001E Total; universe = Workers 16 years and over; usually worked from home as means of transportation to work (journey-to-work). Pulled via Census Reporter API wrapping ACS 2024 1-year release (release id acs2024_1yr). Do not mix with ATUS (any work at home on days worked) or ABS (share of firms with any WFH employees). URL: https://data.census.gov/table/ACSDT1Y2024.B08301 · Census Reporter: https://api.censusreporter.org/1.0/data/show/latest?table_ids=B08301&amp;geo_ids=040%7C01000US,01000US</t>
        </is>
      </c>
    </row>
    <row r="29" ht="36" customHeight="1" s="34">
      <c r="A29" s="13" t="inlineStr">
        <is>
          <t>SUSB 2022</t>
        </is>
      </c>
      <c r="B29" s="14" t="inlineStr">
        <is>
          <t>U.S. Census Bureau, Statistics of U.S. Businesses (SUSB), 2022 Annual Datasets by Establishment Industry — us_state_naics_detailedsizes_2022.txt (all-industry NAICS=--, enterprise employment size); reference year 2022; datasets page April 2025; file last-modified 2025-04-10. Mid-March payroll employment at employer establishments, classified by enterprise (firm) employment size; primary split firms &lt;500 vs 500+ employees (SBA cutoff). File: https://www2.census.gov/programs-surveys/susb/tables/2022/us_state_naics_detailedsizes_2022.txt · Landing page: https://www.census.gov/data/datasets/2022/econ/susb/2022-susb.html</t>
        </is>
      </c>
    </row>
    <row r="31" ht="36" customHeight="1" s="34">
      <c r="A31" s="13" t="inlineStr">
        <is>
          <t>Builder</t>
        </is>
      </c>
      <c r="B31" s="14" t="inlineStr">
        <is>
          <t>Decisions/EH&amp;B/build_state_region_density_maps.py — recomputes rollups from the three CSVs.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4.5"/>
  <cols>
    <col width="6" customWidth="1" style="34" min="1" max="1"/>
    <col width="22" customWidth="1" style="34" min="2" max="2"/>
    <col width="6" customWidth="1" style="34" min="3" max="3"/>
    <col width="22" customWidth="1" style="34" min="4" max="4"/>
    <col width="12" customWidth="1" style="34" min="5" max="5"/>
    <col width="10" customWidth="1" style="34" min="6" max="6"/>
    <col width="12" customWidth="1" style="34" min="7" max="7"/>
    <col width="14" customWidth="1" style="34" min="8" max="9"/>
    <col width="16" customWidth="1" style="34" min="10" max="11"/>
    <col width="18" customWidth="1" style="34" min="12" max="12"/>
    <col width="14" customWidth="1" style="34" min="13" max="13"/>
    <col width="16" customWidth="1" style="34" min="14" max="14"/>
    <col width="12" customWidth="1" style="34" min="15" max="15"/>
    <col width="16" customWidth="1" style="34" min="16" max="17"/>
    <col width="14" customWidth="1" style="34" min="18" max="18"/>
    <col width="16" customWidth="1" style="34" min="19" max="20"/>
    <col width="12" customWidth="1" style="34" min="21" max="21"/>
    <col width="14" customWidth="1" style="34" min="22" max="22"/>
    <col width="18" customWidth="1" style="34" min="23" max="23"/>
    <col width="12" customWidth="1" style="34" min="24" max="24"/>
  </cols>
  <sheetData>
    <row r="1" ht="39" customHeight="1" s="34">
      <c r="A1" s="15" t="inlineStr">
        <is>
          <t>fips</t>
        </is>
      </c>
      <c r="B1" s="15" t="inlineStr">
        <is>
          <t>state</t>
        </is>
      </c>
      <c r="C1" s="15" t="inlineStr">
        <is>
          <t>abbr</t>
        </is>
      </c>
      <c r="D1" s="15" t="inlineStr">
        <is>
          <t>census_division</t>
        </is>
      </c>
      <c r="E1" s="15" t="inlineStr">
        <is>
          <t>census_region</t>
        </is>
      </c>
      <c r="F1" s="15" t="inlineStr">
        <is>
          <t>leader</t>
        </is>
      </c>
      <c r="G1" s="15" t="inlineStr">
        <is>
          <t>charter_lead_flag</t>
        </is>
      </c>
      <c r="H1" s="15" t="inlineStr">
        <is>
          <t>charter_res_st_pct</t>
        </is>
      </c>
      <c r="I1" s="15" t="inlineStr">
        <is>
          <t>comcast_res_st_pct</t>
        </is>
      </c>
      <c r="J1" s="15" t="inlineStr">
        <is>
          <t>charter_est_units</t>
        </is>
      </c>
      <c r="K1" s="15" t="inlineStr">
        <is>
          <t>comcast_est_units</t>
        </is>
      </c>
      <c r="L1" s="15" t="inlineStr">
        <is>
          <t>margin_units_chtr_minus_cmcsa</t>
        </is>
      </c>
      <c r="M1" s="15" t="inlineStr">
        <is>
          <t>margin_pp_chtr_minus_cmcsa</t>
        </is>
      </c>
      <c r="N1" s="15" t="inlineStr">
        <is>
          <t>total_residential_units</t>
        </is>
      </c>
      <c r="O1" s="15" t="inlineStr">
        <is>
          <t>acs_wfh_rate_pct</t>
        </is>
      </c>
      <c r="P1" s="15" t="inlineStr">
        <is>
          <t>acs_workers_16_plus</t>
        </is>
      </c>
      <c r="Q1" s="15" t="inlineStr">
        <is>
          <t>acs_worked_from_home</t>
        </is>
      </c>
      <c r="R1" s="15" t="inlineStr">
        <is>
          <t>susb_share_ge500_pct</t>
        </is>
      </c>
      <c r="S1" s="15" t="inlineStr">
        <is>
          <t>susb_employment_ge500</t>
        </is>
      </c>
      <c r="T1" s="15" t="inlineStr">
        <is>
          <t>susb_employment_total</t>
        </is>
      </c>
      <c r="U1" s="15" t="inlineStr">
        <is>
          <t>wfh_above_median</t>
        </is>
      </c>
      <c r="V1" s="15" t="inlineStr">
        <is>
          <t>ge500_above_median</t>
        </is>
      </c>
      <c r="W1" s="15" t="inlineStr">
        <is>
          <t>ehb_plausible_HYPOTHESIS</t>
        </is>
      </c>
      <c r="X1" s="15" t="inlineStr">
        <is>
          <t>origin</t>
        </is>
      </c>
    </row>
    <row r="2">
      <c r="A2" s="16" t="inlineStr">
        <is>
          <t>01</t>
        </is>
      </c>
      <c r="B2" s="16" t="inlineStr">
        <is>
          <t>Alabama</t>
        </is>
      </c>
      <c r="C2" s="16" t="inlineStr">
        <is>
          <t>AL</t>
        </is>
      </c>
      <c r="D2" s="16" t="inlineStr">
        <is>
          <t>East South Central</t>
        </is>
      </c>
      <c r="E2" s="16" t="inlineStr">
        <is>
          <t>South</t>
        </is>
      </c>
      <c r="F2" s="16" t="inlineStr">
        <is>
          <t>Charter</t>
        </is>
      </c>
      <c r="G2" s="16" t="inlineStr">
        <is>
          <t>Yes</t>
        </is>
      </c>
      <c r="H2" s="17" t="n">
        <v>42.01</v>
      </c>
      <c r="I2" s="17" t="n">
        <v>19.69</v>
      </c>
      <c r="J2" s="18" t="n">
        <v>1127304</v>
      </c>
      <c r="K2" s="18" t="n">
        <v>528365</v>
      </c>
      <c r="L2" s="18" t="n">
        <v>598939</v>
      </c>
      <c r="M2" s="17" t="n">
        <v>22.32</v>
      </c>
      <c r="N2" s="18" t="n">
        <v>2683418</v>
      </c>
      <c r="O2" s="17" t="n">
        <v>8.33751814314072</v>
      </c>
      <c r="P2" s="18" t="n">
        <v>2323881</v>
      </c>
      <c r="Q2" s="18" t="n">
        <v>193754</v>
      </c>
      <c r="R2" s="17" t="n">
        <v>54.04906570840156</v>
      </c>
      <c r="S2" s="18" t="n">
        <v>960807</v>
      </c>
      <c r="T2" s="18" t="n">
        <v>1777657</v>
      </c>
      <c r="U2" s="16" t="inlineStr">
        <is>
          <t>No</t>
        </is>
      </c>
      <c r="V2" s="16" t="inlineStr">
        <is>
          <t>Yes</t>
        </is>
      </c>
      <c r="W2" s="16" t="inlineStr">
        <is>
          <t>No</t>
        </is>
      </c>
      <c r="X2" s="16" t="inlineStr">
        <is>
          <t>RETRIEVED</t>
        </is>
      </c>
    </row>
    <row r="3">
      <c r="A3" s="19" t="inlineStr">
        <is>
          <t>02</t>
        </is>
      </c>
      <c r="B3" s="19" t="inlineStr">
        <is>
          <t>Alaska</t>
        </is>
      </c>
      <c r="C3" s="19" t="inlineStr">
        <is>
          <t>AK</t>
        </is>
      </c>
      <c r="D3" s="19" t="inlineStr">
        <is>
          <t>Pacific</t>
        </is>
      </c>
      <c r="E3" s="19" t="inlineStr">
        <is>
          <t>West</t>
        </is>
      </c>
      <c r="F3" s="19" t="inlineStr">
        <is>
          <t>Neither</t>
        </is>
      </c>
      <c r="G3" s="19" t="inlineStr">
        <is>
          <t>No</t>
        </is>
      </c>
      <c r="H3" s="20" t="n"/>
      <c r="I3" s="20" t="n"/>
      <c r="J3" s="21" t="n"/>
      <c r="K3" s="21" t="n"/>
      <c r="L3" s="21" t="n">
        <v>0</v>
      </c>
      <c r="M3" s="20" t="n">
        <v>0</v>
      </c>
      <c r="N3" s="21" t="n">
        <v>383830</v>
      </c>
      <c r="O3" s="20" t="n">
        <v>8.419456162305964</v>
      </c>
      <c r="P3" s="21" t="n">
        <v>361983</v>
      </c>
      <c r="Q3" s="21" t="n">
        <v>30477</v>
      </c>
      <c r="R3" s="20" t="n">
        <v>45.804040984689</v>
      </c>
      <c r="S3" s="21" t="n">
        <v>117928</v>
      </c>
      <c r="T3" s="21" t="n">
        <v>257462</v>
      </c>
      <c r="U3" s="19" t="inlineStr">
        <is>
          <t>No</t>
        </is>
      </c>
      <c r="V3" s="19" t="inlineStr">
        <is>
          <t>No</t>
        </is>
      </c>
      <c r="W3" s="19" t="inlineStr">
        <is>
          <t>No</t>
        </is>
      </c>
      <c r="X3" s="19" t="inlineStr">
        <is>
          <t>RETRIEVED</t>
        </is>
      </c>
    </row>
    <row r="4">
      <c r="A4" s="22" t="inlineStr">
        <is>
          <t>04</t>
        </is>
      </c>
      <c r="B4" s="22" t="inlineStr">
        <is>
          <t>Arizona</t>
        </is>
      </c>
      <c r="C4" s="22" t="inlineStr">
        <is>
          <t>AZ</t>
        </is>
      </c>
      <c r="D4" s="22" t="inlineStr">
        <is>
          <t>Mountain</t>
        </is>
      </c>
      <c r="E4" s="22" t="inlineStr">
        <is>
          <t>West</t>
        </is>
      </c>
      <c r="F4" s="22" t="inlineStr">
        <is>
          <t>Comcast</t>
        </is>
      </c>
      <c r="G4" s="22" t="inlineStr">
        <is>
          <t>No</t>
        </is>
      </c>
      <c r="H4" s="23" t="n">
        <v>2.64</v>
      </c>
      <c r="I4" s="23" t="n">
        <v>5.18</v>
      </c>
      <c r="J4" s="24" t="n">
        <v>94903</v>
      </c>
      <c r="K4" s="24" t="n">
        <v>186210</v>
      </c>
      <c r="L4" s="24" t="n">
        <v>-91307</v>
      </c>
      <c r="M4" s="23" t="n">
        <v>-2.54</v>
      </c>
      <c r="N4" s="24" t="n">
        <v>3594796</v>
      </c>
      <c r="O4" s="23" t="n">
        <v>16.3020542432196</v>
      </c>
      <c r="P4" s="24" t="n">
        <v>3571875</v>
      </c>
      <c r="Q4" s="24" t="n">
        <v>582289</v>
      </c>
      <c r="R4" s="23" t="n">
        <v>57.44202839544126</v>
      </c>
      <c r="S4" s="24" t="n">
        <v>1601312</v>
      </c>
      <c r="T4" s="24" t="n">
        <v>2787701</v>
      </c>
      <c r="U4" s="22" t="inlineStr">
        <is>
          <t>Yes</t>
        </is>
      </c>
      <c r="V4" s="22" t="inlineStr">
        <is>
          <t>Yes</t>
        </is>
      </c>
      <c r="W4" s="22" t="inlineStr">
        <is>
          <t>No</t>
        </is>
      </c>
      <c r="X4" s="22" t="inlineStr">
        <is>
          <t>RETRIEVED</t>
        </is>
      </c>
    </row>
    <row r="5">
      <c r="A5" s="22" t="inlineStr">
        <is>
          <t>05</t>
        </is>
      </c>
      <c r="B5" s="22" t="inlineStr">
        <is>
          <t>Arkansas</t>
        </is>
      </c>
      <c r="C5" s="22" t="inlineStr">
        <is>
          <t>AR</t>
        </is>
      </c>
      <c r="D5" s="22" t="inlineStr">
        <is>
          <t>West South Central</t>
        </is>
      </c>
      <c r="E5" s="22" t="inlineStr">
        <is>
          <t>South</t>
        </is>
      </c>
      <c r="F5" s="22" t="inlineStr">
        <is>
          <t>Comcast</t>
        </is>
      </c>
      <c r="G5" s="22" t="inlineStr">
        <is>
          <t>No</t>
        </is>
      </c>
      <c r="H5" s="23" t="n"/>
      <c r="I5" s="23" t="n">
        <v>16.31</v>
      </c>
      <c r="J5" s="24" t="n"/>
      <c r="K5" s="24" t="n">
        <v>262392</v>
      </c>
      <c r="L5" s="24" t="n">
        <v>-262392</v>
      </c>
      <c r="M5" s="23" t="n">
        <v>-16.31</v>
      </c>
      <c r="N5" s="24" t="n">
        <v>1608780</v>
      </c>
      <c r="O5" s="23" t="n">
        <v>8.586016658854073</v>
      </c>
      <c r="P5" s="24" t="n">
        <v>1386650</v>
      </c>
      <c r="Q5" s="24" t="n">
        <v>119058</v>
      </c>
      <c r="R5" s="23" t="n">
        <v>53.94933538038867</v>
      </c>
      <c r="S5" s="24" t="n">
        <v>587532</v>
      </c>
      <c r="T5" s="24" t="n">
        <v>1089044</v>
      </c>
      <c r="U5" s="22" t="inlineStr">
        <is>
          <t>No</t>
        </is>
      </c>
      <c r="V5" s="22" t="inlineStr">
        <is>
          <t>Yes</t>
        </is>
      </c>
      <c r="W5" s="22" t="inlineStr">
        <is>
          <t>No</t>
        </is>
      </c>
      <c r="X5" s="22" t="inlineStr">
        <is>
          <t>RETRIEVED</t>
        </is>
      </c>
    </row>
    <row r="6">
      <c r="A6" s="25" t="inlineStr">
        <is>
          <t>06</t>
        </is>
      </c>
      <c r="B6" s="25" t="inlineStr">
        <is>
          <t>California</t>
        </is>
      </c>
      <c r="C6" s="25" t="inlineStr">
        <is>
          <t>CA</t>
        </is>
      </c>
      <c r="D6" s="25" t="inlineStr">
        <is>
          <t>Pacific</t>
        </is>
      </c>
      <c r="E6" s="25" t="inlineStr">
        <is>
          <t>West</t>
        </is>
      </c>
      <c r="F6" s="25" t="inlineStr">
        <is>
          <t>Charter</t>
        </is>
      </c>
      <c r="G6" s="25" t="inlineStr">
        <is>
          <t>Yes</t>
        </is>
      </c>
      <c r="H6" s="26" t="n">
        <v>46.98999999999999</v>
      </c>
      <c r="I6" s="26" t="n">
        <v>33.73</v>
      </c>
      <c r="J6" s="27" t="n">
        <v>7651506</v>
      </c>
      <c r="K6" s="27" t="n">
        <v>5492345</v>
      </c>
      <c r="L6" s="27" t="n">
        <v>2159161</v>
      </c>
      <c r="M6" s="26" t="n">
        <v>13.26</v>
      </c>
      <c r="N6" s="27" t="n">
        <v>16283265</v>
      </c>
      <c r="O6" s="26" t="n">
        <v>14.14278886638294</v>
      </c>
      <c r="P6" s="27" t="n">
        <v>18893770</v>
      </c>
      <c r="Q6" s="27" t="n">
        <v>2672106</v>
      </c>
      <c r="R6" s="26" t="n">
        <v>52.62300685360432</v>
      </c>
      <c r="S6" s="27" t="n">
        <v>8436752</v>
      </c>
      <c r="T6" s="27" t="n">
        <v>16032440</v>
      </c>
      <c r="U6" s="25" t="inlineStr">
        <is>
          <t>Yes</t>
        </is>
      </c>
      <c r="V6" s="25" t="inlineStr">
        <is>
          <t>Yes</t>
        </is>
      </c>
      <c r="W6" s="25" t="inlineStr">
        <is>
          <t>Yes</t>
        </is>
      </c>
      <c r="X6" s="25" t="inlineStr">
        <is>
          <t>RETRIEVED</t>
        </is>
      </c>
    </row>
    <row r="7">
      <c r="A7" s="22" t="inlineStr">
        <is>
          <t>08</t>
        </is>
      </c>
      <c r="B7" s="22" t="inlineStr">
        <is>
          <t>Colorado</t>
        </is>
      </c>
      <c r="C7" s="22" t="inlineStr">
        <is>
          <t>CO</t>
        </is>
      </c>
      <c r="D7" s="22" t="inlineStr">
        <is>
          <t>Mountain</t>
        </is>
      </c>
      <c r="E7" s="22" t="inlineStr">
        <is>
          <t>West</t>
        </is>
      </c>
      <c r="F7" s="22" t="inlineStr">
        <is>
          <t>Comcast</t>
        </is>
      </c>
      <c r="G7" s="22" t="inlineStr">
        <is>
          <t>No</t>
        </is>
      </c>
      <c r="H7" s="23" t="n">
        <v>6.279999999999999</v>
      </c>
      <c r="I7" s="23" t="n">
        <v>78.60000000000001</v>
      </c>
      <c r="J7" s="24" t="n">
        <v>181782</v>
      </c>
      <c r="K7" s="24" t="n">
        <v>2275168</v>
      </c>
      <c r="L7" s="24" t="n">
        <v>-2093386</v>
      </c>
      <c r="M7" s="23" t="n">
        <v>-72.31999999999999</v>
      </c>
      <c r="N7" s="24" t="n">
        <v>2894616</v>
      </c>
      <c r="O7" s="23" t="n">
        <v>19.87205756714894</v>
      </c>
      <c r="P7" s="24" t="n">
        <v>3167362</v>
      </c>
      <c r="Q7" s="24" t="n">
        <v>629420</v>
      </c>
      <c r="R7" s="23" t="n">
        <v>51.36780810544592</v>
      </c>
      <c r="S7" s="24" t="n">
        <v>1274536</v>
      </c>
      <c r="T7" s="24" t="n">
        <v>2481196</v>
      </c>
      <c r="U7" s="22" t="inlineStr">
        <is>
          <t>Yes</t>
        </is>
      </c>
      <c r="V7" s="22" t="inlineStr">
        <is>
          <t>No</t>
        </is>
      </c>
      <c r="W7" s="22" t="inlineStr">
        <is>
          <t>No</t>
        </is>
      </c>
      <c r="X7" s="22" t="inlineStr">
        <is>
          <t>RETRIEVED</t>
        </is>
      </c>
    </row>
    <row r="8">
      <c r="A8" s="22" t="inlineStr">
        <is>
          <t>09</t>
        </is>
      </c>
      <c r="B8" s="22" t="inlineStr">
        <is>
          <t>Connecticut</t>
        </is>
      </c>
      <c r="C8" s="22" t="inlineStr">
        <is>
          <t>CT</t>
        </is>
      </c>
      <c r="D8" s="22" t="inlineStr">
        <is>
          <t>New England</t>
        </is>
      </c>
      <c r="E8" s="22" t="inlineStr">
        <is>
          <t>Northeast</t>
        </is>
      </c>
      <c r="F8" s="22" t="inlineStr">
        <is>
          <t>Comcast</t>
        </is>
      </c>
      <c r="G8" s="22" t="inlineStr">
        <is>
          <t>No</t>
        </is>
      </c>
      <c r="H8" s="23" t="n">
        <v>8.93</v>
      </c>
      <c r="I8" s="23" t="n">
        <v>63.53</v>
      </c>
      <c r="J8" s="24" t="n">
        <v>148317</v>
      </c>
      <c r="K8" s="24" t="n">
        <v>1055159</v>
      </c>
      <c r="L8" s="24" t="n">
        <v>-906842</v>
      </c>
      <c r="M8" s="23" t="n">
        <v>-54.6</v>
      </c>
      <c r="N8" s="24" t="n">
        <v>1660883</v>
      </c>
      <c r="O8" s="23" t="n">
        <v>13.37001730698233</v>
      </c>
      <c r="P8" s="24" t="n">
        <v>1874388</v>
      </c>
      <c r="Q8" s="24" t="n">
        <v>250606</v>
      </c>
      <c r="R8" s="23" t="n">
        <v>51.87056635340314</v>
      </c>
      <c r="S8" s="24" t="n">
        <v>782537</v>
      </c>
      <c r="T8" s="24" t="n">
        <v>1508634</v>
      </c>
      <c r="U8" s="22" t="inlineStr">
        <is>
          <t>Yes</t>
        </is>
      </c>
      <c r="V8" s="22" t="inlineStr">
        <is>
          <t>No</t>
        </is>
      </c>
      <c r="W8" s="22" t="inlineStr">
        <is>
          <t>No</t>
        </is>
      </c>
      <c r="X8" s="22" t="inlineStr">
        <is>
          <t>RETRIEVED</t>
        </is>
      </c>
    </row>
    <row r="9">
      <c r="A9" s="22" t="inlineStr">
        <is>
          <t>10</t>
        </is>
      </c>
      <c r="B9" s="22" t="inlineStr">
        <is>
          <t>Delaware</t>
        </is>
      </c>
      <c r="C9" s="22" t="inlineStr">
        <is>
          <t>DE</t>
        </is>
      </c>
      <c r="D9" s="22" t="inlineStr">
        <is>
          <t>South Atlantic</t>
        </is>
      </c>
      <c r="E9" s="22" t="inlineStr">
        <is>
          <t>South</t>
        </is>
      </c>
      <c r="F9" s="22" t="inlineStr">
        <is>
          <t>Comcast</t>
        </is>
      </c>
      <c r="G9" s="22" t="inlineStr">
        <is>
          <t>No</t>
        </is>
      </c>
      <c r="H9" s="23" t="n"/>
      <c r="I9" s="23" t="n">
        <v>82.08</v>
      </c>
      <c r="J9" s="24" t="n"/>
      <c r="K9" s="24" t="n">
        <v>419605</v>
      </c>
      <c r="L9" s="24" t="n">
        <v>-419605</v>
      </c>
      <c r="M9" s="23" t="n">
        <v>-82.08</v>
      </c>
      <c r="N9" s="24" t="n">
        <v>511215</v>
      </c>
      <c r="O9" s="23" t="n">
        <v>12.88963504816725</v>
      </c>
      <c r="P9" s="24" t="n">
        <v>500340</v>
      </c>
      <c r="Q9" s="24" t="n">
        <v>64492</v>
      </c>
      <c r="R9" s="23" t="n">
        <v>49.43731248659567</v>
      </c>
      <c r="S9" s="24" t="n">
        <v>209764</v>
      </c>
      <c r="T9" s="24" t="n">
        <v>424303</v>
      </c>
      <c r="U9" s="22" t="inlineStr">
        <is>
          <t>Yes</t>
        </is>
      </c>
      <c r="V9" s="22" t="inlineStr">
        <is>
          <t>No</t>
        </is>
      </c>
      <c r="W9" s="22" t="inlineStr">
        <is>
          <t>No</t>
        </is>
      </c>
      <c r="X9" s="22" t="inlineStr">
        <is>
          <t>RETRIEVED</t>
        </is>
      </c>
    </row>
    <row r="10">
      <c r="A10" s="22" t="inlineStr">
        <is>
          <t>11</t>
        </is>
      </c>
      <c r="B10" s="22" t="inlineStr">
        <is>
          <t>District of Columbia</t>
        </is>
      </c>
      <c r="C10" s="22" t="inlineStr">
        <is>
          <t>DC</t>
        </is>
      </c>
      <c r="D10" s="22" t="inlineStr">
        <is>
          <t>South Atlantic</t>
        </is>
      </c>
      <c r="E10" s="22" t="inlineStr">
        <is>
          <t>South</t>
        </is>
      </c>
      <c r="F10" s="22" t="inlineStr">
        <is>
          <t>Comcast</t>
        </is>
      </c>
      <c r="G10" s="22" t="inlineStr">
        <is>
          <t>No</t>
        </is>
      </c>
      <c r="H10" s="23" t="n"/>
      <c r="I10" s="23" t="n">
        <v>98.64</v>
      </c>
      <c r="J10" s="24" t="n"/>
      <c r="K10" s="24" t="n">
        <v>380427</v>
      </c>
      <c r="L10" s="24" t="n">
        <v>-380427</v>
      </c>
      <c r="M10" s="23" t="n">
        <v>-98.64</v>
      </c>
      <c r="N10" s="24" t="n">
        <v>385672</v>
      </c>
      <c r="O10" s="23" t="n">
        <v>22.85951316033555</v>
      </c>
      <c r="P10" s="24" t="n">
        <v>388136</v>
      </c>
      <c r="Q10" s="24" t="n">
        <v>88726</v>
      </c>
      <c r="R10" s="23" t="n">
        <v>50.85265143973225</v>
      </c>
      <c r="S10" s="24" t="n">
        <v>268174</v>
      </c>
      <c r="T10" s="24" t="n">
        <v>527355</v>
      </c>
      <c r="U10" s="22" t="inlineStr">
        <is>
          <t>Yes</t>
        </is>
      </c>
      <c r="V10" s="22" t="inlineStr">
        <is>
          <t>No</t>
        </is>
      </c>
      <c r="W10" s="22" t="inlineStr">
        <is>
          <t>No</t>
        </is>
      </c>
      <c r="X10" s="22" t="inlineStr">
        <is>
          <t>RETRIEVED</t>
        </is>
      </c>
    </row>
    <row r="11">
      <c r="A11" s="22" t="inlineStr">
        <is>
          <t>12</t>
        </is>
      </c>
      <c r="B11" s="22" t="inlineStr">
        <is>
          <t>Florida</t>
        </is>
      </c>
      <c r="C11" s="22" t="inlineStr">
        <is>
          <t>FL</t>
        </is>
      </c>
      <c r="D11" s="22" t="inlineStr">
        <is>
          <t>South Atlantic</t>
        </is>
      </c>
      <c r="E11" s="22" t="inlineStr">
        <is>
          <t>South</t>
        </is>
      </c>
      <c r="F11" s="22" t="inlineStr">
        <is>
          <t>Comcast</t>
        </is>
      </c>
      <c r="G11" s="22" t="inlineStr">
        <is>
          <t>No</t>
        </is>
      </c>
      <c r="H11" s="23" t="n">
        <v>36.15</v>
      </c>
      <c r="I11" s="23" t="n">
        <v>52.32</v>
      </c>
      <c r="J11" s="24" t="n">
        <v>4148992</v>
      </c>
      <c r="K11" s="24" t="n">
        <v>6004849</v>
      </c>
      <c r="L11" s="24" t="n">
        <v>-1855857</v>
      </c>
      <c r="M11" s="23" t="n">
        <v>-16.17</v>
      </c>
      <c r="N11" s="24" t="n">
        <v>11477157</v>
      </c>
      <c r="O11" s="23" t="n">
        <v>15.52614873632195</v>
      </c>
      <c r="P11" s="24" t="n">
        <v>11086922</v>
      </c>
      <c r="Q11" s="24" t="n">
        <v>1721372</v>
      </c>
      <c r="R11" s="23" t="n">
        <v>60.39954648869903</v>
      </c>
      <c r="S11" s="24" t="n">
        <v>5815792</v>
      </c>
      <c r="T11" s="24" t="n">
        <v>9628867</v>
      </c>
      <c r="U11" s="22" t="inlineStr">
        <is>
          <t>Yes</t>
        </is>
      </c>
      <c r="V11" s="22" t="inlineStr">
        <is>
          <t>Yes</t>
        </is>
      </c>
      <c r="W11" s="22" t="inlineStr">
        <is>
          <t>No</t>
        </is>
      </c>
      <c r="X11" s="22" t="inlineStr">
        <is>
          <t>RETRIEVED</t>
        </is>
      </c>
    </row>
    <row r="12">
      <c r="A12" s="22" t="inlineStr">
        <is>
          <t>13</t>
        </is>
      </c>
      <c r="B12" s="22" t="inlineStr">
        <is>
          <t>Georgia</t>
        </is>
      </c>
      <c r="C12" s="22" t="inlineStr">
        <is>
          <t>GA</t>
        </is>
      </c>
      <c r="D12" s="22" t="inlineStr">
        <is>
          <t>South Atlantic</t>
        </is>
      </c>
      <c r="E12" s="22" t="inlineStr">
        <is>
          <t>South</t>
        </is>
      </c>
      <c r="F12" s="22" t="inlineStr">
        <is>
          <t>Comcast</t>
        </is>
      </c>
      <c r="G12" s="22" t="inlineStr">
        <is>
          <t>No</t>
        </is>
      </c>
      <c r="H12" s="23" t="n">
        <v>16.93</v>
      </c>
      <c r="I12" s="23" t="n">
        <v>57.42</v>
      </c>
      <c r="J12" s="24" t="n">
        <v>859861</v>
      </c>
      <c r="K12" s="24" t="n">
        <v>2916314</v>
      </c>
      <c r="L12" s="24" t="n">
        <v>-2056453</v>
      </c>
      <c r="M12" s="23" t="n">
        <v>-40.49</v>
      </c>
      <c r="N12" s="24" t="n">
        <v>5078917</v>
      </c>
      <c r="O12" s="23" t="n">
        <v>14.8755035751685</v>
      </c>
      <c r="P12" s="24" t="n">
        <v>5402123</v>
      </c>
      <c r="Q12" s="24" t="n">
        <v>803593</v>
      </c>
      <c r="R12" s="23" t="n">
        <v>57.48462945731618</v>
      </c>
      <c r="S12" s="24" t="n">
        <v>2442730</v>
      </c>
      <c r="T12" s="24" t="n">
        <v>4249362</v>
      </c>
      <c r="U12" s="22" t="inlineStr">
        <is>
          <t>Yes</t>
        </is>
      </c>
      <c r="V12" s="22" t="inlineStr">
        <is>
          <t>Yes</t>
        </is>
      </c>
      <c r="W12" s="22" t="inlineStr">
        <is>
          <t>No</t>
        </is>
      </c>
      <c r="X12" s="22" t="inlineStr">
        <is>
          <t>RETRIEVED</t>
        </is>
      </c>
    </row>
    <row r="13">
      <c r="A13" s="16" t="inlineStr">
        <is>
          <t>15</t>
        </is>
      </c>
      <c r="B13" s="16" t="inlineStr">
        <is>
          <t>Hawaii</t>
        </is>
      </c>
      <c r="C13" s="16" t="inlineStr">
        <is>
          <t>HI</t>
        </is>
      </c>
      <c r="D13" s="16" t="inlineStr">
        <is>
          <t>Pacific</t>
        </is>
      </c>
      <c r="E13" s="16" t="inlineStr">
        <is>
          <t>West</t>
        </is>
      </c>
      <c r="F13" s="16" t="inlineStr">
        <is>
          <t>Charter</t>
        </is>
      </c>
      <c r="G13" s="16" t="inlineStr">
        <is>
          <t>Yes</t>
        </is>
      </c>
      <c r="H13" s="17" t="n">
        <v>92.28</v>
      </c>
      <c r="I13" s="17" t="n"/>
      <c r="J13" s="18" t="n">
        <v>556913</v>
      </c>
      <c r="K13" s="18" t="n"/>
      <c r="L13" s="18" t="n">
        <v>556913</v>
      </c>
      <c r="M13" s="17" t="n">
        <v>92.28</v>
      </c>
      <c r="N13" s="18" t="n">
        <v>603504</v>
      </c>
      <c r="O13" s="17" t="n">
        <v>8.874679378937115</v>
      </c>
      <c r="P13" s="18" t="n">
        <v>716578</v>
      </c>
      <c r="Q13" s="18" t="n">
        <v>63594</v>
      </c>
      <c r="R13" s="17" t="n">
        <v>50.42156920711879</v>
      </c>
      <c r="S13" s="18" t="n">
        <v>255834</v>
      </c>
      <c r="T13" s="18" t="n">
        <v>507390</v>
      </c>
      <c r="U13" s="16" t="inlineStr">
        <is>
          <t>No</t>
        </is>
      </c>
      <c r="V13" s="16" t="inlineStr">
        <is>
          <t>No</t>
        </is>
      </c>
      <c r="W13" s="16" t="inlineStr">
        <is>
          <t>No</t>
        </is>
      </c>
      <c r="X13" s="16" t="inlineStr">
        <is>
          <t>RETRIEVED</t>
        </is>
      </c>
    </row>
    <row r="14">
      <c r="A14" s="16" t="inlineStr">
        <is>
          <t>16</t>
        </is>
      </c>
      <c r="B14" s="16" t="inlineStr">
        <is>
          <t>Idaho</t>
        </is>
      </c>
      <c r="C14" s="16" t="inlineStr">
        <is>
          <t>ID</t>
        </is>
      </c>
      <c r="D14" s="16" t="inlineStr">
        <is>
          <t>Mountain</t>
        </is>
      </c>
      <c r="E14" s="16" t="inlineStr">
        <is>
          <t>West</t>
        </is>
      </c>
      <c r="F14" s="16" t="inlineStr">
        <is>
          <t>Charter</t>
        </is>
      </c>
      <c r="G14" s="16" t="inlineStr">
        <is>
          <t>Yes</t>
        </is>
      </c>
      <c r="H14" s="17" t="n">
        <v>9.039999999999999</v>
      </c>
      <c r="I14" s="17" t="n">
        <v>0.26</v>
      </c>
      <c r="J14" s="18" t="n">
        <v>82999</v>
      </c>
      <c r="K14" s="18" t="n">
        <v>2387</v>
      </c>
      <c r="L14" s="18" t="n">
        <v>80612</v>
      </c>
      <c r="M14" s="17" t="n">
        <v>8.779999999999999</v>
      </c>
      <c r="N14" s="18" t="n">
        <v>918136</v>
      </c>
      <c r="O14" s="17" t="n">
        <v>12.70697572801257</v>
      </c>
      <c r="P14" s="18" t="n">
        <v>952044</v>
      </c>
      <c r="Q14" s="18" t="n">
        <v>120976</v>
      </c>
      <c r="R14" s="17" t="n">
        <v>44.01331807786957</v>
      </c>
      <c r="S14" s="18" t="n">
        <v>303511</v>
      </c>
      <c r="T14" s="18" t="n">
        <v>689589</v>
      </c>
      <c r="U14" s="16" t="inlineStr">
        <is>
          <t>Yes</t>
        </is>
      </c>
      <c r="V14" s="16" t="inlineStr">
        <is>
          <t>No</t>
        </is>
      </c>
      <c r="W14" s="16" t="inlineStr">
        <is>
          <t>No</t>
        </is>
      </c>
      <c r="X14" s="16" t="inlineStr">
        <is>
          <t>RETRIEVED</t>
        </is>
      </c>
    </row>
    <row r="15">
      <c r="A15" s="22" t="inlineStr">
        <is>
          <t>17</t>
        </is>
      </c>
      <c r="B15" s="22" t="inlineStr">
        <is>
          <t>Illinois</t>
        </is>
      </c>
      <c r="C15" s="22" t="inlineStr">
        <is>
          <t>IL</t>
        </is>
      </c>
      <c r="D15" s="22" t="inlineStr">
        <is>
          <t>East North Central</t>
        </is>
      </c>
      <c r="E15" s="22" t="inlineStr">
        <is>
          <t>Midwest</t>
        </is>
      </c>
      <c r="F15" s="22" t="inlineStr">
        <is>
          <t>Comcast</t>
        </is>
      </c>
      <c r="G15" s="22" t="inlineStr">
        <is>
          <t>No</t>
        </is>
      </c>
      <c r="H15" s="23" t="n">
        <v>4.92</v>
      </c>
      <c r="I15" s="23" t="n">
        <v>75.37</v>
      </c>
      <c r="J15" s="24" t="n">
        <v>297963</v>
      </c>
      <c r="K15" s="24" t="n">
        <v>4564524</v>
      </c>
      <c r="L15" s="24" t="n">
        <v>-4266561</v>
      </c>
      <c r="M15" s="23" t="n">
        <v>-70.45</v>
      </c>
      <c r="N15" s="24" t="n">
        <v>6056155</v>
      </c>
      <c r="O15" s="23" t="n">
        <v>13.57742472678494</v>
      </c>
      <c r="P15" s="24" t="n">
        <v>6314165</v>
      </c>
      <c r="Q15" s="24" t="n">
        <v>857301</v>
      </c>
      <c r="R15" s="23" t="n">
        <v>56.25185787267277</v>
      </c>
      <c r="S15" s="24" t="n">
        <v>3112912</v>
      </c>
      <c r="T15" s="24" t="n">
        <v>5533883</v>
      </c>
      <c r="U15" s="22" t="inlineStr">
        <is>
          <t>Yes</t>
        </is>
      </c>
      <c r="V15" s="22" t="inlineStr">
        <is>
          <t>Yes</t>
        </is>
      </c>
      <c r="W15" s="22" t="inlineStr">
        <is>
          <t>No</t>
        </is>
      </c>
      <c r="X15" s="22" t="inlineStr">
        <is>
          <t>RETRIEVED</t>
        </is>
      </c>
    </row>
    <row r="16">
      <c r="A16" s="22" t="inlineStr">
        <is>
          <t>18</t>
        </is>
      </c>
      <c r="B16" s="22" t="inlineStr">
        <is>
          <t>Indiana</t>
        </is>
      </c>
      <c r="C16" s="22" t="inlineStr">
        <is>
          <t>IN</t>
        </is>
      </c>
      <c r="D16" s="22" t="inlineStr">
        <is>
          <t>East North Central</t>
        </is>
      </c>
      <c r="E16" s="22" t="inlineStr">
        <is>
          <t>Midwest</t>
        </is>
      </c>
      <c r="F16" s="22" t="inlineStr">
        <is>
          <t>Comcast</t>
        </is>
      </c>
      <c r="G16" s="22" t="inlineStr">
        <is>
          <t>No</t>
        </is>
      </c>
      <c r="H16" s="23" t="n">
        <v>21.06</v>
      </c>
      <c r="I16" s="23" t="n">
        <v>58.29</v>
      </c>
      <c r="J16" s="24" t="n">
        <v>699558</v>
      </c>
      <c r="K16" s="24" t="n">
        <v>1936242</v>
      </c>
      <c r="L16" s="24" t="n">
        <v>-1236684</v>
      </c>
      <c r="M16" s="23" t="n">
        <v>-37.23</v>
      </c>
      <c r="N16" s="24" t="n">
        <v>3321739</v>
      </c>
      <c r="O16" s="23" t="n">
        <v>9.636304682000544</v>
      </c>
      <c r="P16" s="24" t="n">
        <v>3355446</v>
      </c>
      <c r="Q16" s="24" t="n">
        <v>323341</v>
      </c>
      <c r="R16" s="23" t="n">
        <v>56.81927238284396</v>
      </c>
      <c r="S16" s="24" t="n">
        <v>1634070</v>
      </c>
      <c r="T16" s="24" t="n">
        <v>2875908</v>
      </c>
      <c r="U16" s="22" t="inlineStr">
        <is>
          <t>No</t>
        </is>
      </c>
      <c r="V16" s="22" t="inlineStr">
        <is>
          <t>Yes</t>
        </is>
      </c>
      <c r="W16" s="22" t="inlineStr">
        <is>
          <t>No</t>
        </is>
      </c>
      <c r="X16" s="22" t="inlineStr">
        <is>
          <t>RETRIEVED</t>
        </is>
      </c>
    </row>
    <row r="17">
      <c r="A17" s="19" t="inlineStr">
        <is>
          <t>19</t>
        </is>
      </c>
      <c r="B17" s="19" t="inlineStr">
        <is>
          <t>Iowa</t>
        </is>
      </c>
      <c r="C17" s="19" t="inlineStr">
        <is>
          <t>IA</t>
        </is>
      </c>
      <c r="D17" s="19" t="inlineStr">
        <is>
          <t>West North Central</t>
        </is>
      </c>
      <c r="E17" s="19" t="inlineStr">
        <is>
          <t>Midwest</t>
        </is>
      </c>
      <c r="F17" s="19" t="inlineStr">
        <is>
          <t>Neither</t>
        </is>
      </c>
      <c r="G17" s="19" t="inlineStr">
        <is>
          <t>No</t>
        </is>
      </c>
      <c r="H17" s="20" t="n"/>
      <c r="I17" s="20" t="n"/>
      <c r="J17" s="21" t="n"/>
      <c r="K17" s="21" t="n"/>
      <c r="L17" s="21" t="n">
        <v>0</v>
      </c>
      <c r="M17" s="20" t="n">
        <v>0</v>
      </c>
      <c r="N17" s="21" t="n">
        <v>1661913</v>
      </c>
      <c r="O17" s="20" t="n">
        <v>9.866779653619826</v>
      </c>
      <c r="P17" s="21" t="n">
        <v>1649748</v>
      </c>
      <c r="Q17" s="21" t="n">
        <v>162777</v>
      </c>
      <c r="R17" s="20" t="n">
        <v>54.01013778412882</v>
      </c>
      <c r="S17" s="21" t="n">
        <v>748742</v>
      </c>
      <c r="T17" s="21" t="n">
        <v>1386299</v>
      </c>
      <c r="U17" s="19" t="inlineStr">
        <is>
          <t>No</t>
        </is>
      </c>
      <c r="V17" s="19" t="inlineStr">
        <is>
          <t>Yes</t>
        </is>
      </c>
      <c r="W17" s="19" t="inlineStr">
        <is>
          <t>No</t>
        </is>
      </c>
      <c r="X17" s="19" t="inlineStr">
        <is>
          <t>RETRIEVED</t>
        </is>
      </c>
    </row>
    <row r="18">
      <c r="A18" s="16" t="inlineStr">
        <is>
          <t>20</t>
        </is>
      </c>
      <c r="B18" s="16" t="inlineStr">
        <is>
          <t>Kansas</t>
        </is>
      </c>
      <c r="C18" s="16" t="inlineStr">
        <is>
          <t>KS</t>
        </is>
      </c>
      <c r="D18" s="16" t="inlineStr">
        <is>
          <t>West North Central</t>
        </is>
      </c>
      <c r="E18" s="16" t="inlineStr">
        <is>
          <t>Midwest</t>
        </is>
      </c>
      <c r="F18" s="16" t="inlineStr">
        <is>
          <t>Charter</t>
        </is>
      </c>
      <c r="G18" s="16" t="inlineStr">
        <is>
          <t>Yes</t>
        </is>
      </c>
      <c r="H18" s="17" t="n">
        <v>19.94</v>
      </c>
      <c r="I18" s="17" t="n">
        <v>4.52</v>
      </c>
      <c r="J18" s="18" t="n">
        <v>296567</v>
      </c>
      <c r="K18" s="18" t="n">
        <v>67226</v>
      </c>
      <c r="L18" s="18" t="n">
        <v>229341</v>
      </c>
      <c r="M18" s="17" t="n">
        <v>15.42</v>
      </c>
      <c r="N18" s="18" t="n">
        <v>1487297</v>
      </c>
      <c r="O18" s="17" t="n">
        <v>10.27245533620532</v>
      </c>
      <c r="P18" s="18" t="n">
        <v>1494667</v>
      </c>
      <c r="Q18" s="18" t="n">
        <v>153539</v>
      </c>
      <c r="R18" s="17" t="n">
        <v>51.10036303328675</v>
      </c>
      <c r="S18" s="18" t="n">
        <v>626098</v>
      </c>
      <c r="T18" s="18" t="n">
        <v>1225232</v>
      </c>
      <c r="U18" s="16" t="inlineStr">
        <is>
          <t>No</t>
        </is>
      </c>
      <c r="V18" s="16" t="inlineStr">
        <is>
          <t>No</t>
        </is>
      </c>
      <c r="W18" s="16" t="inlineStr">
        <is>
          <t>No</t>
        </is>
      </c>
      <c r="X18" s="16" t="inlineStr">
        <is>
          <t>RETRIEVED</t>
        </is>
      </c>
    </row>
    <row r="19">
      <c r="A19" s="16" t="inlineStr">
        <is>
          <t>21</t>
        </is>
      </c>
      <c r="B19" s="16" t="inlineStr">
        <is>
          <t>Kentucky</t>
        </is>
      </c>
      <c r="C19" s="16" t="inlineStr">
        <is>
          <t>KY</t>
        </is>
      </c>
      <c r="D19" s="16" t="inlineStr">
        <is>
          <t>East South Central</t>
        </is>
      </c>
      <c r="E19" s="16" t="inlineStr">
        <is>
          <t>South</t>
        </is>
      </c>
      <c r="F19" s="16" t="inlineStr">
        <is>
          <t>Charter</t>
        </is>
      </c>
      <c r="G19" s="16" t="inlineStr">
        <is>
          <t>Yes</t>
        </is>
      </c>
      <c r="H19" s="17" t="n">
        <v>59.86</v>
      </c>
      <c r="I19" s="17" t="n">
        <v>4.79</v>
      </c>
      <c r="J19" s="18" t="n">
        <v>1363705</v>
      </c>
      <c r="K19" s="18" t="n">
        <v>109124</v>
      </c>
      <c r="L19" s="18" t="n">
        <v>1254581</v>
      </c>
      <c r="M19" s="17" t="n">
        <v>55.07</v>
      </c>
      <c r="N19" s="18" t="n">
        <v>2278158</v>
      </c>
      <c r="O19" s="17" t="n">
        <v>9.483188272489883</v>
      </c>
      <c r="P19" s="18" t="n">
        <v>2078668</v>
      </c>
      <c r="Q19" s="18" t="n">
        <v>197124</v>
      </c>
      <c r="R19" s="17" t="n">
        <v>57.38948512137119</v>
      </c>
      <c r="S19" s="18" t="n">
        <v>957081</v>
      </c>
      <c r="T19" s="18" t="n">
        <v>1667694</v>
      </c>
      <c r="U19" s="16" t="inlineStr">
        <is>
          <t>No</t>
        </is>
      </c>
      <c r="V19" s="16" t="inlineStr">
        <is>
          <t>Yes</t>
        </is>
      </c>
      <c r="W19" s="16" t="inlineStr">
        <is>
          <t>No</t>
        </is>
      </c>
      <c r="X19" s="16" t="inlineStr">
        <is>
          <t>RETRIEVED</t>
        </is>
      </c>
    </row>
    <row r="20">
      <c r="A20" s="16" t="inlineStr">
        <is>
          <t>22</t>
        </is>
      </c>
      <c r="B20" s="16" t="inlineStr">
        <is>
          <t>Louisiana</t>
        </is>
      </c>
      <c r="C20" s="16" t="inlineStr">
        <is>
          <t>LA</t>
        </is>
      </c>
      <c r="D20" s="16" t="inlineStr">
        <is>
          <t>West South Central</t>
        </is>
      </c>
      <c r="E20" s="16" t="inlineStr">
        <is>
          <t>South</t>
        </is>
      </c>
      <c r="F20" s="16" t="inlineStr">
        <is>
          <t>Charter</t>
        </is>
      </c>
      <c r="G20" s="16" t="inlineStr">
        <is>
          <t>Yes</t>
        </is>
      </c>
      <c r="H20" s="17" t="n">
        <v>13.49</v>
      </c>
      <c r="I20" s="17" t="n">
        <v>11.29</v>
      </c>
      <c r="J20" s="18" t="n">
        <v>318024</v>
      </c>
      <c r="K20" s="18" t="n">
        <v>266159</v>
      </c>
      <c r="L20" s="18" t="n">
        <v>51865</v>
      </c>
      <c r="M20" s="17" t="n">
        <v>2.2</v>
      </c>
      <c r="N20" s="18" t="n">
        <v>2357476</v>
      </c>
      <c r="O20" s="17" t="n">
        <v>7.994403286380841</v>
      </c>
      <c r="P20" s="18" t="n">
        <v>2043342</v>
      </c>
      <c r="Q20" s="18" t="n">
        <v>163353</v>
      </c>
      <c r="R20" s="17" t="n">
        <v>45.89954234578805</v>
      </c>
      <c r="S20" s="18" t="n">
        <v>754605</v>
      </c>
      <c r="T20" s="18" t="n">
        <v>1644036</v>
      </c>
      <c r="U20" s="16" t="inlineStr">
        <is>
          <t>No</t>
        </is>
      </c>
      <c r="V20" s="16" t="inlineStr">
        <is>
          <t>No</t>
        </is>
      </c>
      <c r="W20" s="16" t="inlineStr">
        <is>
          <t>No</t>
        </is>
      </c>
      <c r="X20" s="16" t="inlineStr">
        <is>
          <t>RETRIEVED</t>
        </is>
      </c>
    </row>
    <row r="21">
      <c r="A21" s="16" t="inlineStr">
        <is>
          <t>23</t>
        </is>
      </c>
      <c r="B21" s="16" t="inlineStr">
        <is>
          <t>Maine</t>
        </is>
      </c>
      <c r="C21" s="16" t="inlineStr">
        <is>
          <t>ME</t>
        </is>
      </c>
      <c r="D21" s="16" t="inlineStr">
        <is>
          <t>New England</t>
        </is>
      </c>
      <c r="E21" s="16" t="inlineStr">
        <is>
          <t>Northeast</t>
        </is>
      </c>
      <c r="F21" s="16" t="inlineStr">
        <is>
          <t>Charter</t>
        </is>
      </c>
      <c r="G21" s="16" t="inlineStr">
        <is>
          <t>Yes</t>
        </is>
      </c>
      <c r="H21" s="17" t="n">
        <v>73.58</v>
      </c>
      <c r="I21" s="17" t="n">
        <v>8.870000000000001</v>
      </c>
      <c r="J21" s="18" t="n">
        <v>600801</v>
      </c>
      <c r="K21" s="18" t="n">
        <v>72426</v>
      </c>
      <c r="L21" s="18" t="n">
        <v>528375</v>
      </c>
      <c r="M21" s="17" t="n">
        <v>64.70999999999999</v>
      </c>
      <c r="N21" s="18" t="n">
        <v>816527</v>
      </c>
      <c r="O21" s="17" t="n">
        <v>14.67232472429781</v>
      </c>
      <c r="P21" s="18" t="n">
        <v>702479</v>
      </c>
      <c r="Q21" s="18" t="n">
        <v>103070</v>
      </c>
      <c r="R21" s="17" t="n">
        <v>45.50924597346718</v>
      </c>
      <c r="S21" s="18" t="n">
        <v>242633</v>
      </c>
      <c r="T21" s="18" t="n">
        <v>533151</v>
      </c>
      <c r="U21" s="16" t="inlineStr">
        <is>
          <t>Yes</t>
        </is>
      </c>
      <c r="V21" s="16" t="inlineStr">
        <is>
          <t>No</t>
        </is>
      </c>
      <c r="W21" s="16" t="inlineStr">
        <is>
          <t>No</t>
        </is>
      </c>
      <c r="X21" s="16" t="inlineStr">
        <is>
          <t>RETRIEVED</t>
        </is>
      </c>
    </row>
    <row r="22">
      <c r="A22" s="22" t="inlineStr">
        <is>
          <t>24</t>
        </is>
      </c>
      <c r="B22" s="22" t="inlineStr">
        <is>
          <t>Maryland</t>
        </is>
      </c>
      <c r="C22" s="22" t="inlineStr">
        <is>
          <t>MD</t>
        </is>
      </c>
      <c r="D22" s="22" t="inlineStr">
        <is>
          <t>South Atlantic</t>
        </is>
      </c>
      <c r="E22" s="22" t="inlineStr">
        <is>
          <t>South</t>
        </is>
      </c>
      <c r="F22" s="22" t="inlineStr">
        <is>
          <t>Comcast</t>
        </is>
      </c>
      <c r="G22" s="22" t="inlineStr">
        <is>
          <t>No</t>
        </is>
      </c>
      <c r="H22" s="23" t="n">
        <v>0.16</v>
      </c>
      <c r="I22" s="23" t="n">
        <v>89.44</v>
      </c>
      <c r="J22" s="24" t="n">
        <v>4407</v>
      </c>
      <c r="K22" s="24" t="n">
        <v>2463446</v>
      </c>
      <c r="L22" s="24" t="n">
        <v>-2459039</v>
      </c>
      <c r="M22" s="23" t="n">
        <v>-89.28</v>
      </c>
      <c r="N22" s="24" t="n">
        <v>2754300</v>
      </c>
      <c r="O22" s="23" t="n">
        <v>15.62963339308274</v>
      </c>
      <c r="P22" s="24" t="n">
        <v>3227926</v>
      </c>
      <c r="Q22" s="24" t="n">
        <v>504513</v>
      </c>
      <c r="R22" s="23" t="n">
        <v>52.10135353935829</v>
      </c>
      <c r="S22" s="24" t="n">
        <v>1269450</v>
      </c>
      <c r="T22" s="24" t="n">
        <v>2436501</v>
      </c>
      <c r="U22" s="22" t="inlineStr">
        <is>
          <t>Yes</t>
        </is>
      </c>
      <c r="V22" s="22" t="inlineStr">
        <is>
          <t>No</t>
        </is>
      </c>
      <c r="W22" s="22" t="inlineStr">
        <is>
          <t>No</t>
        </is>
      </c>
      <c r="X22" s="22" t="inlineStr">
        <is>
          <t>RETRIEVED</t>
        </is>
      </c>
    </row>
    <row r="23">
      <c r="A23" s="22" t="inlineStr">
        <is>
          <t>25</t>
        </is>
      </c>
      <c r="B23" s="22" t="inlineStr">
        <is>
          <t>Massachusetts</t>
        </is>
      </c>
      <c r="C23" s="22" t="inlineStr">
        <is>
          <t>MA</t>
        </is>
      </c>
      <c r="D23" s="22" t="inlineStr">
        <is>
          <t>New England</t>
        </is>
      </c>
      <c r="E23" s="22" t="inlineStr">
        <is>
          <t>Northeast</t>
        </is>
      </c>
      <c r="F23" s="22" t="inlineStr">
        <is>
          <t>Comcast</t>
        </is>
      </c>
      <c r="G23" s="22" t="inlineStr">
        <is>
          <t>No</t>
        </is>
      </c>
      <c r="H23" s="23" t="n">
        <v>12.37</v>
      </c>
      <c r="I23" s="23" t="n">
        <v>85.87</v>
      </c>
      <c r="J23" s="24" t="n">
        <v>412202</v>
      </c>
      <c r="K23" s="24" t="n">
        <v>2861422</v>
      </c>
      <c r="L23" s="24" t="n">
        <v>-2449220</v>
      </c>
      <c r="M23" s="23" t="n">
        <v>-73.5</v>
      </c>
      <c r="N23" s="24" t="n">
        <v>3332272</v>
      </c>
      <c r="O23" s="23" t="n">
        <v>14.835228237253</v>
      </c>
      <c r="P23" s="24" t="n">
        <v>3752433</v>
      </c>
      <c r="Q23" s="24" t="n">
        <v>556682</v>
      </c>
      <c r="R23" s="23" t="n">
        <v>55.34668327387259</v>
      </c>
      <c r="S23" s="24" t="n">
        <v>1880082</v>
      </c>
      <c r="T23" s="24" t="n">
        <v>3396919</v>
      </c>
      <c r="U23" s="22" t="inlineStr">
        <is>
          <t>Yes</t>
        </is>
      </c>
      <c r="V23" s="22" t="inlineStr">
        <is>
          <t>Yes</t>
        </is>
      </c>
      <c r="W23" s="22" t="inlineStr">
        <is>
          <t>No</t>
        </is>
      </c>
      <c r="X23" s="22" t="inlineStr">
        <is>
          <t>RETRIEVED</t>
        </is>
      </c>
    </row>
    <row r="24">
      <c r="A24" s="22" t="inlineStr">
        <is>
          <t>26</t>
        </is>
      </c>
      <c r="B24" s="22" t="inlineStr">
        <is>
          <t>Michigan</t>
        </is>
      </c>
      <c r="C24" s="22" t="inlineStr">
        <is>
          <t>MI</t>
        </is>
      </c>
      <c r="D24" s="22" t="inlineStr">
        <is>
          <t>East North Central</t>
        </is>
      </c>
      <c r="E24" s="22" t="inlineStr">
        <is>
          <t>Midwest</t>
        </is>
      </c>
      <c r="F24" s="22" t="inlineStr">
        <is>
          <t>Comcast</t>
        </is>
      </c>
      <c r="G24" s="22" t="inlineStr">
        <is>
          <t>No</t>
        </is>
      </c>
      <c r="H24" s="23" t="n">
        <v>25.93</v>
      </c>
      <c r="I24" s="23" t="n">
        <v>58.18</v>
      </c>
      <c r="J24" s="24" t="n">
        <v>1312548</v>
      </c>
      <c r="K24" s="24" t="n">
        <v>2945008</v>
      </c>
      <c r="L24" s="24" t="n">
        <v>-1632460</v>
      </c>
      <c r="M24" s="23" t="n">
        <v>-32.25</v>
      </c>
      <c r="N24" s="24" t="n">
        <v>5061891</v>
      </c>
      <c r="O24" s="23" t="n">
        <v>11.23113908175998</v>
      </c>
      <c r="P24" s="24" t="n">
        <v>4800270</v>
      </c>
      <c r="Q24" s="24" t="n">
        <v>539125</v>
      </c>
      <c r="R24" s="23" t="n">
        <v>52.29226346483287</v>
      </c>
      <c r="S24" s="24" t="n">
        <v>2059832</v>
      </c>
      <c r="T24" s="24" t="n">
        <v>3939076</v>
      </c>
      <c r="U24" s="22" t="inlineStr">
        <is>
          <t>No</t>
        </is>
      </c>
      <c r="V24" s="22" t="inlineStr">
        <is>
          <t>No</t>
        </is>
      </c>
      <c r="W24" s="22" t="inlineStr">
        <is>
          <t>No</t>
        </is>
      </c>
      <c r="X24" s="22" t="inlineStr">
        <is>
          <t>RETRIEVED</t>
        </is>
      </c>
    </row>
    <row r="25">
      <c r="A25" s="22" t="inlineStr">
        <is>
          <t>27</t>
        </is>
      </c>
      <c r="B25" s="22" t="inlineStr">
        <is>
          <t>Minnesota</t>
        </is>
      </c>
      <c r="C25" s="22" t="inlineStr">
        <is>
          <t>MN</t>
        </is>
      </c>
      <c r="D25" s="22" t="inlineStr">
        <is>
          <t>West North Central</t>
        </is>
      </c>
      <c r="E25" s="22" t="inlineStr">
        <is>
          <t>Midwest</t>
        </is>
      </c>
      <c r="F25" s="22" t="inlineStr">
        <is>
          <t>Comcast</t>
        </is>
      </c>
      <c r="G25" s="22" t="inlineStr">
        <is>
          <t>No</t>
        </is>
      </c>
      <c r="H25" s="23" t="n">
        <v>17.4</v>
      </c>
      <c r="I25" s="23" t="n">
        <v>43.85</v>
      </c>
      <c r="J25" s="24" t="n">
        <v>496591</v>
      </c>
      <c r="K25" s="24" t="n">
        <v>1251466</v>
      </c>
      <c r="L25" s="24" t="n">
        <v>-754875</v>
      </c>
      <c r="M25" s="23" t="n">
        <v>-26.45</v>
      </c>
      <c r="N25" s="24" t="n">
        <v>2853970</v>
      </c>
      <c r="O25" s="23" t="n">
        <v>14.73305767161338</v>
      </c>
      <c r="P25" s="24" t="n">
        <v>3009002</v>
      </c>
      <c r="Q25" s="24" t="n">
        <v>443318</v>
      </c>
      <c r="R25" s="23" t="n">
        <v>54.15070766127409</v>
      </c>
      <c r="S25" s="24" t="n">
        <v>1479680</v>
      </c>
      <c r="T25" s="24" t="n">
        <v>2732522</v>
      </c>
      <c r="U25" s="22" t="inlineStr">
        <is>
          <t>Yes</t>
        </is>
      </c>
      <c r="V25" s="22" t="inlineStr">
        <is>
          <t>Yes</t>
        </is>
      </c>
      <c r="W25" s="22" t="inlineStr">
        <is>
          <t>No</t>
        </is>
      </c>
      <c r="X25" s="22" t="inlineStr">
        <is>
          <t>RETRIEVED</t>
        </is>
      </c>
    </row>
    <row r="26">
      <c r="A26" s="22" t="inlineStr">
        <is>
          <t>28</t>
        </is>
      </c>
      <c r="B26" s="22" t="inlineStr">
        <is>
          <t>Mississippi</t>
        </is>
      </c>
      <c r="C26" s="22" t="inlineStr">
        <is>
          <t>MS</t>
        </is>
      </c>
      <c r="D26" s="22" t="inlineStr">
        <is>
          <t>East South Central</t>
        </is>
      </c>
      <c r="E26" s="22" t="inlineStr">
        <is>
          <t>South</t>
        </is>
      </c>
      <c r="F26" s="22" t="inlineStr">
        <is>
          <t>Comcast</t>
        </is>
      </c>
      <c r="G26" s="22" t="inlineStr">
        <is>
          <t>No</t>
        </is>
      </c>
      <c r="H26" s="23" t="n">
        <v>1.1</v>
      </c>
      <c r="I26" s="23" t="n">
        <v>29.15</v>
      </c>
      <c r="J26" s="24" t="n">
        <v>17742</v>
      </c>
      <c r="K26" s="24" t="n">
        <v>470167</v>
      </c>
      <c r="L26" s="24" t="n">
        <v>-452425</v>
      </c>
      <c r="M26" s="23" t="n">
        <v>-28.05</v>
      </c>
      <c r="N26" s="24" t="n">
        <v>1612924</v>
      </c>
      <c r="O26" s="23" t="n">
        <v>6.240732393371171</v>
      </c>
      <c r="P26" s="24" t="n">
        <v>1302251</v>
      </c>
      <c r="Q26" s="24" t="n">
        <v>81270</v>
      </c>
      <c r="R26" s="23" t="n">
        <v>52.9830189078744</v>
      </c>
      <c r="S26" s="24" t="n">
        <v>500467</v>
      </c>
      <c r="T26" s="24" t="n">
        <v>944580</v>
      </c>
      <c r="U26" s="22" t="inlineStr">
        <is>
          <t>No</t>
        </is>
      </c>
      <c r="V26" s="22" t="inlineStr">
        <is>
          <t>Yes</t>
        </is>
      </c>
      <c r="W26" s="22" t="inlineStr">
        <is>
          <t>No</t>
        </is>
      </c>
      <c r="X26" s="22" t="inlineStr">
        <is>
          <t>RETRIEVED</t>
        </is>
      </c>
    </row>
    <row r="27">
      <c r="A27" s="16" t="inlineStr">
        <is>
          <t>29</t>
        </is>
      </c>
      <c r="B27" s="16" t="inlineStr">
        <is>
          <t>Missouri</t>
        </is>
      </c>
      <c r="C27" s="16" t="inlineStr">
        <is>
          <t>MO</t>
        </is>
      </c>
      <c r="D27" s="16" t="inlineStr">
        <is>
          <t>West North Central</t>
        </is>
      </c>
      <c r="E27" s="16" t="inlineStr">
        <is>
          <t>Midwest</t>
        </is>
      </c>
      <c r="F27" s="16" t="inlineStr">
        <is>
          <t>Charter</t>
        </is>
      </c>
      <c r="G27" s="16" t="inlineStr">
        <is>
          <t>Yes</t>
        </is>
      </c>
      <c r="H27" s="17" t="n">
        <v>49.87</v>
      </c>
      <c r="I27" s="17" t="n">
        <v>5.319999999999999</v>
      </c>
      <c r="J27" s="18" t="n">
        <v>1566412</v>
      </c>
      <c r="K27" s="18" t="n">
        <v>167101</v>
      </c>
      <c r="L27" s="18" t="n">
        <v>1399311</v>
      </c>
      <c r="M27" s="17" t="n">
        <v>44.55</v>
      </c>
      <c r="N27" s="18" t="n">
        <v>3140991</v>
      </c>
      <c r="O27" s="17" t="n">
        <v>11.78992988647522</v>
      </c>
      <c r="P27" s="18" t="n">
        <v>3054047</v>
      </c>
      <c r="Q27" s="18" t="n">
        <v>360070</v>
      </c>
      <c r="R27" s="17" t="n">
        <v>55.582648925687</v>
      </c>
      <c r="S27" s="18" t="n">
        <v>1425352</v>
      </c>
      <c r="T27" s="18" t="n">
        <v>2564383</v>
      </c>
      <c r="U27" s="16" t="inlineStr">
        <is>
          <t>No</t>
        </is>
      </c>
      <c r="V27" s="16" t="inlineStr">
        <is>
          <t>Yes</t>
        </is>
      </c>
      <c r="W27" s="16" t="inlineStr">
        <is>
          <t>No</t>
        </is>
      </c>
      <c r="X27" s="16" t="inlineStr">
        <is>
          <t>RETRIEVED</t>
        </is>
      </c>
    </row>
    <row r="28">
      <c r="A28" s="16" t="inlineStr">
        <is>
          <t>30</t>
        </is>
      </c>
      <c r="B28" s="16" t="inlineStr">
        <is>
          <t>Montana</t>
        </is>
      </c>
      <c r="C28" s="16" t="inlineStr">
        <is>
          <t>MT</t>
        </is>
      </c>
      <c r="D28" s="16" t="inlineStr">
        <is>
          <t>Mountain</t>
        </is>
      </c>
      <c r="E28" s="16" t="inlineStr">
        <is>
          <t>West</t>
        </is>
      </c>
      <c r="F28" s="16" t="inlineStr">
        <is>
          <t>Charter</t>
        </is>
      </c>
      <c r="G28" s="16" t="inlineStr">
        <is>
          <t>Yes</t>
        </is>
      </c>
      <c r="H28" s="17" t="n">
        <v>54.43</v>
      </c>
      <c r="I28" s="17" t="n"/>
      <c r="J28" s="18" t="n">
        <v>335785</v>
      </c>
      <c r="K28" s="18" t="n"/>
      <c r="L28" s="18" t="n">
        <v>335785</v>
      </c>
      <c r="M28" s="17" t="n">
        <v>54.43</v>
      </c>
      <c r="N28" s="18" t="n">
        <v>616912</v>
      </c>
      <c r="O28" s="17" t="n">
        <v>11.6851216400121</v>
      </c>
      <c r="P28" s="18" t="n">
        <v>565069</v>
      </c>
      <c r="Q28" s="18" t="n">
        <v>66029</v>
      </c>
      <c r="R28" s="17" t="n">
        <v>33.67103650052272</v>
      </c>
      <c r="S28" s="18" t="n">
        <v>134304</v>
      </c>
      <c r="T28" s="18" t="n">
        <v>398871</v>
      </c>
      <c r="U28" s="16" t="inlineStr">
        <is>
          <t>No</t>
        </is>
      </c>
      <c r="V28" s="16" t="inlineStr">
        <is>
          <t>No</t>
        </is>
      </c>
      <c r="W28" s="16" t="inlineStr">
        <is>
          <t>No</t>
        </is>
      </c>
      <c r="X28" s="16" t="inlineStr">
        <is>
          <t>RETRIEVED</t>
        </is>
      </c>
    </row>
    <row r="29">
      <c r="A29" s="16" t="inlineStr">
        <is>
          <t>31</t>
        </is>
      </c>
      <c r="B29" s="16" t="inlineStr">
        <is>
          <t>Nebraska</t>
        </is>
      </c>
      <c r="C29" s="16" t="inlineStr">
        <is>
          <t>NE</t>
        </is>
      </c>
      <c r="D29" s="16" t="inlineStr">
        <is>
          <t>West North Central</t>
        </is>
      </c>
      <c r="E29" s="16" t="inlineStr">
        <is>
          <t>Midwest</t>
        </is>
      </c>
      <c r="F29" s="16" t="inlineStr">
        <is>
          <t>Charter</t>
        </is>
      </c>
      <c r="G29" s="16" t="inlineStr">
        <is>
          <t>Yes</t>
        </is>
      </c>
      <c r="H29" s="17" t="n">
        <v>31.31</v>
      </c>
      <c r="I29" s="17" t="n"/>
      <c r="J29" s="18" t="n">
        <v>312736</v>
      </c>
      <c r="K29" s="18" t="n"/>
      <c r="L29" s="18" t="n">
        <v>312736</v>
      </c>
      <c r="M29" s="17" t="n">
        <v>31.31</v>
      </c>
      <c r="N29" s="18" t="n">
        <v>998839</v>
      </c>
      <c r="O29" s="17" t="n">
        <v>9.739549050984147</v>
      </c>
      <c r="P29" s="18" t="n">
        <v>1036126</v>
      </c>
      <c r="Q29" s="18" t="n">
        <v>100914</v>
      </c>
      <c r="R29" s="17" t="n">
        <v>52.50199426998483</v>
      </c>
      <c r="S29" s="18" t="n">
        <v>467294</v>
      </c>
      <c r="T29" s="18" t="n">
        <v>890050</v>
      </c>
      <c r="U29" s="16" t="inlineStr">
        <is>
          <t>No</t>
        </is>
      </c>
      <c r="V29" s="16" t="inlineStr">
        <is>
          <t>No</t>
        </is>
      </c>
      <c r="W29" s="16" t="inlineStr">
        <is>
          <t>No</t>
        </is>
      </c>
      <c r="X29" s="16" t="inlineStr">
        <is>
          <t>RETRIEVED</t>
        </is>
      </c>
    </row>
    <row r="30">
      <c r="A30" s="16" t="inlineStr">
        <is>
          <t>32</t>
        </is>
      </c>
      <c r="B30" s="16" t="inlineStr">
        <is>
          <t>Nevada</t>
        </is>
      </c>
      <c r="C30" s="16" t="inlineStr">
        <is>
          <t>NV</t>
        </is>
      </c>
      <c r="D30" s="16" t="inlineStr">
        <is>
          <t>Mountain</t>
        </is>
      </c>
      <c r="E30" s="16" t="inlineStr">
        <is>
          <t>West</t>
        </is>
      </c>
      <c r="F30" s="16" t="inlineStr">
        <is>
          <t>Charter</t>
        </is>
      </c>
      <c r="G30" s="16" t="inlineStr">
        <is>
          <t>Yes</t>
        </is>
      </c>
      <c r="H30" s="17" t="n">
        <v>21.15</v>
      </c>
      <c r="I30" s="17" t="n"/>
      <c r="J30" s="18" t="n">
        <v>307579</v>
      </c>
      <c r="K30" s="18" t="n"/>
      <c r="L30" s="18" t="n">
        <v>307579</v>
      </c>
      <c r="M30" s="17" t="n">
        <v>21.15</v>
      </c>
      <c r="N30" s="18" t="n">
        <v>1454275</v>
      </c>
      <c r="O30" s="17" t="n">
        <v>11.33208478254407</v>
      </c>
      <c r="P30" s="18" t="n">
        <v>1581033</v>
      </c>
      <c r="Q30" s="18" t="n">
        <v>179164</v>
      </c>
      <c r="R30" s="17" t="n">
        <v>55.01500880630634</v>
      </c>
      <c r="S30" s="18" t="n">
        <v>707811</v>
      </c>
      <c r="T30" s="18" t="n">
        <v>1286578</v>
      </c>
      <c r="U30" s="16" t="inlineStr">
        <is>
          <t>No</t>
        </is>
      </c>
      <c r="V30" s="16" t="inlineStr">
        <is>
          <t>Yes</t>
        </is>
      </c>
      <c r="W30" s="16" t="inlineStr">
        <is>
          <t>No</t>
        </is>
      </c>
      <c r="X30" s="16" t="inlineStr">
        <is>
          <t>RETRIEVED</t>
        </is>
      </c>
    </row>
    <row r="31">
      <c r="A31" s="22" t="inlineStr">
        <is>
          <t>33</t>
        </is>
      </c>
      <c r="B31" s="22" t="inlineStr">
        <is>
          <t>New Hampshire</t>
        </is>
      </c>
      <c r="C31" s="22" t="inlineStr">
        <is>
          <t>NH</t>
        </is>
      </c>
      <c r="D31" s="22" t="inlineStr">
        <is>
          <t>New England</t>
        </is>
      </c>
      <c r="E31" s="22" t="inlineStr">
        <is>
          <t>Northeast</t>
        </is>
      </c>
      <c r="F31" s="22" t="inlineStr">
        <is>
          <t>Comcast</t>
        </is>
      </c>
      <c r="G31" s="22" t="inlineStr">
        <is>
          <t>No</t>
        </is>
      </c>
      <c r="H31" s="23" t="n">
        <v>13.9</v>
      </c>
      <c r="I31" s="23" t="n">
        <v>70.19</v>
      </c>
      <c r="J31" s="24" t="n">
        <v>99798</v>
      </c>
      <c r="K31" s="24" t="n">
        <v>503942</v>
      </c>
      <c r="L31" s="24" t="n">
        <v>-404144</v>
      </c>
      <c r="M31" s="23" t="n">
        <v>-56.29</v>
      </c>
      <c r="N31" s="24" t="n">
        <v>717969</v>
      </c>
      <c r="O31" s="23" t="n">
        <v>16.03909321769803</v>
      </c>
      <c r="P31" s="24" t="n">
        <v>754095</v>
      </c>
      <c r="Q31" s="24" t="n">
        <v>120950</v>
      </c>
      <c r="R31" s="23" t="n">
        <v>49.7081669372888</v>
      </c>
      <c r="S31" s="24" t="n">
        <v>305829</v>
      </c>
      <c r="T31" s="24" t="n">
        <v>615249</v>
      </c>
      <c r="U31" s="22" t="inlineStr">
        <is>
          <t>Yes</t>
        </is>
      </c>
      <c r="V31" s="22" t="inlineStr">
        <is>
          <t>No</t>
        </is>
      </c>
      <c r="W31" s="22" t="inlineStr">
        <is>
          <t>No</t>
        </is>
      </c>
      <c r="X31" s="22" t="inlineStr">
        <is>
          <t>RETRIEVED</t>
        </is>
      </c>
    </row>
    <row r="32">
      <c r="A32" s="22" t="inlineStr">
        <is>
          <t>34</t>
        </is>
      </c>
      <c r="B32" s="22" t="inlineStr">
        <is>
          <t>New Jersey</t>
        </is>
      </c>
      <c r="C32" s="22" t="inlineStr">
        <is>
          <t>NJ</t>
        </is>
      </c>
      <c r="D32" s="22" t="inlineStr">
        <is>
          <t>Middle Atlantic</t>
        </is>
      </c>
      <c r="E32" s="22" t="inlineStr">
        <is>
          <t>Northeast</t>
        </is>
      </c>
      <c r="F32" s="22" t="inlineStr">
        <is>
          <t>Comcast</t>
        </is>
      </c>
      <c r="G32" s="22" t="inlineStr">
        <is>
          <t>No</t>
        </is>
      </c>
      <c r="H32" s="23" t="n">
        <v>2.21</v>
      </c>
      <c r="I32" s="23" t="n">
        <v>57.57</v>
      </c>
      <c r="J32" s="24" t="n">
        <v>91648</v>
      </c>
      <c r="K32" s="24" t="n">
        <v>2387411</v>
      </c>
      <c r="L32" s="24" t="n">
        <v>-2295763</v>
      </c>
      <c r="M32" s="23" t="n">
        <v>-55.36</v>
      </c>
      <c r="N32" s="24" t="n">
        <v>4146970</v>
      </c>
      <c r="O32" s="23" t="n">
        <v>13.50596040089432</v>
      </c>
      <c r="P32" s="24" t="n">
        <v>4772330</v>
      </c>
      <c r="Q32" s="24" t="n">
        <v>644549</v>
      </c>
      <c r="R32" s="23" t="n">
        <v>51.20203413900719</v>
      </c>
      <c r="S32" s="24" t="n">
        <v>1952693</v>
      </c>
      <c r="T32" s="24" t="n">
        <v>3813702</v>
      </c>
      <c r="U32" s="22" t="inlineStr">
        <is>
          <t>Yes</t>
        </is>
      </c>
      <c r="V32" s="22" t="inlineStr">
        <is>
          <t>No</t>
        </is>
      </c>
      <c r="W32" s="22" t="inlineStr">
        <is>
          <t>No</t>
        </is>
      </c>
      <c r="X32" s="22" t="inlineStr">
        <is>
          <t>RETRIEVED</t>
        </is>
      </c>
    </row>
    <row r="33">
      <c r="A33" s="22" t="inlineStr">
        <is>
          <t>35</t>
        </is>
      </c>
      <c r="B33" s="22" t="inlineStr">
        <is>
          <t>New Mexico</t>
        </is>
      </c>
      <c r="C33" s="22" t="inlineStr">
        <is>
          <t>NM</t>
        </is>
      </c>
      <c r="D33" s="22" t="inlineStr">
        <is>
          <t>Mountain</t>
        </is>
      </c>
      <c r="E33" s="22" t="inlineStr">
        <is>
          <t>West</t>
        </is>
      </c>
      <c r="F33" s="22" t="inlineStr">
        <is>
          <t>Comcast</t>
        </is>
      </c>
      <c r="G33" s="22" t="inlineStr">
        <is>
          <t>No</t>
        </is>
      </c>
      <c r="H33" s="23" t="n">
        <v>1.31</v>
      </c>
      <c r="I33" s="23" t="n">
        <v>58.17</v>
      </c>
      <c r="J33" s="24" t="n">
        <v>14165</v>
      </c>
      <c r="K33" s="24" t="n">
        <v>628976</v>
      </c>
      <c r="L33" s="24" t="n">
        <v>-614811</v>
      </c>
      <c r="M33" s="23" t="n">
        <v>-56.86</v>
      </c>
      <c r="N33" s="24" t="n">
        <v>1081272</v>
      </c>
      <c r="O33" s="23" t="n">
        <v>10.26659650785199</v>
      </c>
      <c r="P33" s="24" t="n">
        <v>954026</v>
      </c>
      <c r="Q33" s="24" t="n">
        <v>97946</v>
      </c>
      <c r="R33" s="23" t="n">
        <v>46.69122133940837</v>
      </c>
      <c r="S33" s="24" t="n">
        <v>298412</v>
      </c>
      <c r="T33" s="24" t="n">
        <v>639118</v>
      </c>
      <c r="U33" s="22" t="inlineStr">
        <is>
          <t>No</t>
        </is>
      </c>
      <c r="V33" s="22" t="inlineStr">
        <is>
          <t>No</t>
        </is>
      </c>
      <c r="W33" s="22" t="inlineStr">
        <is>
          <t>No</t>
        </is>
      </c>
      <c r="X33" s="22" t="inlineStr">
        <is>
          <t>RETRIEVED</t>
        </is>
      </c>
    </row>
    <row r="34">
      <c r="A34" s="16" t="inlineStr">
        <is>
          <t>36</t>
        </is>
      </c>
      <c r="B34" s="16" t="inlineStr">
        <is>
          <t>New York</t>
        </is>
      </c>
      <c r="C34" s="16" t="inlineStr">
        <is>
          <t>NY</t>
        </is>
      </c>
      <c r="D34" s="16" t="inlineStr">
        <is>
          <t>Middle Atlantic</t>
        </is>
      </c>
      <c r="E34" s="16" t="inlineStr">
        <is>
          <t>Northeast</t>
        </is>
      </c>
      <c r="F34" s="16" t="inlineStr">
        <is>
          <t>Charter</t>
        </is>
      </c>
      <c r="G34" s="16" t="inlineStr">
        <is>
          <t>Yes</t>
        </is>
      </c>
      <c r="H34" s="17" t="n">
        <v>60.22</v>
      </c>
      <c r="I34" s="17" t="n">
        <v>0.48</v>
      </c>
      <c r="J34" s="18" t="n">
        <v>5580990</v>
      </c>
      <c r="K34" s="18" t="n">
        <v>44485</v>
      </c>
      <c r="L34" s="18" t="n">
        <v>5536505</v>
      </c>
      <c r="M34" s="17" t="n">
        <v>59.74</v>
      </c>
      <c r="N34" s="18" t="n">
        <v>9267668</v>
      </c>
      <c r="O34" s="17" t="n">
        <v>11.7689727472086</v>
      </c>
      <c r="P34" s="18" t="n">
        <v>9557920</v>
      </c>
      <c r="Q34" s="18" t="n">
        <v>1124869</v>
      </c>
      <c r="R34" s="17" t="n">
        <v>53.35120411265969</v>
      </c>
      <c r="S34" s="18" t="n">
        <v>4497387</v>
      </c>
      <c r="T34" s="18" t="n">
        <v>8429776</v>
      </c>
      <c r="U34" s="16" t="inlineStr">
        <is>
          <t>No</t>
        </is>
      </c>
      <c r="V34" s="16" t="inlineStr">
        <is>
          <t>Yes</t>
        </is>
      </c>
      <c r="W34" s="16" t="inlineStr">
        <is>
          <t>No</t>
        </is>
      </c>
      <c r="X34" s="16" t="inlineStr">
        <is>
          <t>RETRIEVED</t>
        </is>
      </c>
    </row>
    <row r="35">
      <c r="A35" s="25" t="inlineStr">
        <is>
          <t>37</t>
        </is>
      </c>
      <c r="B35" s="25" t="inlineStr">
        <is>
          <t>North Carolina</t>
        </is>
      </c>
      <c r="C35" s="25" t="inlineStr">
        <is>
          <t>NC</t>
        </is>
      </c>
      <c r="D35" s="25" t="inlineStr">
        <is>
          <t>South Atlantic</t>
        </is>
      </c>
      <c r="E35" s="25" t="inlineStr">
        <is>
          <t>South</t>
        </is>
      </c>
      <c r="F35" s="25" t="inlineStr">
        <is>
          <t>Charter</t>
        </is>
      </c>
      <c r="G35" s="25" t="inlineStr">
        <is>
          <t>Yes</t>
        </is>
      </c>
      <c r="H35" s="26" t="n">
        <v>78.99000000000001</v>
      </c>
      <c r="I35" s="26" t="n">
        <v>0.04</v>
      </c>
      <c r="J35" s="27" t="n">
        <v>4365296</v>
      </c>
      <c r="K35" s="27" t="n">
        <v>2211</v>
      </c>
      <c r="L35" s="27" t="n">
        <v>4363085</v>
      </c>
      <c r="M35" s="26" t="n">
        <v>78.95</v>
      </c>
      <c r="N35" s="27" t="n">
        <v>5526391</v>
      </c>
      <c r="O35" s="26" t="n">
        <v>15.40536171715129</v>
      </c>
      <c r="P35" s="27" t="n">
        <v>5375927</v>
      </c>
      <c r="Q35" s="27" t="n">
        <v>828181</v>
      </c>
      <c r="R35" s="26" t="n">
        <v>55.79073143043873</v>
      </c>
      <c r="S35" s="27" t="n">
        <v>2291192</v>
      </c>
      <c r="T35" s="27" t="n">
        <v>4106761</v>
      </c>
      <c r="U35" s="25" t="inlineStr">
        <is>
          <t>Yes</t>
        </is>
      </c>
      <c r="V35" s="25" t="inlineStr">
        <is>
          <t>Yes</t>
        </is>
      </c>
      <c r="W35" s="25" t="inlineStr">
        <is>
          <t>Yes</t>
        </is>
      </c>
      <c r="X35" s="25" t="inlineStr">
        <is>
          <t>RETRIEVED</t>
        </is>
      </c>
    </row>
    <row r="36">
      <c r="A36" s="19" t="inlineStr">
        <is>
          <t>38</t>
        </is>
      </c>
      <c r="B36" s="19" t="inlineStr">
        <is>
          <t>North Dakota</t>
        </is>
      </c>
      <c r="C36" s="19" t="inlineStr">
        <is>
          <t>ND</t>
        </is>
      </c>
      <c r="D36" s="19" t="inlineStr">
        <is>
          <t>West North Central</t>
        </is>
      </c>
      <c r="E36" s="19" t="inlineStr">
        <is>
          <t>Midwest</t>
        </is>
      </c>
      <c r="F36" s="19" t="inlineStr">
        <is>
          <t>Neither</t>
        </is>
      </c>
      <c r="G36" s="19" t="inlineStr">
        <is>
          <t>No</t>
        </is>
      </c>
      <c r="H36" s="20" t="n"/>
      <c r="I36" s="20" t="n"/>
      <c r="J36" s="21" t="n"/>
      <c r="K36" s="21" t="n"/>
      <c r="L36" s="21" t="n">
        <v>0</v>
      </c>
      <c r="M36" s="20" t="n">
        <v>0</v>
      </c>
      <c r="N36" s="21" t="n">
        <v>452871</v>
      </c>
      <c r="O36" s="20" t="n">
        <v>7.090189060661795</v>
      </c>
      <c r="P36" s="21" t="n">
        <v>422457</v>
      </c>
      <c r="Q36" s="21" t="n">
        <v>29953</v>
      </c>
      <c r="R36" s="20" t="n">
        <v>42.39378404825541</v>
      </c>
      <c r="S36" s="21" t="n">
        <v>145133</v>
      </c>
      <c r="T36" s="21" t="n">
        <v>342345</v>
      </c>
      <c r="U36" s="19" t="inlineStr">
        <is>
          <t>No</t>
        </is>
      </c>
      <c r="V36" s="19" t="inlineStr">
        <is>
          <t>No</t>
        </is>
      </c>
      <c r="W36" s="19" t="inlineStr">
        <is>
          <t>No</t>
        </is>
      </c>
      <c r="X36" s="19" t="inlineStr">
        <is>
          <t>RETRIEVED</t>
        </is>
      </c>
    </row>
    <row r="37">
      <c r="A37" s="16" t="inlineStr">
        <is>
          <t>39</t>
        </is>
      </c>
      <c r="B37" s="16" t="inlineStr">
        <is>
          <t>Ohio</t>
        </is>
      </c>
      <c r="C37" s="16" t="inlineStr">
        <is>
          <t>OH</t>
        </is>
      </c>
      <c r="D37" s="16" t="inlineStr">
        <is>
          <t>East North Central</t>
        </is>
      </c>
      <c r="E37" s="16" t="inlineStr">
        <is>
          <t>Midwest</t>
        </is>
      </c>
      <c r="F37" s="16" t="inlineStr">
        <is>
          <t>Charter</t>
        </is>
      </c>
      <c r="G37" s="16" t="inlineStr">
        <is>
          <t>Yes</t>
        </is>
      </c>
      <c r="H37" s="17" t="n">
        <v>77.34999999999999</v>
      </c>
      <c r="I37" s="17" t="n">
        <v>1.67</v>
      </c>
      <c r="J37" s="18" t="n">
        <v>4512248</v>
      </c>
      <c r="K37" s="18" t="n">
        <v>97420</v>
      </c>
      <c r="L37" s="18" t="n">
        <v>4414828</v>
      </c>
      <c r="M37" s="17" t="n">
        <v>75.68000000000001</v>
      </c>
      <c r="N37" s="18" t="n">
        <v>5833546</v>
      </c>
      <c r="O37" s="17" t="n">
        <v>11.91578982421641</v>
      </c>
      <c r="P37" s="18" t="n">
        <v>5765669</v>
      </c>
      <c r="Q37" s="18" t="n">
        <v>687025</v>
      </c>
      <c r="R37" s="17" t="n">
        <v>56.18224959547187</v>
      </c>
      <c r="S37" s="18" t="n">
        <v>2788779</v>
      </c>
      <c r="T37" s="18" t="n">
        <v>4963808</v>
      </c>
      <c r="U37" s="16" t="inlineStr">
        <is>
          <t>No</t>
        </is>
      </c>
      <c r="V37" s="16" t="inlineStr">
        <is>
          <t>Yes</t>
        </is>
      </c>
      <c r="W37" s="16" t="inlineStr">
        <is>
          <t>No</t>
        </is>
      </c>
      <c r="X37" s="16" t="inlineStr">
        <is>
          <t>RETRIEVED</t>
        </is>
      </c>
    </row>
    <row r="38">
      <c r="A38" s="19" t="inlineStr">
        <is>
          <t>40</t>
        </is>
      </c>
      <c r="B38" s="19" t="inlineStr">
        <is>
          <t>Oklahoma</t>
        </is>
      </c>
      <c r="C38" s="19" t="inlineStr">
        <is>
          <t>OK</t>
        </is>
      </c>
      <c r="D38" s="19" t="inlineStr">
        <is>
          <t>West South Central</t>
        </is>
      </c>
      <c r="E38" s="19" t="inlineStr">
        <is>
          <t>South</t>
        </is>
      </c>
      <c r="F38" s="19" t="inlineStr">
        <is>
          <t>Neither</t>
        </is>
      </c>
      <c r="G38" s="19" t="inlineStr">
        <is>
          <t>No</t>
        </is>
      </c>
      <c r="H38" s="20" t="n"/>
      <c r="I38" s="20" t="n"/>
      <c r="J38" s="21" t="n"/>
      <c r="K38" s="21" t="n"/>
      <c r="L38" s="21" t="n">
        <v>0</v>
      </c>
      <c r="M38" s="20" t="n">
        <v>0</v>
      </c>
      <c r="N38" s="21" t="n">
        <v>2056192</v>
      </c>
      <c r="O38" s="20" t="n">
        <v>8.927082822537145</v>
      </c>
      <c r="P38" s="21" t="n">
        <v>1876156</v>
      </c>
      <c r="Q38" s="21" t="n">
        <v>167486</v>
      </c>
      <c r="R38" s="20" t="n">
        <v>49.16057039788043</v>
      </c>
      <c r="S38" s="21" t="n">
        <v>683562</v>
      </c>
      <c r="T38" s="21" t="n">
        <v>1390468</v>
      </c>
      <c r="U38" s="19" t="inlineStr">
        <is>
          <t>No</t>
        </is>
      </c>
      <c r="V38" s="19" t="inlineStr">
        <is>
          <t>No</t>
        </is>
      </c>
      <c r="W38" s="19" t="inlineStr">
        <is>
          <t>No</t>
        </is>
      </c>
      <c r="X38" s="19" t="inlineStr">
        <is>
          <t>RETRIEVED</t>
        </is>
      </c>
    </row>
    <row r="39">
      <c r="A39" s="22" t="inlineStr">
        <is>
          <t>41</t>
        </is>
      </c>
      <c r="B39" s="22" t="inlineStr">
        <is>
          <t>Oregon</t>
        </is>
      </c>
      <c r="C39" s="22" t="inlineStr">
        <is>
          <t>OR</t>
        </is>
      </c>
      <c r="D39" s="22" t="inlineStr">
        <is>
          <t>Pacific</t>
        </is>
      </c>
      <c r="E39" s="22" t="inlineStr">
        <is>
          <t>West</t>
        </is>
      </c>
      <c r="F39" s="22" t="inlineStr">
        <is>
          <t>Comcast</t>
        </is>
      </c>
      <c r="G39" s="22" t="inlineStr">
        <is>
          <t>No</t>
        </is>
      </c>
      <c r="H39" s="23" t="n">
        <v>20.74</v>
      </c>
      <c r="I39" s="23" t="n">
        <v>58.01</v>
      </c>
      <c r="J39" s="24" t="n">
        <v>429744</v>
      </c>
      <c r="K39" s="24" t="n">
        <v>1201997</v>
      </c>
      <c r="L39" s="24" t="n">
        <v>-772253</v>
      </c>
      <c r="M39" s="23" t="n">
        <v>-37.27</v>
      </c>
      <c r="N39" s="24" t="n">
        <v>2072052</v>
      </c>
      <c r="O39" s="23" t="n">
        <v>17.06258878502426</v>
      </c>
      <c r="P39" s="24" t="n">
        <v>2080165</v>
      </c>
      <c r="Q39" s="24" t="n">
        <v>354930</v>
      </c>
      <c r="R39" s="23" t="n">
        <v>46.63278149946665</v>
      </c>
      <c r="S39" s="24" t="n">
        <v>777278</v>
      </c>
      <c r="T39" s="24" t="n">
        <v>1666806</v>
      </c>
      <c r="U39" s="22" t="inlineStr">
        <is>
          <t>Yes</t>
        </is>
      </c>
      <c r="V39" s="22" t="inlineStr">
        <is>
          <t>No</t>
        </is>
      </c>
      <c r="W39" s="22" t="inlineStr">
        <is>
          <t>No</t>
        </is>
      </c>
      <c r="X39" s="22" t="inlineStr">
        <is>
          <t>RETRIEVED</t>
        </is>
      </c>
    </row>
    <row r="40">
      <c r="A40" s="22" t="inlineStr">
        <is>
          <t>42</t>
        </is>
      </c>
      <c r="B40" s="22" t="inlineStr">
        <is>
          <t>Pennsylvania</t>
        </is>
      </c>
      <c r="C40" s="22" t="inlineStr">
        <is>
          <t>PA</t>
        </is>
      </c>
      <c r="D40" s="22" t="inlineStr">
        <is>
          <t>Middle Atlantic</t>
        </is>
      </c>
      <c r="E40" s="22" t="inlineStr">
        <is>
          <t>Northeast</t>
        </is>
      </c>
      <c r="F40" s="22" t="inlineStr">
        <is>
          <t>Comcast</t>
        </is>
      </c>
      <c r="G40" s="22" t="inlineStr">
        <is>
          <t>No</t>
        </is>
      </c>
      <c r="H40" s="23" t="n">
        <v>2.77</v>
      </c>
      <c r="I40" s="23" t="n">
        <v>71.31</v>
      </c>
      <c r="J40" s="24" t="n">
        <v>176083</v>
      </c>
      <c r="K40" s="24" t="n">
        <v>4533021</v>
      </c>
      <c r="L40" s="24" t="n">
        <v>-4356938</v>
      </c>
      <c r="M40" s="23" t="n">
        <v>-68.54000000000001</v>
      </c>
      <c r="N40" s="24" t="n">
        <v>6356781</v>
      </c>
      <c r="O40" s="23" t="n">
        <v>13.82743087606819</v>
      </c>
      <c r="P40" s="24" t="n">
        <v>6390587</v>
      </c>
      <c r="Q40" s="24" t="n">
        <v>883654</v>
      </c>
      <c r="R40" s="23" t="n">
        <v>54.76198917424523</v>
      </c>
      <c r="S40" s="24" t="n">
        <v>3058364</v>
      </c>
      <c r="T40" s="24" t="n">
        <v>5584830</v>
      </c>
      <c r="U40" s="22" t="inlineStr">
        <is>
          <t>Yes</t>
        </is>
      </c>
      <c r="V40" s="22" t="inlineStr">
        <is>
          <t>Yes</t>
        </is>
      </c>
      <c r="W40" s="22" t="inlineStr">
        <is>
          <t>No</t>
        </is>
      </c>
      <c r="X40" s="22" t="inlineStr">
        <is>
          <t>RETRIEVED</t>
        </is>
      </c>
    </row>
    <row r="41">
      <c r="A41" s="22" t="inlineStr">
        <is>
          <t>44</t>
        </is>
      </c>
      <c r="B41" s="22" t="inlineStr">
        <is>
          <t>Rhode Island</t>
        </is>
      </c>
      <c r="C41" s="22" t="inlineStr">
        <is>
          <t>RI</t>
        </is>
      </c>
      <c r="D41" s="22" t="inlineStr">
        <is>
          <t>New England</t>
        </is>
      </c>
      <c r="E41" s="22" t="inlineStr">
        <is>
          <t>Northeast</t>
        </is>
      </c>
      <c r="F41" s="22" t="inlineStr">
        <is>
          <t>Comcast</t>
        </is>
      </c>
      <c r="G41" s="22" t="inlineStr">
        <is>
          <t>No</t>
        </is>
      </c>
      <c r="H41" s="23" t="n">
        <v>0.02</v>
      </c>
      <c r="I41" s="23" t="n">
        <v>0.05</v>
      </c>
      <c r="J41" s="24" t="n">
        <v>106</v>
      </c>
      <c r="K41" s="24" t="n">
        <v>265</v>
      </c>
      <c r="L41" s="24" t="n">
        <v>-159</v>
      </c>
      <c r="M41" s="23" t="n">
        <v>-0.03</v>
      </c>
      <c r="N41" s="24" t="n">
        <v>530201</v>
      </c>
      <c r="O41" s="23" t="n">
        <v>11.57893806717269</v>
      </c>
      <c r="P41" s="24" t="n">
        <v>565855</v>
      </c>
      <c r="Q41" s="24" t="n">
        <v>65520</v>
      </c>
      <c r="R41" s="23" t="n">
        <v>48.86804959216074</v>
      </c>
      <c r="S41" s="24" t="n">
        <v>214541</v>
      </c>
      <c r="T41" s="24" t="n">
        <v>439021</v>
      </c>
      <c r="U41" s="22" t="inlineStr">
        <is>
          <t>No</t>
        </is>
      </c>
      <c r="V41" s="22" t="inlineStr">
        <is>
          <t>No</t>
        </is>
      </c>
      <c r="W41" s="22" t="inlineStr">
        <is>
          <t>No</t>
        </is>
      </c>
      <c r="X41" s="22" t="inlineStr">
        <is>
          <t>RETRIEVED</t>
        </is>
      </c>
    </row>
    <row r="42">
      <c r="A42" s="16" t="inlineStr">
        <is>
          <t>45</t>
        </is>
      </c>
      <c r="B42" s="16" t="inlineStr">
        <is>
          <t>South Carolina</t>
        </is>
      </c>
      <c r="C42" s="16" t="inlineStr">
        <is>
          <t>SC</t>
        </is>
      </c>
      <c r="D42" s="16" t="inlineStr">
        <is>
          <t>South Atlantic</t>
        </is>
      </c>
      <c r="E42" s="16" t="inlineStr">
        <is>
          <t>South</t>
        </is>
      </c>
      <c r="F42" s="16" t="inlineStr">
        <is>
          <t>Charter</t>
        </is>
      </c>
      <c r="G42" s="16" t="inlineStr">
        <is>
          <t>Yes</t>
        </is>
      </c>
      <c r="H42" s="17" t="n">
        <v>59.86</v>
      </c>
      <c r="I42" s="17" t="n">
        <v>14.78</v>
      </c>
      <c r="J42" s="18" t="n">
        <v>1660655</v>
      </c>
      <c r="K42" s="18" t="n">
        <v>410031</v>
      </c>
      <c r="L42" s="18" t="n">
        <v>1250624</v>
      </c>
      <c r="M42" s="17" t="n">
        <v>45.08</v>
      </c>
      <c r="N42" s="18" t="n">
        <v>2774232</v>
      </c>
      <c r="O42" s="17" t="n">
        <v>12.3202859790688</v>
      </c>
      <c r="P42" s="18" t="n">
        <v>2571377</v>
      </c>
      <c r="Q42" s="18" t="n">
        <v>316801</v>
      </c>
      <c r="R42" s="17" t="n">
        <v>57.11917906537229</v>
      </c>
      <c r="S42" s="18" t="n">
        <v>1149989</v>
      </c>
      <c r="T42" s="18" t="n">
        <v>2013315</v>
      </c>
      <c r="U42" s="16" t="inlineStr">
        <is>
          <t>No</t>
        </is>
      </c>
      <c r="V42" s="16" t="inlineStr">
        <is>
          <t>Yes</t>
        </is>
      </c>
      <c r="W42" s="16" t="inlineStr">
        <is>
          <t>No</t>
        </is>
      </c>
      <c r="X42" s="16" t="inlineStr">
        <is>
          <t>RETRIEVED</t>
        </is>
      </c>
    </row>
    <row r="43">
      <c r="A43" s="19" t="inlineStr">
        <is>
          <t>46</t>
        </is>
      </c>
      <c r="B43" s="19" t="inlineStr">
        <is>
          <t>South Dakota</t>
        </is>
      </c>
      <c r="C43" s="19" t="inlineStr">
        <is>
          <t>SD</t>
        </is>
      </c>
      <c r="D43" s="19" t="inlineStr">
        <is>
          <t>West North Central</t>
        </is>
      </c>
      <c r="E43" s="19" t="inlineStr">
        <is>
          <t>Midwest</t>
        </is>
      </c>
      <c r="F43" s="19" t="inlineStr">
        <is>
          <t>Neither</t>
        </is>
      </c>
      <c r="G43" s="19" t="inlineStr">
        <is>
          <t>No</t>
        </is>
      </c>
      <c r="H43" s="20" t="n"/>
      <c r="I43" s="20" t="n"/>
      <c r="J43" s="21" t="n"/>
      <c r="K43" s="21" t="n"/>
      <c r="L43" s="21" t="n">
        <v>0</v>
      </c>
      <c r="M43" s="20" t="n">
        <v>0</v>
      </c>
      <c r="N43" s="21" t="n">
        <v>498516</v>
      </c>
      <c r="O43" s="20" t="n">
        <v>8.038654123757913</v>
      </c>
      <c r="P43" s="21" t="n">
        <v>475913</v>
      </c>
      <c r="Q43" s="21" t="n">
        <v>38257</v>
      </c>
      <c r="R43" s="20" t="n">
        <v>42.03625392189117</v>
      </c>
      <c r="S43" s="21" t="n">
        <v>157158</v>
      </c>
      <c r="T43" s="21" t="n">
        <v>373863</v>
      </c>
      <c r="U43" s="19" t="inlineStr">
        <is>
          <t>No</t>
        </is>
      </c>
      <c r="V43" s="19" t="inlineStr">
        <is>
          <t>No</t>
        </is>
      </c>
      <c r="W43" s="19" t="inlineStr">
        <is>
          <t>No</t>
        </is>
      </c>
      <c r="X43" s="19" t="inlineStr">
        <is>
          <t>RETRIEVED</t>
        </is>
      </c>
    </row>
    <row r="44">
      <c r="A44" s="22" t="inlineStr">
        <is>
          <t>47</t>
        </is>
      </c>
      <c r="B44" s="22" t="inlineStr">
        <is>
          <t>Tennessee</t>
        </is>
      </c>
      <c r="C44" s="22" t="inlineStr">
        <is>
          <t>TN</t>
        </is>
      </c>
      <c r="D44" s="22" t="inlineStr">
        <is>
          <t>East South Central</t>
        </is>
      </c>
      <c r="E44" s="22" t="inlineStr">
        <is>
          <t>South</t>
        </is>
      </c>
      <c r="F44" s="22" t="inlineStr">
        <is>
          <t>Comcast</t>
        </is>
      </c>
      <c r="G44" s="22" t="inlineStr">
        <is>
          <t>No</t>
        </is>
      </c>
      <c r="H44" s="23" t="n">
        <v>28.03</v>
      </c>
      <c r="I44" s="23" t="n">
        <v>55.42</v>
      </c>
      <c r="J44" s="24" t="n">
        <v>988389</v>
      </c>
      <c r="K44" s="24" t="n">
        <v>1954210</v>
      </c>
      <c r="L44" s="24" t="n">
        <v>-965821</v>
      </c>
      <c r="M44" s="23" t="n">
        <v>-27.39</v>
      </c>
      <c r="N44" s="24" t="n">
        <v>3526181</v>
      </c>
      <c r="O44" s="23" t="n">
        <v>12.67718356972178</v>
      </c>
      <c r="P44" s="24" t="n">
        <v>3479795</v>
      </c>
      <c r="Q44" s="24" t="n">
        <v>441140</v>
      </c>
      <c r="R44" s="23" t="n">
        <v>58.465527712609</v>
      </c>
      <c r="S44" s="24" t="n">
        <v>1664444</v>
      </c>
      <c r="T44" s="24" t="n">
        <v>2846881</v>
      </c>
      <c r="U44" s="22" t="inlineStr">
        <is>
          <t>Yes</t>
        </is>
      </c>
      <c r="V44" s="22" t="inlineStr">
        <is>
          <t>Yes</t>
        </is>
      </c>
      <c r="W44" s="22" t="inlineStr">
        <is>
          <t>No</t>
        </is>
      </c>
      <c r="X44" s="22" t="inlineStr">
        <is>
          <t>RETRIEVED</t>
        </is>
      </c>
    </row>
    <row r="45">
      <c r="A45" s="25" t="inlineStr">
        <is>
          <t>48</t>
        </is>
      </c>
      <c r="B45" s="25" t="inlineStr">
        <is>
          <t>Texas</t>
        </is>
      </c>
      <c r="C45" s="25" t="inlineStr">
        <is>
          <t>TX</t>
        </is>
      </c>
      <c r="D45" s="25" t="inlineStr">
        <is>
          <t>West South Central</t>
        </is>
      </c>
      <c r="E45" s="25" t="inlineStr">
        <is>
          <t>South</t>
        </is>
      </c>
      <c r="F45" s="25" t="inlineStr">
        <is>
          <t>Charter</t>
        </is>
      </c>
      <c r="G45" s="25" t="inlineStr">
        <is>
          <t>Yes</t>
        </is>
      </c>
      <c r="H45" s="26" t="n">
        <v>48.82</v>
      </c>
      <c r="I45" s="26" t="n">
        <v>21.84</v>
      </c>
      <c r="J45" s="27" t="n">
        <v>6809213</v>
      </c>
      <c r="K45" s="27" t="n">
        <v>3046153</v>
      </c>
      <c r="L45" s="27" t="n">
        <v>3763060</v>
      </c>
      <c r="M45" s="26" t="n">
        <v>26.98</v>
      </c>
      <c r="N45" s="27" t="n">
        <v>13947589</v>
      </c>
      <c r="O45" s="26" t="n">
        <v>12.92974906551973</v>
      </c>
      <c r="P45" s="27" t="n">
        <v>15130603</v>
      </c>
      <c r="Q45" s="27" t="n">
        <v>1956349</v>
      </c>
      <c r="R45" s="26" t="n">
        <v>55.61203589753661</v>
      </c>
      <c r="S45" s="27" t="n">
        <v>6399634</v>
      </c>
      <c r="T45" s="27" t="n">
        <v>11507642</v>
      </c>
      <c r="U45" s="25" t="inlineStr">
        <is>
          <t>Yes</t>
        </is>
      </c>
      <c r="V45" s="25" t="inlineStr">
        <is>
          <t>Yes</t>
        </is>
      </c>
      <c r="W45" s="25" t="inlineStr">
        <is>
          <t>Yes</t>
        </is>
      </c>
      <c r="X45" s="25" t="inlineStr">
        <is>
          <t>RETRIEVED</t>
        </is>
      </c>
    </row>
    <row r="46">
      <c r="A46" s="22" t="inlineStr">
        <is>
          <t>49</t>
        </is>
      </c>
      <c r="B46" s="22" t="inlineStr">
        <is>
          <t>Utah</t>
        </is>
      </c>
      <c r="C46" s="22" t="inlineStr">
        <is>
          <t>UT</t>
        </is>
      </c>
      <c r="D46" s="22" t="inlineStr">
        <is>
          <t>Mountain</t>
        </is>
      </c>
      <c r="E46" s="22" t="inlineStr">
        <is>
          <t>West</t>
        </is>
      </c>
      <c r="F46" s="22" t="inlineStr">
        <is>
          <t>Comcast</t>
        </is>
      </c>
      <c r="G46" s="22" t="inlineStr">
        <is>
          <t>No</t>
        </is>
      </c>
      <c r="H46" s="23" t="n"/>
      <c r="I46" s="23" t="n">
        <v>76.73999999999999</v>
      </c>
      <c r="J46" s="24" t="n"/>
      <c r="K46" s="24" t="n">
        <v>1078558</v>
      </c>
      <c r="L46" s="24" t="n">
        <v>-1078558</v>
      </c>
      <c r="M46" s="23" t="n">
        <v>-76.73999999999999</v>
      </c>
      <c r="N46" s="24" t="n">
        <v>1405470</v>
      </c>
      <c r="O46" s="23" t="n">
        <v>15.69297075863595</v>
      </c>
      <c r="P46" s="24" t="n">
        <v>1771258</v>
      </c>
      <c r="Q46" s="24" t="n">
        <v>277963</v>
      </c>
      <c r="R46" s="23" t="n">
        <v>54.64965432033858</v>
      </c>
      <c r="S46" s="24" t="n">
        <v>831571</v>
      </c>
      <c r="T46" s="24" t="n">
        <v>1521640</v>
      </c>
      <c r="U46" s="22" t="inlineStr">
        <is>
          <t>Yes</t>
        </is>
      </c>
      <c r="V46" s="22" t="inlineStr">
        <is>
          <t>Yes</t>
        </is>
      </c>
      <c r="W46" s="22" t="inlineStr">
        <is>
          <t>No</t>
        </is>
      </c>
      <c r="X46" s="22" t="inlineStr">
        <is>
          <t>RETRIEVED</t>
        </is>
      </c>
    </row>
    <row r="47">
      <c r="A47" s="22" t="inlineStr">
        <is>
          <t>50</t>
        </is>
      </c>
      <c r="B47" s="22" t="inlineStr">
        <is>
          <t>Vermont</t>
        </is>
      </c>
      <c r="C47" s="22" t="inlineStr">
        <is>
          <t>VT</t>
        </is>
      </c>
      <c r="D47" s="22" t="inlineStr">
        <is>
          <t>New England</t>
        </is>
      </c>
      <c r="E47" s="22" t="inlineStr">
        <is>
          <t>Northeast</t>
        </is>
      </c>
      <c r="F47" s="22" t="inlineStr">
        <is>
          <t>Comcast</t>
        </is>
      </c>
      <c r="G47" s="22" t="inlineStr">
        <is>
          <t>No</t>
        </is>
      </c>
      <c r="H47" s="23" t="n">
        <v>5.899999999999999</v>
      </c>
      <c r="I47" s="23" t="n">
        <v>65.84</v>
      </c>
      <c r="J47" s="24" t="n">
        <v>22092</v>
      </c>
      <c r="K47" s="24" t="n">
        <v>246531</v>
      </c>
      <c r="L47" s="24" t="n">
        <v>-224439</v>
      </c>
      <c r="M47" s="23" t="n">
        <v>-59.94</v>
      </c>
      <c r="N47" s="24" t="n">
        <v>374439</v>
      </c>
      <c r="O47" s="23" t="n">
        <v>15.96082979754232</v>
      </c>
      <c r="P47" s="24" t="n">
        <v>340565</v>
      </c>
      <c r="Q47" s="24" t="n">
        <v>54357</v>
      </c>
      <c r="R47" s="23" t="n">
        <v>37.92652207913672</v>
      </c>
      <c r="S47" s="24" t="n">
        <v>96512</v>
      </c>
      <c r="T47" s="24" t="n">
        <v>254471</v>
      </c>
      <c r="U47" s="22" t="inlineStr">
        <is>
          <t>Yes</t>
        </is>
      </c>
      <c r="V47" s="22" t="inlineStr">
        <is>
          <t>No</t>
        </is>
      </c>
      <c r="W47" s="22" t="inlineStr">
        <is>
          <t>No</t>
        </is>
      </c>
      <c r="X47" s="22" t="inlineStr">
        <is>
          <t>RETRIEVED</t>
        </is>
      </c>
    </row>
    <row r="48">
      <c r="A48" s="22" t="inlineStr">
        <is>
          <t>51</t>
        </is>
      </c>
      <c r="B48" s="22" t="inlineStr">
        <is>
          <t>Virginia</t>
        </is>
      </c>
      <c r="C48" s="22" t="inlineStr">
        <is>
          <t>VA</t>
        </is>
      </c>
      <c r="D48" s="22" t="inlineStr">
        <is>
          <t>South Atlantic</t>
        </is>
      </c>
      <c r="E48" s="22" t="inlineStr">
        <is>
          <t>South</t>
        </is>
      </c>
      <c r="F48" s="22" t="inlineStr">
        <is>
          <t>Comcast</t>
        </is>
      </c>
      <c r="G48" s="22" t="inlineStr">
        <is>
          <t>No</t>
        </is>
      </c>
      <c r="H48" s="23" t="n">
        <v>3.27</v>
      </c>
      <c r="I48" s="23" t="n">
        <v>46.31</v>
      </c>
      <c r="J48" s="24" t="n">
        <v>133546</v>
      </c>
      <c r="K48" s="24" t="n">
        <v>1891293</v>
      </c>
      <c r="L48" s="24" t="n">
        <v>-1757747</v>
      </c>
      <c r="M48" s="23" t="n">
        <v>-43.04</v>
      </c>
      <c r="N48" s="24" t="n">
        <v>4083985</v>
      </c>
      <c r="O48" s="23" t="n">
        <v>15.81802209767022</v>
      </c>
      <c r="P48" s="24" t="n">
        <v>4445265</v>
      </c>
      <c r="Q48" s="24" t="n">
        <v>703153</v>
      </c>
      <c r="R48" s="23" t="n">
        <v>54.13767726975676</v>
      </c>
      <c r="S48" s="24" t="n">
        <v>1892088</v>
      </c>
      <c r="T48" s="24" t="n">
        <v>3494956</v>
      </c>
      <c r="U48" s="22" t="inlineStr">
        <is>
          <t>Yes</t>
        </is>
      </c>
      <c r="V48" s="22" t="inlineStr">
        <is>
          <t>Yes</t>
        </is>
      </c>
      <c r="W48" s="22" t="inlineStr">
        <is>
          <t>No</t>
        </is>
      </c>
      <c r="X48" s="22" t="inlineStr">
        <is>
          <t>RETRIEVED</t>
        </is>
      </c>
    </row>
    <row r="49">
      <c r="A49" s="22" t="inlineStr">
        <is>
          <t>53</t>
        </is>
      </c>
      <c r="B49" s="22" t="inlineStr">
        <is>
          <t>Washington</t>
        </is>
      </c>
      <c r="C49" s="22" t="inlineStr">
        <is>
          <t>WA</t>
        </is>
      </c>
      <c r="D49" s="22" t="inlineStr">
        <is>
          <t>Pacific</t>
        </is>
      </c>
      <c r="E49" s="22" t="inlineStr">
        <is>
          <t>West</t>
        </is>
      </c>
      <c r="F49" s="22" t="inlineStr">
        <is>
          <t>Comcast</t>
        </is>
      </c>
      <c r="G49" s="22" t="inlineStr">
        <is>
          <t>No</t>
        </is>
      </c>
      <c r="H49" s="23" t="n">
        <v>8.609999999999999</v>
      </c>
      <c r="I49" s="23" t="n">
        <v>72.42</v>
      </c>
      <c r="J49" s="24" t="n">
        <v>317027</v>
      </c>
      <c r="K49" s="24" t="n">
        <v>2666565</v>
      </c>
      <c r="L49" s="24" t="n">
        <v>-2349538</v>
      </c>
      <c r="M49" s="23" t="n">
        <v>-63.81</v>
      </c>
      <c r="N49" s="24" t="n">
        <v>3682084</v>
      </c>
      <c r="O49" s="23" t="n">
        <v>16.41353585154654</v>
      </c>
      <c r="P49" s="24" t="n">
        <v>3932815</v>
      </c>
      <c r="Q49" s="24" t="n">
        <v>645514</v>
      </c>
      <c r="R49" s="23" t="n">
        <v>51.25983916203899</v>
      </c>
      <c r="S49" s="24" t="n">
        <v>1526660</v>
      </c>
      <c r="T49" s="24" t="n">
        <v>2978277</v>
      </c>
      <c r="U49" s="22" t="inlineStr">
        <is>
          <t>Yes</t>
        </is>
      </c>
      <c r="V49" s="22" t="inlineStr">
        <is>
          <t>No</t>
        </is>
      </c>
      <c r="W49" s="22" t="inlineStr">
        <is>
          <t>No</t>
        </is>
      </c>
      <c r="X49" s="22" t="inlineStr">
        <is>
          <t>RETRIEVED</t>
        </is>
      </c>
    </row>
    <row r="50">
      <c r="A50" s="22" t="inlineStr">
        <is>
          <t>54</t>
        </is>
      </c>
      <c r="B50" s="22" t="inlineStr">
        <is>
          <t>West Virginia</t>
        </is>
      </c>
      <c r="C50" s="22" t="inlineStr">
        <is>
          <t>WV</t>
        </is>
      </c>
      <c r="D50" s="22" t="inlineStr">
        <is>
          <t>South Atlantic</t>
        </is>
      </c>
      <c r="E50" s="22" t="inlineStr">
        <is>
          <t>South</t>
        </is>
      </c>
      <c r="F50" s="22" t="inlineStr">
        <is>
          <t>Comcast</t>
        </is>
      </c>
      <c r="G50" s="22" t="inlineStr">
        <is>
          <t>No</t>
        </is>
      </c>
      <c r="H50" s="23" t="n">
        <v>3.35</v>
      </c>
      <c r="I50" s="23" t="n">
        <v>29</v>
      </c>
      <c r="J50" s="24" t="n">
        <v>33378</v>
      </c>
      <c r="K50" s="24" t="n">
        <v>288945</v>
      </c>
      <c r="L50" s="24" t="n">
        <v>-255567</v>
      </c>
      <c r="M50" s="23" t="n">
        <v>-25.65</v>
      </c>
      <c r="N50" s="24" t="n">
        <v>996362</v>
      </c>
      <c r="O50" s="23" t="n">
        <v>8.810796006667843</v>
      </c>
      <c r="P50" s="24" t="n">
        <v>759466</v>
      </c>
      <c r="Q50" s="24" t="n">
        <v>66915</v>
      </c>
      <c r="R50" s="23" t="n">
        <v>52.58165145762561</v>
      </c>
      <c r="S50" s="24" t="n">
        <v>284187</v>
      </c>
      <c r="T50" s="24" t="n">
        <v>540468</v>
      </c>
      <c r="U50" s="22" t="inlineStr">
        <is>
          <t>No</t>
        </is>
      </c>
      <c r="V50" s="22" t="inlineStr">
        <is>
          <t>Yes</t>
        </is>
      </c>
      <c r="W50" s="22" t="inlineStr">
        <is>
          <t>No</t>
        </is>
      </c>
      <c r="X50" s="22" t="inlineStr">
        <is>
          <t>RETRIEVED</t>
        </is>
      </c>
    </row>
    <row r="51">
      <c r="A51" s="16" t="inlineStr">
        <is>
          <t>55</t>
        </is>
      </c>
      <c r="B51" s="16" t="inlineStr">
        <is>
          <t>Wisconsin</t>
        </is>
      </c>
      <c r="C51" s="16" t="inlineStr">
        <is>
          <t>WI</t>
        </is>
      </c>
      <c r="D51" s="16" t="inlineStr">
        <is>
          <t>East North Central</t>
        </is>
      </c>
      <c r="E51" s="16" t="inlineStr">
        <is>
          <t>Midwest</t>
        </is>
      </c>
      <c r="F51" s="16" t="inlineStr">
        <is>
          <t>Charter</t>
        </is>
      </c>
      <c r="G51" s="16" t="inlineStr">
        <is>
          <t>Yes</t>
        </is>
      </c>
      <c r="H51" s="17" t="n">
        <v>74.53</v>
      </c>
      <c r="I51" s="17" t="n">
        <v>1.24</v>
      </c>
      <c r="J51" s="18" t="n">
        <v>2348841</v>
      </c>
      <c r="K51" s="18" t="n">
        <v>39079</v>
      </c>
      <c r="L51" s="18" t="n">
        <v>2309762</v>
      </c>
      <c r="M51" s="17" t="n">
        <v>73.29000000000001</v>
      </c>
      <c r="N51" s="18" t="n">
        <v>3151537</v>
      </c>
      <c r="O51" s="17" t="n">
        <v>11.80526735729351</v>
      </c>
      <c r="P51" s="18" t="n">
        <v>3050562</v>
      </c>
      <c r="Q51" s="18" t="n">
        <v>360127</v>
      </c>
      <c r="R51" s="17" t="n">
        <v>52.0104003264235</v>
      </c>
      <c r="S51" s="18" t="n">
        <v>1352428</v>
      </c>
      <c r="T51" s="18" t="n">
        <v>2600303</v>
      </c>
      <c r="U51" s="16" t="inlineStr">
        <is>
          <t>No</t>
        </is>
      </c>
      <c r="V51" s="16" t="inlineStr">
        <is>
          <t>No</t>
        </is>
      </c>
      <c r="W51" s="16" t="inlineStr">
        <is>
          <t>No</t>
        </is>
      </c>
      <c r="X51" s="16" t="inlineStr">
        <is>
          <t>RETRIEVED</t>
        </is>
      </c>
    </row>
    <row r="52">
      <c r="A52" s="16" t="inlineStr">
        <is>
          <t>56</t>
        </is>
      </c>
      <c r="B52" s="16" t="inlineStr">
        <is>
          <t>Wyoming</t>
        </is>
      </c>
      <c r="C52" s="16" t="inlineStr">
        <is>
          <t>WY</t>
        </is>
      </c>
      <c r="D52" s="16" t="inlineStr">
        <is>
          <t>Mountain</t>
        </is>
      </c>
      <c r="E52" s="16" t="inlineStr">
        <is>
          <t>West</t>
        </is>
      </c>
      <c r="F52" s="16" t="inlineStr">
        <is>
          <t>Charter</t>
        </is>
      </c>
      <c r="G52" s="16" t="inlineStr">
        <is>
          <t>Yes</t>
        </is>
      </c>
      <c r="H52" s="17" t="n">
        <v>51.72</v>
      </c>
      <c r="I52" s="17" t="n"/>
      <c r="J52" s="18" t="n">
        <v>161029</v>
      </c>
      <c r="K52" s="18" t="n"/>
      <c r="L52" s="18" t="n">
        <v>161029</v>
      </c>
      <c r="M52" s="17" t="n">
        <v>51.72</v>
      </c>
      <c r="N52" s="18" t="n">
        <v>311347</v>
      </c>
      <c r="O52" s="17" t="n">
        <v>9.72433202224332</v>
      </c>
      <c r="P52" s="18" t="n">
        <v>294920</v>
      </c>
      <c r="Q52" s="18" t="n">
        <v>28679</v>
      </c>
      <c r="R52" s="17" t="n">
        <v>34.79790793369996</v>
      </c>
      <c r="S52" s="18" t="n">
        <v>72388</v>
      </c>
      <c r="T52" s="18" t="n">
        <v>208024</v>
      </c>
      <c r="U52" s="16" t="inlineStr">
        <is>
          <t>No</t>
        </is>
      </c>
      <c r="V52" s="16" t="inlineStr">
        <is>
          <t>No</t>
        </is>
      </c>
      <c r="W52" s="16" t="inlineStr">
        <is>
          <t>No</t>
        </is>
      </c>
      <c r="X52" s="16" t="inlineStr">
        <is>
          <t>RETRIEVED</t>
        </is>
      </c>
    </row>
    <row r="54">
      <c r="A54" s="33" t="inlineStr">
        <is>
          <t>HYPOTHESIS (green): Charter-lead AND ACS WFH &gt; median AND SUSB 500+ share &gt; median. Not a recommendation. Blue = Charter-lead only. Yellow = neither operator present in FCC state summary.</t>
        </is>
      </c>
    </row>
  </sheetData>
  <autoFilter ref="A1:X52"/>
  <mergeCells count="1">
    <mergeCell ref="A54:H54"/>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22"/>
  <sheetViews>
    <sheetView workbookViewId="0">
      <pane ySplit="4" topLeftCell="A5" activePane="bottomLeft" state="frozen"/>
      <selection pane="bottomLeft" activeCell="A1" sqref="A1:R1"/>
    </sheetView>
  </sheetViews>
  <sheetFormatPr baseColWidth="8" defaultRowHeight="14.5"/>
  <cols>
    <col width="10" customWidth="1" style="34" min="1" max="1"/>
    <col width="22" customWidth="1" style="34" min="2" max="2"/>
    <col width="10" customWidth="1" style="34" min="3" max="3"/>
    <col width="14" customWidth="1" style="34" min="4" max="5"/>
    <col width="10" customWidth="1" style="34" min="6" max="6"/>
    <col width="16" customWidth="1" style="34" min="7" max="7"/>
    <col width="18" customWidth="1" style="34" min="8" max="8"/>
    <col width="16" customWidth="1" style="34" min="9" max="17"/>
    <col width="40" customWidth="1" style="34" min="18" max="18"/>
  </cols>
  <sheetData>
    <row r="1" ht="17.5" customHeight="1" s="34">
      <c r="A1" s="35" t="inlineStr">
        <is>
          <t>Census division rollup (9) and region rollup (4) — weighted rates</t>
        </is>
      </c>
    </row>
    <row r="2">
      <c r="A2" s="33" t="inlineStr">
        <is>
          <t>WFH rate = sum(ACS worked-from-home) / sum(ACS workers 16+). 500+ share = sum(SUSB 500+ employment) / sum(SUSB employment). Unit margin = sum(Charter est. units − Comcast est. units). RETRIEVED inputs; DERIVED rollups.</t>
        </is>
      </c>
    </row>
    <row r="4" ht="39" customHeight="1" s="34">
      <c r="A4" s="15" t="inlineStr">
        <is>
          <t>level</t>
        </is>
      </c>
      <c r="B4" s="15" t="inlineStr">
        <is>
          <t>name</t>
        </is>
      </c>
      <c r="C4" s="15" t="inlineStr">
        <is>
          <t>n_states</t>
        </is>
      </c>
      <c r="D4" s="15" t="inlineStr">
        <is>
          <t>n_charter_lead</t>
        </is>
      </c>
      <c r="E4" s="15" t="inlineStr">
        <is>
          <t>n_comcast_lead</t>
        </is>
      </c>
      <c r="F4" s="15" t="inlineStr">
        <is>
          <t>n_neither</t>
        </is>
      </c>
      <c r="G4" s="15" t="inlineStr">
        <is>
          <t>n_ehb_plausible_HYPOTHESIS</t>
        </is>
      </c>
      <c r="H4" s="15" t="inlineStr">
        <is>
          <t>margin_units_chtr_minus_cmcsa</t>
        </is>
      </c>
      <c r="I4" s="15" t="inlineStr">
        <is>
          <t>charter_est_units</t>
        </is>
      </c>
      <c r="J4" s="15" t="inlineStr">
        <is>
          <t>comcast_est_units</t>
        </is>
      </c>
      <c r="K4" s="15" t="inlineStr">
        <is>
          <t>total_residential_units</t>
        </is>
      </c>
      <c r="L4" s="15" t="inlineStr">
        <is>
          <t>acs_workers_16_plus</t>
        </is>
      </c>
      <c r="M4" s="15" t="inlineStr">
        <is>
          <t>acs_worked_from_home</t>
        </is>
      </c>
      <c r="N4" s="15" t="inlineStr">
        <is>
          <t>acs_wfh_rate_pct_weighted</t>
        </is>
      </c>
      <c r="O4" s="15" t="inlineStr">
        <is>
          <t>susb_employment_total</t>
        </is>
      </c>
      <c r="P4" s="15" t="inlineStr">
        <is>
          <t>susb_employment_ge500</t>
        </is>
      </c>
      <c r="Q4" s="15" t="inlineStr">
        <is>
          <t>susb_share_ge500_pct_weighted</t>
        </is>
      </c>
      <c r="R4" s="15" t="inlineStr">
        <is>
          <t>states</t>
        </is>
      </c>
    </row>
    <row r="5">
      <c r="A5" s="39" t="inlineStr">
        <is>
          <t>division</t>
        </is>
      </c>
      <c r="B5" s="39" t="inlineStr">
        <is>
          <t>New England</t>
        </is>
      </c>
      <c r="C5" s="39" t="n">
        <v>6</v>
      </c>
      <c r="D5" s="39" t="n">
        <v>1</v>
      </c>
      <c r="E5" s="39" t="n">
        <v>5</v>
      </c>
      <c r="F5" s="39" t="n">
        <v>0</v>
      </c>
      <c r="G5" s="39" t="n">
        <v>0</v>
      </c>
      <c r="H5" s="29" t="n">
        <v>-3456429</v>
      </c>
      <c r="I5" s="29" t="n">
        <v>1283316</v>
      </c>
      <c r="J5" s="29" t="n">
        <v>4739745</v>
      </c>
      <c r="K5" s="29" t="n">
        <v>7432291</v>
      </c>
      <c r="L5" s="29" t="n">
        <v>7989815</v>
      </c>
      <c r="M5" s="29" t="n">
        <v>1151185</v>
      </c>
      <c r="N5" s="30" t="n">
        <v>14.40815588345913</v>
      </c>
      <c r="O5" s="29" t="n">
        <v>6747445</v>
      </c>
      <c r="P5" s="29" t="n">
        <v>3522134</v>
      </c>
      <c r="Q5" s="30" t="n">
        <v>52.19952144848902</v>
      </c>
      <c r="R5" s="39" t="inlineStr">
        <is>
          <t>CT, MA, ME, NH, RI, VT</t>
        </is>
      </c>
    </row>
    <row r="6">
      <c r="A6" s="39" t="inlineStr">
        <is>
          <t>division</t>
        </is>
      </c>
      <c r="B6" s="39" t="inlineStr">
        <is>
          <t>Middle Atlantic</t>
        </is>
      </c>
      <c r="C6" s="39" t="n">
        <v>3</v>
      </c>
      <c r="D6" s="39" t="n">
        <v>1</v>
      </c>
      <c r="E6" s="39" t="n">
        <v>2</v>
      </c>
      <c r="F6" s="39" t="n">
        <v>0</v>
      </c>
      <c r="G6" s="39" t="n">
        <v>0</v>
      </c>
      <c r="H6" s="29" t="n">
        <v>-1116196</v>
      </c>
      <c r="I6" s="29" t="n">
        <v>5848721</v>
      </c>
      <c r="J6" s="29" t="n">
        <v>6964917</v>
      </c>
      <c r="K6" s="29" t="n">
        <v>19771419</v>
      </c>
      <c r="L6" s="29" t="n">
        <v>20720837</v>
      </c>
      <c r="M6" s="29" t="n">
        <v>2653072</v>
      </c>
      <c r="N6" s="30" t="n">
        <v>12.80388432185437</v>
      </c>
      <c r="O6" s="29" t="n">
        <v>17828308</v>
      </c>
      <c r="P6" s="29" t="n">
        <v>9508444</v>
      </c>
      <c r="Q6" s="30" t="n">
        <v>53.33340662501455</v>
      </c>
      <c r="R6" s="39" t="inlineStr">
        <is>
          <t>NJ, NY, PA</t>
        </is>
      </c>
    </row>
    <row r="7">
      <c r="A7" s="39" t="inlineStr">
        <is>
          <t>division</t>
        </is>
      </c>
      <c r="B7" s="39" t="inlineStr">
        <is>
          <t>East North Central</t>
        </is>
      </c>
      <c r="C7" s="39" t="n">
        <v>5</v>
      </c>
      <c r="D7" s="39" t="n">
        <v>2</v>
      </c>
      <c r="E7" s="39" t="n">
        <v>3</v>
      </c>
      <c r="F7" s="39" t="n">
        <v>0</v>
      </c>
      <c r="G7" s="39" t="n">
        <v>0</v>
      </c>
      <c r="H7" s="29" t="n">
        <v>-411115</v>
      </c>
      <c r="I7" s="29" t="n">
        <v>9171158</v>
      </c>
      <c r="J7" s="29" t="n">
        <v>9582273</v>
      </c>
      <c r="K7" s="29" t="n">
        <v>23424868</v>
      </c>
      <c r="L7" s="29" t="n">
        <v>23286112</v>
      </c>
      <c r="M7" s="29" t="n">
        <v>2766919</v>
      </c>
      <c r="N7" s="30" t="n">
        <v>11.88227128685115</v>
      </c>
      <c r="O7" s="29" t="n">
        <v>19912978</v>
      </c>
      <c r="P7" s="29" t="n">
        <v>10948021</v>
      </c>
      <c r="Q7" s="30" t="n">
        <v>54.97932554337176</v>
      </c>
      <c r="R7" s="39" t="inlineStr">
        <is>
          <t>IL, IN, MI, OH, WI</t>
        </is>
      </c>
    </row>
    <row r="8">
      <c r="A8" s="39" t="inlineStr">
        <is>
          <t>division</t>
        </is>
      </c>
      <c r="B8" s="39" t="inlineStr">
        <is>
          <t>West North Central</t>
        </is>
      </c>
      <c r="C8" s="39" t="n">
        <v>7</v>
      </c>
      <c r="D8" s="39" t="n">
        <v>3</v>
      </c>
      <c r="E8" s="39" t="n">
        <v>1</v>
      </c>
      <c r="F8" s="39" t="n">
        <v>3</v>
      </c>
      <c r="G8" s="39" t="n">
        <v>0</v>
      </c>
      <c r="H8" s="29" t="n">
        <v>1186513</v>
      </c>
      <c r="I8" s="29" t="n">
        <v>2672306</v>
      </c>
      <c r="J8" s="29" t="n">
        <v>1485793</v>
      </c>
      <c r="K8" s="29" t="n">
        <v>11094397</v>
      </c>
      <c r="L8" s="29" t="n">
        <v>11141960</v>
      </c>
      <c r="M8" s="29" t="n">
        <v>1288828</v>
      </c>
      <c r="N8" s="30" t="n">
        <v>11.5673364470883</v>
      </c>
      <c r="O8" s="29" t="n">
        <v>9514694</v>
      </c>
      <c r="P8" s="29" t="n">
        <v>5049457</v>
      </c>
      <c r="Q8" s="30" t="n">
        <v>53.07009347857115</v>
      </c>
      <c r="R8" s="39" t="inlineStr">
        <is>
          <t>IA, KS, MN, MO, ND, NE, SD</t>
        </is>
      </c>
    </row>
    <row r="9">
      <c r="A9" s="39" t="inlineStr">
        <is>
          <t>division</t>
        </is>
      </c>
      <c r="B9" s="39" t="inlineStr">
        <is>
          <t>South Atlantic</t>
        </is>
      </c>
      <c r="C9" s="39" t="n">
        <v>9</v>
      </c>
      <c r="D9" s="39" t="n">
        <v>2</v>
      </c>
      <c r="E9" s="39" t="n">
        <v>7</v>
      </c>
      <c r="F9" s="39" t="n">
        <v>0</v>
      </c>
      <c r="G9" s="39" t="n">
        <v>1</v>
      </c>
      <c r="H9" s="29" t="n">
        <v>-3570986</v>
      </c>
      <c r="I9" s="29" t="n">
        <v>11206135</v>
      </c>
      <c r="J9" s="29" t="n">
        <v>14777121</v>
      </c>
      <c r="K9" s="29" t="n">
        <v>33588231</v>
      </c>
      <c r="L9" s="29" t="n">
        <v>33757482</v>
      </c>
      <c r="M9" s="29" t="n">
        <v>5097746</v>
      </c>
      <c r="N9" s="30" t="n">
        <v>15.10108484987121</v>
      </c>
      <c r="O9" s="29" t="n">
        <v>27421888</v>
      </c>
      <c r="P9" s="29" t="n">
        <v>15623366</v>
      </c>
      <c r="Q9" s="30" t="n">
        <v>56.97407122368817</v>
      </c>
      <c r="R9" s="39" t="inlineStr">
        <is>
          <t>DC, DE, FL, GA, MD, NC, SC, VA, WV</t>
        </is>
      </c>
    </row>
    <row r="10">
      <c r="A10" s="39" t="inlineStr">
        <is>
          <t>division</t>
        </is>
      </c>
      <c r="B10" s="39" t="inlineStr">
        <is>
          <t>East South Central</t>
        </is>
      </c>
      <c r="C10" s="39" t="n">
        <v>4</v>
      </c>
      <c r="D10" s="39" t="n">
        <v>2</v>
      </c>
      <c r="E10" s="39" t="n">
        <v>2</v>
      </c>
      <c r="F10" s="39" t="n">
        <v>0</v>
      </c>
      <c r="G10" s="39" t="n">
        <v>0</v>
      </c>
      <c r="H10" s="29" t="n">
        <v>435274</v>
      </c>
      <c r="I10" s="29" t="n">
        <v>3497140</v>
      </c>
      <c r="J10" s="29" t="n">
        <v>3061866</v>
      </c>
      <c r="K10" s="29" t="n">
        <v>10100681</v>
      </c>
      <c r="L10" s="29" t="n">
        <v>9184595</v>
      </c>
      <c r="M10" s="29" t="n">
        <v>913288</v>
      </c>
      <c r="N10" s="30" t="n">
        <v>9.943693761129371</v>
      </c>
      <c r="O10" s="29" t="n">
        <v>7236812</v>
      </c>
      <c r="P10" s="29" t="n">
        <v>4082799</v>
      </c>
      <c r="Q10" s="30" t="n">
        <v>56.41709360420031</v>
      </c>
      <c r="R10" s="39" t="inlineStr">
        <is>
          <t>AL, KY, MS, TN</t>
        </is>
      </c>
    </row>
    <row r="11">
      <c r="A11" s="39" t="inlineStr">
        <is>
          <t>division</t>
        </is>
      </c>
      <c r="B11" s="39" t="inlineStr">
        <is>
          <t>West South Central</t>
        </is>
      </c>
      <c r="C11" s="39" t="n">
        <v>4</v>
      </c>
      <c r="D11" s="39" t="n">
        <v>2</v>
      </c>
      <c r="E11" s="39" t="n">
        <v>1</v>
      </c>
      <c r="F11" s="39" t="n">
        <v>1</v>
      </c>
      <c r="G11" s="39" t="n">
        <v>1</v>
      </c>
      <c r="H11" s="29" t="n">
        <v>3552533</v>
      </c>
      <c r="I11" s="29" t="n">
        <v>7127237</v>
      </c>
      <c r="J11" s="29" t="n">
        <v>3574704</v>
      </c>
      <c r="K11" s="29" t="n">
        <v>19970037</v>
      </c>
      <c r="L11" s="29" t="n">
        <v>20436751</v>
      </c>
      <c r="M11" s="29" t="n">
        <v>2406246</v>
      </c>
      <c r="N11" s="30" t="n">
        <v>11.77411223535483</v>
      </c>
      <c r="O11" s="29" t="n">
        <v>15631190</v>
      </c>
      <c r="P11" s="29" t="n">
        <v>8425333</v>
      </c>
      <c r="Q11" s="30" t="n">
        <v>53.90077786783988</v>
      </c>
      <c r="R11" s="39" t="inlineStr">
        <is>
          <t>AR, LA, OK, TX</t>
        </is>
      </c>
    </row>
    <row r="12">
      <c r="A12" s="39" t="inlineStr">
        <is>
          <t>division</t>
        </is>
      </c>
      <c r="B12" s="39" t="inlineStr">
        <is>
          <t>Mountain</t>
        </is>
      </c>
      <c r="C12" s="39" t="n">
        <v>8</v>
      </c>
      <c r="D12" s="39" t="n">
        <v>4</v>
      </c>
      <c r="E12" s="39" t="n">
        <v>4</v>
      </c>
      <c r="F12" s="39" t="n">
        <v>0</v>
      </c>
      <c r="G12" s="39" t="n">
        <v>0</v>
      </c>
      <c r="H12" s="29" t="n">
        <v>-2993057</v>
      </c>
      <c r="I12" s="29" t="n">
        <v>1178242</v>
      </c>
      <c r="J12" s="29" t="n">
        <v>4171299</v>
      </c>
      <c r="K12" s="29" t="n">
        <v>12276824</v>
      </c>
      <c r="L12" s="29" t="n">
        <v>12857587</v>
      </c>
      <c r="M12" s="29" t="n">
        <v>1982466</v>
      </c>
      <c r="N12" s="30" t="n">
        <v>15.41864737139247</v>
      </c>
      <c r="O12" s="29" t="n">
        <v>10012717</v>
      </c>
      <c r="P12" s="29" t="n">
        <v>5223845</v>
      </c>
      <c r="Q12" s="30" t="n">
        <v>52.17210273694942</v>
      </c>
      <c r="R12" s="39" t="inlineStr">
        <is>
          <t>AZ, CO, ID, MT, NM, NV, UT, WY</t>
        </is>
      </c>
    </row>
    <row r="13">
      <c r="A13" s="39" t="inlineStr">
        <is>
          <t>division</t>
        </is>
      </c>
      <c r="B13" s="39" t="inlineStr">
        <is>
          <t>Pacific</t>
        </is>
      </c>
      <c r="C13" s="39" t="n">
        <v>5</v>
      </c>
      <c r="D13" s="39" t="n">
        <v>2</v>
      </c>
      <c r="E13" s="39" t="n">
        <v>2</v>
      </c>
      <c r="F13" s="39" t="n">
        <v>1</v>
      </c>
      <c r="G13" s="39" t="n">
        <v>1</v>
      </c>
      <c r="H13" s="29" t="n">
        <v>-405717</v>
      </c>
      <c r="I13" s="29" t="n">
        <v>8955190</v>
      </c>
      <c r="J13" s="29" t="n">
        <v>9360907</v>
      </c>
      <c r="K13" s="29" t="n">
        <v>23024735</v>
      </c>
      <c r="L13" s="29" t="n">
        <v>25985311</v>
      </c>
      <c r="M13" s="29" t="n">
        <v>3766621</v>
      </c>
      <c r="N13" s="30" t="n">
        <v>14.49519307273252</v>
      </c>
      <c r="O13" s="29" t="n">
        <v>21442375</v>
      </c>
      <c r="P13" s="29" t="n">
        <v>11114452</v>
      </c>
      <c r="Q13" s="30" t="n">
        <v>51.8340528975918</v>
      </c>
      <c r="R13" s="39" t="inlineStr">
        <is>
          <t>AK, CA, HI, OR, WA</t>
        </is>
      </c>
    </row>
    <row r="15" ht="39" customHeight="1" s="34">
      <c r="A15" s="15" t="inlineStr">
        <is>
          <t>level</t>
        </is>
      </c>
      <c r="B15" s="15" t="inlineStr">
        <is>
          <t>name</t>
        </is>
      </c>
      <c r="C15" s="15" t="inlineStr">
        <is>
          <t>n_states</t>
        </is>
      </c>
      <c r="D15" s="15" t="inlineStr">
        <is>
          <t>n_charter_lead</t>
        </is>
      </c>
      <c r="E15" s="15" t="inlineStr">
        <is>
          <t>n_comcast_lead</t>
        </is>
      </c>
      <c r="F15" s="15" t="inlineStr">
        <is>
          <t>n_neither</t>
        </is>
      </c>
      <c r="G15" s="15" t="inlineStr">
        <is>
          <t>n_ehb_plausible_HYPOTHESIS</t>
        </is>
      </c>
      <c r="H15" s="15" t="inlineStr">
        <is>
          <t>margin_units_chtr_minus_cmcsa</t>
        </is>
      </c>
      <c r="I15" s="15" t="inlineStr">
        <is>
          <t>charter_est_units</t>
        </is>
      </c>
      <c r="J15" s="15" t="inlineStr">
        <is>
          <t>comcast_est_units</t>
        </is>
      </c>
      <c r="K15" s="15" t="inlineStr">
        <is>
          <t>total_residential_units</t>
        </is>
      </c>
      <c r="L15" s="15" t="inlineStr">
        <is>
          <t>acs_workers_16_plus</t>
        </is>
      </c>
      <c r="M15" s="15" t="inlineStr">
        <is>
          <t>acs_worked_from_home</t>
        </is>
      </c>
      <c r="N15" s="15" t="inlineStr">
        <is>
          <t>acs_wfh_rate_pct_weighted</t>
        </is>
      </c>
      <c r="O15" s="15" t="inlineStr">
        <is>
          <t>susb_employment_total</t>
        </is>
      </c>
      <c r="P15" s="15" t="inlineStr">
        <is>
          <t>susb_employment_ge500</t>
        </is>
      </c>
      <c r="Q15" s="15" t="inlineStr">
        <is>
          <t>susb_share_ge500_pct_weighted</t>
        </is>
      </c>
      <c r="R15" s="15" t="inlineStr">
        <is>
          <t>states</t>
        </is>
      </c>
    </row>
    <row r="16">
      <c r="A16" s="39" t="inlineStr">
        <is>
          <t>region</t>
        </is>
      </c>
      <c r="B16" s="39" t="inlineStr">
        <is>
          <t>Northeast</t>
        </is>
      </c>
      <c r="C16" s="39" t="n">
        <v>9</v>
      </c>
      <c r="D16" s="39" t="n">
        <v>2</v>
      </c>
      <c r="E16" s="39" t="n">
        <v>7</v>
      </c>
      <c r="F16" s="39" t="n">
        <v>0</v>
      </c>
      <c r="G16" s="39" t="n">
        <v>0</v>
      </c>
      <c r="H16" s="29" t="n">
        <v>-4572625</v>
      </c>
      <c r="I16" s="29" t="n">
        <v>7132037</v>
      </c>
      <c r="J16" s="29" t="n">
        <v>11704662</v>
      </c>
      <c r="K16" s="29" t="n">
        <v>27203710</v>
      </c>
      <c r="L16" s="29" t="n">
        <v>28710652</v>
      </c>
      <c r="M16" s="29" t="n">
        <v>3804257</v>
      </c>
      <c r="N16" s="30" t="n">
        <v>13.25033301229105</v>
      </c>
      <c r="O16" s="29" t="n">
        <v>24575753</v>
      </c>
      <c r="P16" s="29" t="n">
        <v>13030578</v>
      </c>
      <c r="Q16" s="30" t="n">
        <v>53.02209051336087</v>
      </c>
      <c r="R16" s="39" t="inlineStr">
        <is>
          <t>CT, MA, ME, NH, NJ, NY, PA, RI, VT</t>
        </is>
      </c>
    </row>
    <row r="17" ht="26" customHeight="1" s="34">
      <c r="A17" s="39" t="inlineStr">
        <is>
          <t>region</t>
        </is>
      </c>
      <c r="B17" s="39" t="inlineStr">
        <is>
          <t>Midwest</t>
        </is>
      </c>
      <c r="C17" s="39" t="n">
        <v>12</v>
      </c>
      <c r="D17" s="39" t="n">
        <v>5</v>
      </c>
      <c r="E17" s="39" t="n">
        <v>4</v>
      </c>
      <c r="F17" s="39" t="n">
        <v>3</v>
      </c>
      <c r="G17" s="39" t="n">
        <v>0</v>
      </c>
      <c r="H17" s="29" t="n">
        <v>775398</v>
      </c>
      <c r="I17" s="29" t="n">
        <v>11843464</v>
      </c>
      <c r="J17" s="29" t="n">
        <v>11068066</v>
      </c>
      <c r="K17" s="29" t="n">
        <v>34519265</v>
      </c>
      <c r="L17" s="29" t="n">
        <v>34428072</v>
      </c>
      <c r="M17" s="29" t="n">
        <v>4055747</v>
      </c>
      <c r="N17" s="30" t="n">
        <v>11.78034889667943</v>
      </c>
      <c r="O17" s="29" t="n">
        <v>29427672</v>
      </c>
      <c r="P17" s="29" t="n">
        <v>15997478</v>
      </c>
      <c r="Q17" s="30" t="n">
        <v>54.36202360825553</v>
      </c>
      <c r="R17" s="39" t="inlineStr">
        <is>
          <t>IA, IL, IN, KS, MI, MN, MO, ND, NE, OH, SD, WI</t>
        </is>
      </c>
    </row>
    <row r="18" ht="26" customHeight="1" s="34">
      <c r="A18" s="39" t="inlineStr">
        <is>
          <t>region</t>
        </is>
      </c>
      <c r="B18" s="39" t="inlineStr">
        <is>
          <t>South</t>
        </is>
      </c>
      <c r="C18" s="39" t="n">
        <v>17</v>
      </c>
      <c r="D18" s="39" t="n">
        <v>6</v>
      </c>
      <c r="E18" s="39" t="n">
        <v>10</v>
      </c>
      <c r="F18" s="39" t="n">
        <v>1</v>
      </c>
      <c r="G18" s="39" t="n">
        <v>2</v>
      </c>
      <c r="H18" s="29" t="n">
        <v>416821</v>
      </c>
      <c r="I18" s="29" t="n">
        <v>21830512</v>
      </c>
      <c r="J18" s="29" t="n">
        <v>21413691</v>
      </c>
      <c r="K18" s="29" t="n">
        <v>63658949</v>
      </c>
      <c r="L18" s="29" t="n">
        <v>63378828</v>
      </c>
      <c r="M18" s="29" t="n">
        <v>8417280</v>
      </c>
      <c r="N18" s="30" t="n">
        <v>13.28090194410032</v>
      </c>
      <c r="O18" s="29" t="n">
        <v>50289890</v>
      </c>
      <c r="P18" s="29" t="n">
        <v>28131498</v>
      </c>
      <c r="Q18" s="30" t="n">
        <v>55.93867475152561</v>
      </c>
      <c r="R18" s="39" t="inlineStr">
        <is>
          <t>AL, AR, DC, DE, FL, GA, KY, LA, MD, MS, NC, OK, SC, TN, TX, VA, WV</t>
        </is>
      </c>
    </row>
    <row r="19" ht="26" customHeight="1" s="34">
      <c r="A19" s="39" t="inlineStr">
        <is>
          <t>region</t>
        </is>
      </c>
      <c r="B19" s="39" t="inlineStr">
        <is>
          <t>West</t>
        </is>
      </c>
      <c r="C19" s="39" t="n">
        <v>13</v>
      </c>
      <c r="D19" s="39" t="n">
        <v>6</v>
      </c>
      <c r="E19" s="39" t="n">
        <v>6</v>
      </c>
      <c r="F19" s="39" t="n">
        <v>1</v>
      </c>
      <c r="G19" s="39" t="n">
        <v>1</v>
      </c>
      <c r="H19" s="29" t="n">
        <v>-3398774</v>
      </c>
      <c r="I19" s="29" t="n">
        <v>10133432</v>
      </c>
      <c r="J19" s="29" t="n">
        <v>13532206</v>
      </c>
      <c r="K19" s="29" t="n">
        <v>35301559</v>
      </c>
      <c r="L19" s="29" t="n">
        <v>38842898</v>
      </c>
      <c r="M19" s="29" t="n">
        <v>5749087</v>
      </c>
      <c r="N19" s="30" t="n">
        <v>14.8008704190918</v>
      </c>
      <c r="O19" s="29" t="n">
        <v>31455092</v>
      </c>
      <c r="P19" s="29" t="n">
        <v>16338297</v>
      </c>
      <c r="Q19" s="30" t="n">
        <v>51.94166019288705</v>
      </c>
      <c r="R19" s="39" t="inlineStr">
        <is>
          <t>AK, AZ, CA, CO, HI, ID, MT, NM, NV, OR, UT, WA, WY</t>
        </is>
      </c>
    </row>
    <row r="21" ht="52" customHeight="1" s="34">
      <c r="A21" s="31" t="inlineStr">
        <is>
          <t>Geography map (documented)</t>
        </is>
      </c>
    </row>
    <row r="22" ht="48" customHeight="1" s="34">
      <c r="A22" s="58" t="inlineStr">
        <is>
          <t>U.S. Census Bureau Geographic Division and Census Region definitions (9 divisions, 4 regions). District of Columbia is in South Atlantic / South. Same map as Decisions/CHURN/build_plays_strategies_by_region.py. https://www.census.gov/programs-surveys/popest/guidance-geographies/terms-and-definitions.html</t>
        </is>
      </c>
      <c r="B22" s="40" t="n"/>
      <c r="C22" s="40" t="n"/>
      <c r="D22" s="40" t="n"/>
      <c r="E22" s="40" t="n"/>
      <c r="F22" s="40" t="n"/>
      <c r="G22" s="40" t="n"/>
      <c r="H22" s="41" t="n"/>
    </row>
  </sheetData>
  <mergeCells count="3">
    <mergeCell ref="A2:R2"/>
    <mergeCell ref="A1:R1"/>
    <mergeCell ref="A22:H2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8"/>
  <sheetViews>
    <sheetView zoomScale="70" zoomScaleNormal="70" workbookViewId="0">
      <pane ySplit="4" topLeftCell="A5" activePane="bottomLeft" state="frozen"/>
      <selection pane="bottomLeft" activeCell="U14" sqref="U14"/>
    </sheetView>
  </sheetViews>
  <sheetFormatPr baseColWidth="8" defaultRowHeight="14.5"/>
  <cols>
    <col width="22" customWidth="1" style="34" min="1" max="1"/>
    <col width="14" customWidth="1" style="34" min="2" max="16"/>
  </cols>
  <sheetData>
    <row r="1" ht="48" customHeight="1" s="34">
      <c r="A1" s="35" t="inlineStr">
        <is>
          <t>Charter leads Comcast on residential locations in 19 of 51 states (+5.54M units in New York) against 27 Comcast-lead states (-4.36M in Pennsylvania); by Census division the only positive Charter unit margins are West South Central (+3.55M, Texas-driven), West North Central (+1.19M), and East South Central (+0.44M).</t>
        </is>
      </c>
    </row>
    <row r="2" ht="56" customHeight="1" s="34">
      <c r="A2" s="33" t="inlineStr">
        <is>
          <t>Federal Communications Commission, Broadband Data Collection / National Broadband Map, as of 31 Dec 2025 (D25), file revision 15 Sep 2026. Metric: res_st_pct = share of residential units at Broadband Serviceable Locations where the holding company reports residential fixed broadband availability. Estimated units = res_st_pct × state residential fabric units. Availability, not subscribers. Charter Communications (Spectrum, provider_id 130235, FRN 0025646373); Comcast Corporation (Xfinity, provider_id 130317, FRN 0003768165). Files: bdc_us_provider_list_D25_15sep2026.csv; bdc_us_provider_summary_by_geography_D25_15sep2026.csv; bdc_us_fixed_broadband_summary_by_geography_D25_15sep2026.csv; bdc_us_fixed_broadband_provider_summary_D25_15sep2026.csv. URL: https://broadbandmap.fcc.gov/data-download</t>
        </is>
      </c>
    </row>
    <row r="4" ht="39" customHeight="1" s="34">
      <c r="A4" s="15" t="inlineStr">
        <is>
          <t>sort_rank</t>
        </is>
      </c>
      <c r="B4" s="15" t="inlineStr">
        <is>
          <t>state</t>
        </is>
      </c>
      <c r="C4" s="15" t="inlineStr">
        <is>
          <t>abbr</t>
        </is>
      </c>
      <c r="D4" s="15" t="inlineStr">
        <is>
          <t>census_division</t>
        </is>
      </c>
      <c r="E4" s="15" t="inlineStr">
        <is>
          <t>census_region</t>
        </is>
      </c>
      <c r="F4" s="15" t="inlineStr">
        <is>
          <t>leader</t>
        </is>
      </c>
      <c r="G4" s="15" t="inlineStr">
        <is>
          <t>margin_units_chtr_minus_cmcsa</t>
        </is>
      </c>
      <c r="H4" s="15" t="inlineStr">
        <is>
          <t>margin_pp</t>
        </is>
      </c>
      <c r="I4" s="15" t="inlineStr">
        <is>
          <t>charter_res_st_pct</t>
        </is>
      </c>
      <c r="J4" s="15" t="inlineStr">
        <is>
          <t>comcast_res_st_pct</t>
        </is>
      </c>
      <c r="K4" s="15" t="inlineStr">
        <is>
          <t>charter_est_units</t>
        </is>
      </c>
      <c r="L4" s="15" t="inlineStr">
        <is>
          <t>comcast_est_units</t>
        </is>
      </c>
      <c r="M4" s="15" t="inlineStr">
        <is>
          <t>total_residential_units</t>
        </is>
      </c>
      <c r="N4" s="15" t="inlineStr">
        <is>
          <t>chart_chtr_lead_m</t>
        </is>
      </c>
      <c r="O4" s="15" t="inlineStr">
        <is>
          <t>chart_cmcsa_lead_m</t>
        </is>
      </c>
      <c r="P4" s="15" t="inlineStr">
        <is>
          <t>origin</t>
        </is>
      </c>
    </row>
    <row r="5">
      <c r="A5" s="39" t="n">
        <v>1</v>
      </c>
      <c r="B5" s="39" t="inlineStr">
        <is>
          <t>New York</t>
        </is>
      </c>
      <c r="C5" s="39" t="inlineStr">
        <is>
          <t>NY</t>
        </is>
      </c>
      <c r="D5" s="39" t="inlineStr">
        <is>
          <t>Middle Atlantic</t>
        </is>
      </c>
      <c r="E5" s="39" t="inlineStr">
        <is>
          <t>Northeast</t>
        </is>
      </c>
      <c r="F5" s="39" t="inlineStr">
        <is>
          <t>Charter</t>
        </is>
      </c>
      <c r="G5" s="29" t="n">
        <v>5536505</v>
      </c>
      <c r="H5" s="30" t="n">
        <v>59.74</v>
      </c>
      <c r="I5" s="30" t="n">
        <v>60.22</v>
      </c>
      <c r="J5" s="30" t="n">
        <v>0.48</v>
      </c>
      <c r="K5" s="29" t="n">
        <v>5580990</v>
      </c>
      <c r="L5" s="29" t="n">
        <v>44485</v>
      </c>
      <c r="M5" s="29" t="n">
        <v>9267668</v>
      </c>
      <c r="N5" s="30" t="n">
        <v>5.536505</v>
      </c>
      <c r="O5" s="30" t="n">
        <v>0</v>
      </c>
      <c r="P5" s="39" t="inlineStr">
        <is>
          <t>RETRIEVED</t>
        </is>
      </c>
    </row>
    <row r="6" ht="26" customHeight="1" s="34">
      <c r="A6" s="39" t="n">
        <v>2</v>
      </c>
      <c r="B6" s="39" t="inlineStr">
        <is>
          <t>Ohio</t>
        </is>
      </c>
      <c r="C6" s="39" t="inlineStr">
        <is>
          <t>OH</t>
        </is>
      </c>
      <c r="D6" s="39" t="inlineStr">
        <is>
          <t>East North Central</t>
        </is>
      </c>
      <c r="E6" s="39" t="inlineStr">
        <is>
          <t>Midwest</t>
        </is>
      </c>
      <c r="F6" s="39" t="inlineStr">
        <is>
          <t>Charter</t>
        </is>
      </c>
      <c r="G6" s="29" t="n">
        <v>4414828</v>
      </c>
      <c r="H6" s="30" t="n">
        <v>75.68000000000001</v>
      </c>
      <c r="I6" s="30" t="n">
        <v>77.34999999999999</v>
      </c>
      <c r="J6" s="30" t="n">
        <v>1.67</v>
      </c>
      <c r="K6" s="29" t="n">
        <v>4512248</v>
      </c>
      <c r="L6" s="29" t="n">
        <v>97420</v>
      </c>
      <c r="M6" s="29" t="n">
        <v>5833546</v>
      </c>
      <c r="N6" s="30" t="n">
        <v>4.414828</v>
      </c>
      <c r="O6" s="30" t="n">
        <v>0</v>
      </c>
      <c r="P6" s="39" t="inlineStr">
        <is>
          <t>RETRIEVED</t>
        </is>
      </c>
    </row>
    <row r="7">
      <c r="A7" s="39" t="n">
        <v>3</v>
      </c>
      <c r="B7" s="39" t="inlineStr">
        <is>
          <t>North Carolina</t>
        </is>
      </c>
      <c r="C7" s="39" t="inlineStr">
        <is>
          <t>NC</t>
        </is>
      </c>
      <c r="D7" s="39" t="inlineStr">
        <is>
          <t>South Atlantic</t>
        </is>
      </c>
      <c r="E7" s="39" t="inlineStr">
        <is>
          <t>South</t>
        </is>
      </c>
      <c r="F7" s="39" t="inlineStr">
        <is>
          <t>Charter</t>
        </is>
      </c>
      <c r="G7" s="29" t="n">
        <v>4363085</v>
      </c>
      <c r="H7" s="30" t="n">
        <v>78.95</v>
      </c>
      <c r="I7" s="30" t="n">
        <v>78.99000000000001</v>
      </c>
      <c r="J7" s="30" t="n">
        <v>0.04</v>
      </c>
      <c r="K7" s="29" t="n">
        <v>4365296</v>
      </c>
      <c r="L7" s="29" t="n">
        <v>2211</v>
      </c>
      <c r="M7" s="29" t="n">
        <v>5526391</v>
      </c>
      <c r="N7" s="30" t="n">
        <v>4.363085</v>
      </c>
      <c r="O7" s="30" t="n">
        <v>0</v>
      </c>
      <c r="P7" s="39" t="inlineStr">
        <is>
          <t>RETRIEVED</t>
        </is>
      </c>
    </row>
    <row r="8" ht="26" customHeight="1" s="34">
      <c r="A8" s="39" t="n">
        <v>4</v>
      </c>
      <c r="B8" s="39" t="inlineStr">
        <is>
          <t>Texas</t>
        </is>
      </c>
      <c r="C8" s="39" t="inlineStr">
        <is>
          <t>TX</t>
        </is>
      </c>
      <c r="D8" s="39" t="inlineStr">
        <is>
          <t>West South Central</t>
        </is>
      </c>
      <c r="E8" s="39" t="inlineStr">
        <is>
          <t>South</t>
        </is>
      </c>
      <c r="F8" s="39" t="inlineStr">
        <is>
          <t>Charter</t>
        </is>
      </c>
      <c r="G8" s="29" t="n">
        <v>3763060</v>
      </c>
      <c r="H8" s="30" t="n">
        <v>26.98</v>
      </c>
      <c r="I8" s="30" t="n">
        <v>48.82</v>
      </c>
      <c r="J8" s="30" t="n">
        <v>21.84</v>
      </c>
      <c r="K8" s="29" t="n">
        <v>6809213</v>
      </c>
      <c r="L8" s="29" t="n">
        <v>3046153</v>
      </c>
      <c r="M8" s="29" t="n">
        <v>13947589</v>
      </c>
      <c r="N8" s="30" t="n">
        <v>3.76306</v>
      </c>
      <c r="O8" s="30" t="n">
        <v>0</v>
      </c>
      <c r="P8" s="39" t="inlineStr">
        <is>
          <t>RETRIEVED</t>
        </is>
      </c>
    </row>
    <row r="9" ht="26" customHeight="1" s="34">
      <c r="A9" s="39" t="n">
        <v>5</v>
      </c>
      <c r="B9" s="39" t="inlineStr">
        <is>
          <t>Wisconsin</t>
        </is>
      </c>
      <c r="C9" s="39" t="inlineStr">
        <is>
          <t>WI</t>
        </is>
      </c>
      <c r="D9" s="39" t="inlineStr">
        <is>
          <t>East North Central</t>
        </is>
      </c>
      <c r="E9" s="39" t="inlineStr">
        <is>
          <t>Midwest</t>
        </is>
      </c>
      <c r="F9" s="39" t="inlineStr">
        <is>
          <t>Charter</t>
        </is>
      </c>
      <c r="G9" s="29" t="n">
        <v>2309762</v>
      </c>
      <c r="H9" s="30" t="n">
        <v>73.29000000000001</v>
      </c>
      <c r="I9" s="30" t="n">
        <v>74.53</v>
      </c>
      <c r="J9" s="30" t="n">
        <v>1.24</v>
      </c>
      <c r="K9" s="29" t="n">
        <v>2348841</v>
      </c>
      <c r="L9" s="29" t="n">
        <v>39079</v>
      </c>
      <c r="M9" s="29" t="n">
        <v>3151537</v>
      </c>
      <c r="N9" s="30" t="n">
        <v>2.309762</v>
      </c>
      <c r="O9" s="30" t="n">
        <v>0</v>
      </c>
      <c r="P9" s="39" t="inlineStr">
        <is>
          <t>RETRIEVED</t>
        </is>
      </c>
    </row>
    <row r="10">
      <c r="A10" s="39" t="n">
        <v>6</v>
      </c>
      <c r="B10" s="39" t="inlineStr">
        <is>
          <t>California</t>
        </is>
      </c>
      <c r="C10" s="39" t="inlineStr">
        <is>
          <t>CA</t>
        </is>
      </c>
      <c r="D10" s="39" t="inlineStr">
        <is>
          <t>Pacific</t>
        </is>
      </c>
      <c r="E10" s="39" t="inlineStr">
        <is>
          <t>West</t>
        </is>
      </c>
      <c r="F10" s="39" t="inlineStr">
        <is>
          <t>Charter</t>
        </is>
      </c>
      <c r="G10" s="29" t="n">
        <v>2159161</v>
      </c>
      <c r="H10" s="30" t="n">
        <v>13.26</v>
      </c>
      <c r="I10" s="30" t="n">
        <v>46.98999999999999</v>
      </c>
      <c r="J10" s="30" t="n">
        <v>33.73</v>
      </c>
      <c r="K10" s="29" t="n">
        <v>7651506</v>
      </c>
      <c r="L10" s="29" t="n">
        <v>5492345</v>
      </c>
      <c r="M10" s="29" t="n">
        <v>16283265</v>
      </c>
      <c r="N10" s="30" t="n">
        <v>2.159161</v>
      </c>
      <c r="O10" s="30" t="n">
        <v>0</v>
      </c>
      <c r="P10" s="39" t="inlineStr">
        <is>
          <t>RETRIEVED</t>
        </is>
      </c>
    </row>
    <row r="11" ht="26" customHeight="1" s="34">
      <c r="A11" s="39" t="n">
        <v>7</v>
      </c>
      <c r="B11" s="39" t="inlineStr">
        <is>
          <t>Missouri</t>
        </is>
      </c>
      <c r="C11" s="39" t="inlineStr">
        <is>
          <t>MO</t>
        </is>
      </c>
      <c r="D11" s="39" t="inlineStr">
        <is>
          <t>West North Central</t>
        </is>
      </c>
      <c r="E11" s="39" t="inlineStr">
        <is>
          <t>Midwest</t>
        </is>
      </c>
      <c r="F11" s="39" t="inlineStr">
        <is>
          <t>Charter</t>
        </is>
      </c>
      <c r="G11" s="29" t="n">
        <v>1399311</v>
      </c>
      <c r="H11" s="30" t="n">
        <v>44.55</v>
      </c>
      <c r="I11" s="30" t="n">
        <v>49.87</v>
      </c>
      <c r="J11" s="30" t="n">
        <v>5.319999999999999</v>
      </c>
      <c r="K11" s="29" t="n">
        <v>1566412</v>
      </c>
      <c r="L11" s="29" t="n">
        <v>167101</v>
      </c>
      <c r="M11" s="29" t="n">
        <v>3140991</v>
      </c>
      <c r="N11" s="30" t="n">
        <v>1.399311</v>
      </c>
      <c r="O11" s="30" t="n">
        <v>0</v>
      </c>
      <c r="P11" s="39" t="inlineStr">
        <is>
          <t>RETRIEVED</t>
        </is>
      </c>
    </row>
    <row r="12" ht="26" customHeight="1" s="34">
      <c r="A12" s="39" t="n">
        <v>8</v>
      </c>
      <c r="B12" s="39" t="inlineStr">
        <is>
          <t>Kentucky</t>
        </is>
      </c>
      <c r="C12" s="39" t="inlineStr">
        <is>
          <t>KY</t>
        </is>
      </c>
      <c r="D12" s="39" t="inlineStr">
        <is>
          <t>East South Central</t>
        </is>
      </c>
      <c r="E12" s="39" t="inlineStr">
        <is>
          <t>South</t>
        </is>
      </c>
      <c r="F12" s="39" t="inlineStr">
        <is>
          <t>Charter</t>
        </is>
      </c>
      <c r="G12" s="29" t="n">
        <v>1254581</v>
      </c>
      <c r="H12" s="30" t="n">
        <v>55.07</v>
      </c>
      <c r="I12" s="30" t="n">
        <v>59.86</v>
      </c>
      <c r="J12" s="30" t="n">
        <v>4.79</v>
      </c>
      <c r="K12" s="29" t="n">
        <v>1363705</v>
      </c>
      <c r="L12" s="29" t="n">
        <v>109124</v>
      </c>
      <c r="M12" s="29" t="n">
        <v>2278158</v>
      </c>
      <c r="N12" s="30" t="n">
        <v>1.254581</v>
      </c>
      <c r="O12" s="30" t="n">
        <v>0</v>
      </c>
      <c r="P12" s="39" t="inlineStr">
        <is>
          <t>RETRIEVED</t>
        </is>
      </c>
    </row>
    <row r="13">
      <c r="A13" s="39" t="n">
        <v>9</v>
      </c>
      <c r="B13" s="39" t="inlineStr">
        <is>
          <t>South Carolina</t>
        </is>
      </c>
      <c r="C13" s="39" t="inlineStr">
        <is>
          <t>SC</t>
        </is>
      </c>
      <c r="D13" s="39" t="inlineStr">
        <is>
          <t>South Atlantic</t>
        </is>
      </c>
      <c r="E13" s="39" t="inlineStr">
        <is>
          <t>South</t>
        </is>
      </c>
      <c r="F13" s="39" t="inlineStr">
        <is>
          <t>Charter</t>
        </is>
      </c>
      <c r="G13" s="29" t="n">
        <v>1250624</v>
      </c>
      <c r="H13" s="30" t="n">
        <v>45.08</v>
      </c>
      <c r="I13" s="30" t="n">
        <v>59.86</v>
      </c>
      <c r="J13" s="30" t="n">
        <v>14.78</v>
      </c>
      <c r="K13" s="29" t="n">
        <v>1660655</v>
      </c>
      <c r="L13" s="29" t="n">
        <v>410031</v>
      </c>
      <c r="M13" s="29" t="n">
        <v>2774232</v>
      </c>
      <c r="N13" s="30" t="n">
        <v>1.250624</v>
      </c>
      <c r="O13" s="30" t="n">
        <v>0</v>
      </c>
      <c r="P13" s="39" t="inlineStr">
        <is>
          <t>RETRIEVED</t>
        </is>
      </c>
    </row>
    <row r="14" ht="26" customHeight="1" s="34">
      <c r="A14" s="39" t="n">
        <v>10</v>
      </c>
      <c r="B14" s="39" t="inlineStr">
        <is>
          <t>Alabama</t>
        </is>
      </c>
      <c r="C14" s="39" t="inlineStr">
        <is>
          <t>AL</t>
        </is>
      </c>
      <c r="D14" s="39" t="inlineStr">
        <is>
          <t>East South Central</t>
        </is>
      </c>
      <c r="E14" s="39" t="inlineStr">
        <is>
          <t>South</t>
        </is>
      </c>
      <c r="F14" s="39" t="inlineStr">
        <is>
          <t>Charter</t>
        </is>
      </c>
      <c r="G14" s="29" t="n">
        <v>598939</v>
      </c>
      <c r="H14" s="30" t="n">
        <v>22.32</v>
      </c>
      <c r="I14" s="30" t="n">
        <v>42.01</v>
      </c>
      <c r="J14" s="30" t="n">
        <v>19.69</v>
      </c>
      <c r="K14" s="29" t="n">
        <v>1127304</v>
      </c>
      <c r="L14" s="29" t="n">
        <v>528365</v>
      </c>
      <c r="M14" s="29" t="n">
        <v>2683418</v>
      </c>
      <c r="N14" s="30" t="n">
        <v>0.598939</v>
      </c>
      <c r="O14" s="30" t="n">
        <v>0</v>
      </c>
      <c r="P14" s="39" t="inlineStr">
        <is>
          <t>RETRIEVED</t>
        </is>
      </c>
    </row>
    <row r="15">
      <c r="A15" s="39" t="n">
        <v>11</v>
      </c>
      <c r="B15" s="39" t="inlineStr">
        <is>
          <t>Hawaii</t>
        </is>
      </c>
      <c r="C15" s="39" t="inlineStr">
        <is>
          <t>HI</t>
        </is>
      </c>
      <c r="D15" s="39" t="inlineStr">
        <is>
          <t>Pacific</t>
        </is>
      </c>
      <c r="E15" s="39" t="inlineStr">
        <is>
          <t>West</t>
        </is>
      </c>
      <c r="F15" s="39" t="inlineStr">
        <is>
          <t>Charter</t>
        </is>
      </c>
      <c r="G15" s="29" t="n">
        <v>556913</v>
      </c>
      <c r="H15" s="30" t="n">
        <v>92.28</v>
      </c>
      <c r="I15" s="30" t="n">
        <v>92.28</v>
      </c>
      <c r="J15" s="30" t="n"/>
      <c r="K15" s="29" t="n">
        <v>556913</v>
      </c>
      <c r="L15" s="29" t="n"/>
      <c r="M15" s="29" t="n">
        <v>603504</v>
      </c>
      <c r="N15" s="30" t="n">
        <v>0.556913</v>
      </c>
      <c r="O15" s="30" t="n">
        <v>0</v>
      </c>
      <c r="P15" s="39" t="inlineStr">
        <is>
          <t>RETRIEVED</t>
        </is>
      </c>
    </row>
    <row r="16">
      <c r="A16" s="39" t="n">
        <v>12</v>
      </c>
      <c r="B16" s="39" t="inlineStr">
        <is>
          <t>Maine</t>
        </is>
      </c>
      <c r="C16" s="39" t="inlineStr">
        <is>
          <t>ME</t>
        </is>
      </c>
      <c r="D16" s="39" t="inlineStr">
        <is>
          <t>New England</t>
        </is>
      </c>
      <c r="E16" s="39" t="inlineStr">
        <is>
          <t>Northeast</t>
        </is>
      </c>
      <c r="F16" s="39" t="inlineStr">
        <is>
          <t>Charter</t>
        </is>
      </c>
      <c r="G16" s="29" t="n">
        <v>528375</v>
      </c>
      <c r="H16" s="30" t="n">
        <v>64.70999999999999</v>
      </c>
      <c r="I16" s="30" t="n">
        <v>73.58</v>
      </c>
      <c r="J16" s="30" t="n">
        <v>8.870000000000001</v>
      </c>
      <c r="K16" s="29" t="n">
        <v>600801</v>
      </c>
      <c r="L16" s="29" t="n">
        <v>72426</v>
      </c>
      <c r="M16" s="29" t="n">
        <v>816527</v>
      </c>
      <c r="N16" s="30" t="n">
        <v>0.528375</v>
      </c>
      <c r="O16" s="30" t="n">
        <v>0</v>
      </c>
      <c r="P16" s="39" t="inlineStr">
        <is>
          <t>RETRIEVED</t>
        </is>
      </c>
    </row>
    <row r="17">
      <c r="A17" s="39" t="n">
        <v>13</v>
      </c>
      <c r="B17" s="39" t="inlineStr">
        <is>
          <t>Montana</t>
        </is>
      </c>
      <c r="C17" s="39" t="inlineStr">
        <is>
          <t>MT</t>
        </is>
      </c>
      <c r="D17" s="39" t="inlineStr">
        <is>
          <t>Mountain</t>
        </is>
      </c>
      <c r="E17" s="39" t="inlineStr">
        <is>
          <t>West</t>
        </is>
      </c>
      <c r="F17" s="39" t="inlineStr">
        <is>
          <t>Charter</t>
        </is>
      </c>
      <c r="G17" s="29" t="n">
        <v>335785</v>
      </c>
      <c r="H17" s="30" t="n">
        <v>54.43</v>
      </c>
      <c r="I17" s="30" t="n">
        <v>54.43</v>
      </c>
      <c r="J17" s="30" t="n"/>
      <c r="K17" s="29" t="n">
        <v>335785</v>
      </c>
      <c r="L17" s="29" t="n"/>
      <c r="M17" s="29" t="n">
        <v>616912</v>
      </c>
      <c r="N17" s="30" t="n">
        <v>0.335785</v>
      </c>
      <c r="O17" s="30" t="n">
        <v>0</v>
      </c>
      <c r="P17" s="39" t="inlineStr">
        <is>
          <t>RETRIEVED</t>
        </is>
      </c>
    </row>
    <row r="18" ht="26" customHeight="1" s="34">
      <c r="A18" s="39" t="n">
        <v>14</v>
      </c>
      <c r="B18" s="39" t="inlineStr">
        <is>
          <t>Nebraska</t>
        </is>
      </c>
      <c r="C18" s="39" t="inlineStr">
        <is>
          <t>NE</t>
        </is>
      </c>
      <c r="D18" s="39" t="inlineStr">
        <is>
          <t>West North Central</t>
        </is>
      </c>
      <c r="E18" s="39" t="inlineStr">
        <is>
          <t>Midwest</t>
        </is>
      </c>
      <c r="F18" s="39" t="inlineStr">
        <is>
          <t>Charter</t>
        </is>
      </c>
      <c r="G18" s="29" t="n">
        <v>312736</v>
      </c>
      <c r="H18" s="30" t="n">
        <v>31.31</v>
      </c>
      <c r="I18" s="30" t="n">
        <v>31.31</v>
      </c>
      <c r="J18" s="30" t="n"/>
      <c r="K18" s="29" t="n">
        <v>312736</v>
      </c>
      <c r="L18" s="29" t="n"/>
      <c r="M18" s="29" t="n">
        <v>998839</v>
      </c>
      <c r="N18" s="30" t="n">
        <v>0.312736</v>
      </c>
      <c r="O18" s="30" t="n">
        <v>0</v>
      </c>
      <c r="P18" s="39" t="inlineStr">
        <is>
          <t>RETRIEVED</t>
        </is>
      </c>
    </row>
    <row r="19">
      <c r="A19" s="39" t="n">
        <v>15</v>
      </c>
      <c r="B19" s="39" t="inlineStr">
        <is>
          <t>Nevada</t>
        </is>
      </c>
      <c r="C19" s="39" t="inlineStr">
        <is>
          <t>NV</t>
        </is>
      </c>
      <c r="D19" s="39" t="inlineStr">
        <is>
          <t>Mountain</t>
        </is>
      </c>
      <c r="E19" s="39" t="inlineStr">
        <is>
          <t>West</t>
        </is>
      </c>
      <c r="F19" s="39" t="inlineStr">
        <is>
          <t>Charter</t>
        </is>
      </c>
      <c r="G19" s="29" t="n">
        <v>307579</v>
      </c>
      <c r="H19" s="30" t="n">
        <v>21.15</v>
      </c>
      <c r="I19" s="30" t="n">
        <v>21.15</v>
      </c>
      <c r="J19" s="30" t="n"/>
      <c r="K19" s="29" t="n">
        <v>307579</v>
      </c>
      <c r="L19" s="29" t="n"/>
      <c r="M19" s="29" t="n">
        <v>1454275</v>
      </c>
      <c r="N19" s="30" t="n">
        <v>0.307579</v>
      </c>
      <c r="O19" s="30" t="n">
        <v>0</v>
      </c>
      <c r="P19" s="39" t="inlineStr">
        <is>
          <t>RETRIEVED</t>
        </is>
      </c>
    </row>
    <row r="20" ht="26" customHeight="1" s="34">
      <c r="A20" s="39" t="n">
        <v>16</v>
      </c>
      <c r="B20" s="39" t="inlineStr">
        <is>
          <t>Kansas</t>
        </is>
      </c>
      <c r="C20" s="39" t="inlineStr">
        <is>
          <t>KS</t>
        </is>
      </c>
      <c r="D20" s="39" t="inlineStr">
        <is>
          <t>West North Central</t>
        </is>
      </c>
      <c r="E20" s="39" t="inlineStr">
        <is>
          <t>Midwest</t>
        </is>
      </c>
      <c r="F20" s="39" t="inlineStr">
        <is>
          <t>Charter</t>
        </is>
      </c>
      <c r="G20" s="29" t="n">
        <v>229341</v>
      </c>
      <c r="H20" s="30" t="n">
        <v>15.42</v>
      </c>
      <c r="I20" s="30" t="n">
        <v>19.94</v>
      </c>
      <c r="J20" s="30" t="n">
        <v>4.52</v>
      </c>
      <c r="K20" s="29" t="n">
        <v>296567</v>
      </c>
      <c r="L20" s="29" t="n">
        <v>67226</v>
      </c>
      <c r="M20" s="29" t="n">
        <v>1487297</v>
      </c>
      <c r="N20" s="30" t="n">
        <v>0.229341</v>
      </c>
      <c r="O20" s="30" t="n">
        <v>0</v>
      </c>
      <c r="P20" s="39" t="inlineStr">
        <is>
          <t>RETRIEVED</t>
        </is>
      </c>
    </row>
    <row r="21">
      <c r="A21" s="39" t="n">
        <v>17</v>
      </c>
      <c r="B21" s="39" t="inlineStr">
        <is>
          <t>Wyoming</t>
        </is>
      </c>
      <c r="C21" s="39" t="inlineStr">
        <is>
          <t>WY</t>
        </is>
      </c>
      <c r="D21" s="39" t="inlineStr">
        <is>
          <t>Mountain</t>
        </is>
      </c>
      <c r="E21" s="39" t="inlineStr">
        <is>
          <t>West</t>
        </is>
      </c>
      <c r="F21" s="39" t="inlineStr">
        <is>
          <t>Charter</t>
        </is>
      </c>
      <c r="G21" s="29" t="n">
        <v>161029</v>
      </c>
      <c r="H21" s="30" t="n">
        <v>51.72</v>
      </c>
      <c r="I21" s="30" t="n">
        <v>51.72</v>
      </c>
      <c r="J21" s="30" t="n"/>
      <c r="K21" s="29" t="n">
        <v>161029</v>
      </c>
      <c r="L21" s="29" t="n"/>
      <c r="M21" s="29" t="n">
        <v>311347</v>
      </c>
      <c r="N21" s="30" t="n">
        <v>0.161029</v>
      </c>
      <c r="O21" s="30" t="n">
        <v>0</v>
      </c>
      <c r="P21" s="39" t="inlineStr">
        <is>
          <t>RETRIEVED</t>
        </is>
      </c>
    </row>
    <row r="22">
      <c r="A22" s="39" t="n">
        <v>18</v>
      </c>
      <c r="B22" s="39" t="inlineStr">
        <is>
          <t>Idaho</t>
        </is>
      </c>
      <c r="C22" s="39" t="inlineStr">
        <is>
          <t>ID</t>
        </is>
      </c>
      <c r="D22" s="39" t="inlineStr">
        <is>
          <t>Mountain</t>
        </is>
      </c>
      <c r="E22" s="39" t="inlineStr">
        <is>
          <t>West</t>
        </is>
      </c>
      <c r="F22" s="39" t="inlineStr">
        <is>
          <t>Charter</t>
        </is>
      </c>
      <c r="G22" s="29" t="n">
        <v>80612</v>
      </c>
      <c r="H22" s="30" t="n">
        <v>8.779999999999999</v>
      </c>
      <c r="I22" s="30" t="n">
        <v>9.039999999999999</v>
      </c>
      <c r="J22" s="30" t="n">
        <v>0.26</v>
      </c>
      <c r="K22" s="29" t="n">
        <v>82999</v>
      </c>
      <c r="L22" s="29" t="n">
        <v>2387</v>
      </c>
      <c r="M22" s="29" t="n">
        <v>918136</v>
      </c>
      <c r="N22" s="30" t="n">
        <v>0.080612</v>
      </c>
      <c r="O22" s="30" t="n">
        <v>0</v>
      </c>
      <c r="P22" s="39" t="inlineStr">
        <is>
          <t>RETRIEVED</t>
        </is>
      </c>
    </row>
    <row r="23" ht="26" customHeight="1" s="34">
      <c r="A23" s="39" t="n">
        <v>19</v>
      </c>
      <c r="B23" s="39" t="inlineStr">
        <is>
          <t>Louisiana</t>
        </is>
      </c>
      <c r="C23" s="39" t="inlineStr">
        <is>
          <t>LA</t>
        </is>
      </c>
      <c r="D23" s="39" t="inlineStr">
        <is>
          <t>West South Central</t>
        </is>
      </c>
      <c r="E23" s="39" t="inlineStr">
        <is>
          <t>South</t>
        </is>
      </c>
      <c r="F23" s="39" t="inlineStr">
        <is>
          <t>Charter</t>
        </is>
      </c>
      <c r="G23" s="29" t="n">
        <v>51865</v>
      </c>
      <c r="H23" s="30" t="n">
        <v>2.2</v>
      </c>
      <c r="I23" s="30" t="n">
        <v>13.49</v>
      </c>
      <c r="J23" s="30" t="n">
        <v>11.29</v>
      </c>
      <c r="K23" s="29" t="n">
        <v>318024</v>
      </c>
      <c r="L23" s="29" t="n">
        <v>266159</v>
      </c>
      <c r="M23" s="29" t="n">
        <v>2357476</v>
      </c>
      <c r="N23" s="30" t="n">
        <v>0.051865</v>
      </c>
      <c r="O23" s="30" t="n">
        <v>0</v>
      </c>
      <c r="P23" s="39" t="inlineStr">
        <is>
          <t>RETRIEVED</t>
        </is>
      </c>
    </row>
    <row r="24">
      <c r="A24" s="39" t="n">
        <v>20</v>
      </c>
      <c r="B24" s="39" t="inlineStr">
        <is>
          <t>Alaska</t>
        </is>
      </c>
      <c r="C24" s="39" t="inlineStr">
        <is>
          <t>AK</t>
        </is>
      </c>
      <c r="D24" s="39" t="inlineStr">
        <is>
          <t>Pacific</t>
        </is>
      </c>
      <c r="E24" s="39" t="inlineStr">
        <is>
          <t>West</t>
        </is>
      </c>
      <c r="F24" s="39" t="inlineStr">
        <is>
          <t>Neither</t>
        </is>
      </c>
      <c r="G24" s="29" t="n">
        <v>0</v>
      </c>
      <c r="H24" s="30" t="n">
        <v>0</v>
      </c>
      <c r="I24" s="30" t="n"/>
      <c r="J24" s="30" t="n"/>
      <c r="K24" s="29" t="n"/>
      <c r="L24" s="29" t="n"/>
      <c r="M24" s="29" t="n">
        <v>383830</v>
      </c>
      <c r="N24" s="30" t="n">
        <v>0</v>
      </c>
      <c r="O24" s="30" t="n">
        <v>0</v>
      </c>
      <c r="P24" s="39" t="inlineStr">
        <is>
          <t>RETRIEVED</t>
        </is>
      </c>
    </row>
    <row r="25" ht="26" customHeight="1" s="34">
      <c r="A25" s="39" t="n">
        <v>21</v>
      </c>
      <c r="B25" s="39" t="inlineStr">
        <is>
          <t>Iowa</t>
        </is>
      </c>
      <c r="C25" s="39" t="inlineStr">
        <is>
          <t>IA</t>
        </is>
      </c>
      <c r="D25" s="39" t="inlineStr">
        <is>
          <t>West North Central</t>
        </is>
      </c>
      <c r="E25" s="39" t="inlineStr">
        <is>
          <t>Midwest</t>
        </is>
      </c>
      <c r="F25" s="39" t="inlineStr">
        <is>
          <t>Neither</t>
        </is>
      </c>
      <c r="G25" s="29" t="n">
        <v>0</v>
      </c>
      <c r="H25" s="30" t="n">
        <v>0</v>
      </c>
      <c r="I25" s="30" t="n"/>
      <c r="J25" s="30" t="n"/>
      <c r="K25" s="29" t="n"/>
      <c r="L25" s="29" t="n"/>
      <c r="M25" s="29" t="n">
        <v>1661913</v>
      </c>
      <c r="N25" s="30" t="n">
        <v>0</v>
      </c>
      <c r="O25" s="30" t="n">
        <v>0</v>
      </c>
      <c r="P25" s="39" t="inlineStr">
        <is>
          <t>RETRIEVED</t>
        </is>
      </c>
    </row>
    <row r="26" ht="26" customHeight="1" s="34">
      <c r="A26" s="39" t="n">
        <v>22</v>
      </c>
      <c r="B26" s="39" t="inlineStr">
        <is>
          <t>North Dakota</t>
        </is>
      </c>
      <c r="C26" s="39" t="inlineStr">
        <is>
          <t>ND</t>
        </is>
      </c>
      <c r="D26" s="39" t="inlineStr">
        <is>
          <t>West North Central</t>
        </is>
      </c>
      <c r="E26" s="39" t="inlineStr">
        <is>
          <t>Midwest</t>
        </is>
      </c>
      <c r="F26" s="39" t="inlineStr">
        <is>
          <t>Neither</t>
        </is>
      </c>
      <c r="G26" s="29" t="n">
        <v>0</v>
      </c>
      <c r="H26" s="30" t="n">
        <v>0</v>
      </c>
      <c r="I26" s="30" t="n"/>
      <c r="J26" s="30" t="n"/>
      <c r="K26" s="29" t="n"/>
      <c r="L26" s="29" t="n"/>
      <c r="M26" s="29" t="n">
        <v>452871</v>
      </c>
      <c r="N26" s="30" t="n">
        <v>0</v>
      </c>
      <c r="O26" s="30" t="n">
        <v>0</v>
      </c>
      <c r="P26" s="39" t="inlineStr">
        <is>
          <t>RETRIEVED</t>
        </is>
      </c>
    </row>
    <row r="27" ht="26" customHeight="1" s="34">
      <c r="A27" s="39" t="n">
        <v>23</v>
      </c>
      <c r="B27" s="39" t="inlineStr">
        <is>
          <t>Oklahoma</t>
        </is>
      </c>
      <c r="C27" s="39" t="inlineStr">
        <is>
          <t>OK</t>
        </is>
      </c>
      <c r="D27" s="39" t="inlineStr">
        <is>
          <t>West South Central</t>
        </is>
      </c>
      <c r="E27" s="39" t="inlineStr">
        <is>
          <t>South</t>
        </is>
      </c>
      <c r="F27" s="39" t="inlineStr">
        <is>
          <t>Neither</t>
        </is>
      </c>
      <c r="G27" s="29" t="n">
        <v>0</v>
      </c>
      <c r="H27" s="30" t="n">
        <v>0</v>
      </c>
      <c r="I27" s="30" t="n"/>
      <c r="J27" s="30" t="n"/>
      <c r="K27" s="29" t="n"/>
      <c r="L27" s="29" t="n"/>
      <c r="M27" s="29" t="n">
        <v>2056192</v>
      </c>
      <c r="N27" s="30" t="n">
        <v>0</v>
      </c>
      <c r="O27" s="30" t="n">
        <v>0</v>
      </c>
      <c r="P27" s="39" t="inlineStr">
        <is>
          <t>RETRIEVED</t>
        </is>
      </c>
    </row>
    <row r="28" ht="26" customHeight="1" s="34">
      <c r="A28" s="39" t="n">
        <v>24</v>
      </c>
      <c r="B28" s="39" t="inlineStr">
        <is>
          <t>South Dakota</t>
        </is>
      </c>
      <c r="C28" s="39" t="inlineStr">
        <is>
          <t>SD</t>
        </is>
      </c>
      <c r="D28" s="39" t="inlineStr">
        <is>
          <t>West North Central</t>
        </is>
      </c>
      <c r="E28" s="39" t="inlineStr">
        <is>
          <t>Midwest</t>
        </is>
      </c>
      <c r="F28" s="39" t="inlineStr">
        <is>
          <t>Neither</t>
        </is>
      </c>
      <c r="G28" s="29" t="n">
        <v>0</v>
      </c>
      <c r="H28" s="30" t="n">
        <v>0</v>
      </c>
      <c r="I28" s="30" t="n"/>
      <c r="J28" s="30" t="n"/>
      <c r="K28" s="29" t="n"/>
      <c r="L28" s="29" t="n"/>
      <c r="M28" s="29" t="n">
        <v>498516</v>
      </c>
      <c r="N28" s="30" t="n">
        <v>0</v>
      </c>
      <c r="O28" s="30" t="n">
        <v>0</v>
      </c>
      <c r="P28" s="39" t="inlineStr">
        <is>
          <t>RETRIEVED</t>
        </is>
      </c>
    </row>
    <row r="29">
      <c r="A29" s="39" t="n">
        <v>25</v>
      </c>
      <c r="B29" s="39" t="inlineStr">
        <is>
          <t>Rhode Island</t>
        </is>
      </c>
      <c r="C29" s="39" t="inlineStr">
        <is>
          <t>RI</t>
        </is>
      </c>
      <c r="D29" s="39" t="inlineStr">
        <is>
          <t>New England</t>
        </is>
      </c>
      <c r="E29" s="39" t="inlineStr">
        <is>
          <t>Northeast</t>
        </is>
      </c>
      <c r="F29" s="39" t="inlineStr">
        <is>
          <t>Comcast</t>
        </is>
      </c>
      <c r="G29" s="29" t="n">
        <v>-159</v>
      </c>
      <c r="H29" s="30" t="n">
        <v>-0.03</v>
      </c>
      <c r="I29" s="30" t="n">
        <v>0.02</v>
      </c>
      <c r="J29" s="30" t="n">
        <v>0.05</v>
      </c>
      <c r="K29" s="29" t="n">
        <v>106</v>
      </c>
      <c r="L29" s="29" t="n">
        <v>265</v>
      </c>
      <c r="M29" s="29" t="n">
        <v>530201</v>
      </c>
      <c r="N29" s="30" t="n">
        <v>0</v>
      </c>
      <c r="O29" s="30" t="n">
        <v>0.000159</v>
      </c>
      <c r="P29" s="39" t="inlineStr">
        <is>
          <t>RETRIEVED</t>
        </is>
      </c>
    </row>
    <row r="30">
      <c r="A30" s="39" t="n">
        <v>26</v>
      </c>
      <c r="B30" s="39" t="inlineStr">
        <is>
          <t>Arizona</t>
        </is>
      </c>
      <c r="C30" s="39" t="inlineStr">
        <is>
          <t>AZ</t>
        </is>
      </c>
      <c r="D30" s="39" t="inlineStr">
        <is>
          <t>Mountain</t>
        </is>
      </c>
      <c r="E30" s="39" t="inlineStr">
        <is>
          <t>West</t>
        </is>
      </c>
      <c r="F30" s="39" t="inlineStr">
        <is>
          <t>Comcast</t>
        </is>
      </c>
      <c r="G30" s="29" t="n">
        <v>-91307</v>
      </c>
      <c r="H30" s="30" t="n">
        <v>-2.54</v>
      </c>
      <c r="I30" s="30" t="n">
        <v>2.64</v>
      </c>
      <c r="J30" s="30" t="n">
        <v>5.18</v>
      </c>
      <c r="K30" s="29" t="n">
        <v>94903</v>
      </c>
      <c r="L30" s="29" t="n">
        <v>186210</v>
      </c>
      <c r="M30" s="29" t="n">
        <v>3594796</v>
      </c>
      <c r="N30" s="30" t="n">
        <v>0</v>
      </c>
      <c r="O30" s="30" t="n">
        <v>0.091307</v>
      </c>
      <c r="P30" s="39" t="inlineStr">
        <is>
          <t>RETRIEVED</t>
        </is>
      </c>
    </row>
    <row r="31">
      <c r="A31" s="39" t="n">
        <v>27</v>
      </c>
      <c r="B31" s="39" t="inlineStr">
        <is>
          <t>Vermont</t>
        </is>
      </c>
      <c r="C31" s="39" t="inlineStr">
        <is>
          <t>VT</t>
        </is>
      </c>
      <c r="D31" s="39" t="inlineStr">
        <is>
          <t>New England</t>
        </is>
      </c>
      <c r="E31" s="39" t="inlineStr">
        <is>
          <t>Northeast</t>
        </is>
      </c>
      <c r="F31" s="39" t="inlineStr">
        <is>
          <t>Comcast</t>
        </is>
      </c>
      <c r="G31" s="29" t="n">
        <v>-224439</v>
      </c>
      <c r="H31" s="30" t="n">
        <v>-59.94</v>
      </c>
      <c r="I31" s="30" t="n">
        <v>5.899999999999999</v>
      </c>
      <c r="J31" s="30" t="n">
        <v>65.84</v>
      </c>
      <c r="K31" s="29" t="n">
        <v>22092</v>
      </c>
      <c r="L31" s="29" t="n">
        <v>246531</v>
      </c>
      <c r="M31" s="29" t="n">
        <v>374439</v>
      </c>
      <c r="N31" s="30" t="n">
        <v>0</v>
      </c>
      <c r="O31" s="30" t="n">
        <v>0.224439</v>
      </c>
      <c r="P31" s="39" t="inlineStr">
        <is>
          <t>RETRIEVED</t>
        </is>
      </c>
    </row>
    <row r="32">
      <c r="A32" s="39" t="n">
        <v>28</v>
      </c>
      <c r="B32" s="39" t="inlineStr">
        <is>
          <t>West Virginia</t>
        </is>
      </c>
      <c r="C32" s="39" t="inlineStr">
        <is>
          <t>WV</t>
        </is>
      </c>
      <c r="D32" s="39" t="inlineStr">
        <is>
          <t>South Atlantic</t>
        </is>
      </c>
      <c r="E32" s="39" t="inlineStr">
        <is>
          <t>South</t>
        </is>
      </c>
      <c r="F32" s="39" t="inlineStr">
        <is>
          <t>Comcast</t>
        </is>
      </c>
      <c r="G32" s="29" t="n">
        <v>-255567</v>
      </c>
      <c r="H32" s="30" t="n">
        <v>-25.65</v>
      </c>
      <c r="I32" s="30" t="n">
        <v>3.35</v>
      </c>
      <c r="J32" s="30" t="n">
        <v>29</v>
      </c>
      <c r="K32" s="29" t="n">
        <v>33378</v>
      </c>
      <c r="L32" s="29" t="n">
        <v>288945</v>
      </c>
      <c r="M32" s="29" t="n">
        <v>996362</v>
      </c>
      <c r="N32" s="30" t="n">
        <v>0</v>
      </c>
      <c r="O32" s="30" t="n">
        <v>0.255567</v>
      </c>
      <c r="P32" s="39" t="inlineStr">
        <is>
          <t>RETRIEVED</t>
        </is>
      </c>
    </row>
    <row r="33" ht="26" customHeight="1" s="34">
      <c r="A33" s="39" t="n">
        <v>29</v>
      </c>
      <c r="B33" s="39" t="inlineStr">
        <is>
          <t>Arkansas</t>
        </is>
      </c>
      <c r="C33" s="39" t="inlineStr">
        <is>
          <t>AR</t>
        </is>
      </c>
      <c r="D33" s="39" t="inlineStr">
        <is>
          <t>West South Central</t>
        </is>
      </c>
      <c r="E33" s="39" t="inlineStr">
        <is>
          <t>South</t>
        </is>
      </c>
      <c r="F33" s="39" t="inlineStr">
        <is>
          <t>Comcast</t>
        </is>
      </c>
      <c r="G33" s="29" t="n">
        <v>-262392</v>
      </c>
      <c r="H33" s="30" t="n">
        <v>-16.31</v>
      </c>
      <c r="I33" s="30" t="n"/>
      <c r="J33" s="30" t="n">
        <v>16.31</v>
      </c>
      <c r="K33" s="29" t="n"/>
      <c r="L33" s="29" t="n">
        <v>262392</v>
      </c>
      <c r="M33" s="29" t="n">
        <v>1608780</v>
      </c>
      <c r="N33" s="30" t="n">
        <v>0</v>
      </c>
      <c r="O33" s="30" t="n">
        <v>0.262392</v>
      </c>
      <c r="P33" s="39" t="inlineStr">
        <is>
          <t>RETRIEVED</t>
        </is>
      </c>
    </row>
    <row r="34" ht="26" customHeight="1" s="34">
      <c r="A34" s="39" t="n">
        <v>30</v>
      </c>
      <c r="B34" s="39" t="inlineStr">
        <is>
          <t>District of Columbia</t>
        </is>
      </c>
      <c r="C34" s="39" t="inlineStr">
        <is>
          <t>DC</t>
        </is>
      </c>
      <c r="D34" s="39" t="inlineStr">
        <is>
          <t>South Atlantic</t>
        </is>
      </c>
      <c r="E34" s="39" t="inlineStr">
        <is>
          <t>South</t>
        </is>
      </c>
      <c r="F34" s="39" t="inlineStr">
        <is>
          <t>Comcast</t>
        </is>
      </c>
      <c r="G34" s="29" t="n">
        <v>-380427</v>
      </c>
      <c r="H34" s="30" t="n">
        <v>-98.64</v>
      </c>
      <c r="I34" s="30" t="n"/>
      <c r="J34" s="30" t="n">
        <v>98.64</v>
      </c>
      <c r="K34" s="29" t="n"/>
      <c r="L34" s="29" t="n">
        <v>380427</v>
      </c>
      <c r="M34" s="29" t="n">
        <v>385672</v>
      </c>
      <c r="N34" s="30" t="n">
        <v>0</v>
      </c>
      <c r="O34" s="30" t="n">
        <v>0.380427</v>
      </c>
      <c r="P34" s="39" t="inlineStr">
        <is>
          <t>RETRIEVED</t>
        </is>
      </c>
    </row>
    <row r="35" ht="26" customHeight="1" s="34">
      <c r="A35" s="39" t="n">
        <v>31</v>
      </c>
      <c r="B35" s="39" t="inlineStr">
        <is>
          <t>New Hampshire</t>
        </is>
      </c>
      <c r="C35" s="39" t="inlineStr">
        <is>
          <t>NH</t>
        </is>
      </c>
      <c r="D35" s="39" t="inlineStr">
        <is>
          <t>New England</t>
        </is>
      </c>
      <c r="E35" s="39" t="inlineStr">
        <is>
          <t>Northeast</t>
        </is>
      </c>
      <c r="F35" s="39" t="inlineStr">
        <is>
          <t>Comcast</t>
        </is>
      </c>
      <c r="G35" s="29" t="n">
        <v>-404144</v>
      </c>
      <c r="H35" s="30" t="n">
        <v>-56.29</v>
      </c>
      <c r="I35" s="30" t="n">
        <v>13.9</v>
      </c>
      <c r="J35" s="30" t="n">
        <v>70.19</v>
      </c>
      <c r="K35" s="29" t="n">
        <v>99798</v>
      </c>
      <c r="L35" s="29" t="n">
        <v>503942</v>
      </c>
      <c r="M35" s="29" t="n">
        <v>717969</v>
      </c>
      <c r="N35" s="30" t="n">
        <v>0</v>
      </c>
      <c r="O35" s="30" t="n">
        <v>0.404144</v>
      </c>
      <c r="P35" s="39" t="inlineStr">
        <is>
          <t>RETRIEVED</t>
        </is>
      </c>
    </row>
    <row r="36">
      <c r="A36" s="39" t="n">
        <v>32</v>
      </c>
      <c r="B36" s="39" t="inlineStr">
        <is>
          <t>Delaware</t>
        </is>
      </c>
      <c r="C36" s="39" t="inlineStr">
        <is>
          <t>DE</t>
        </is>
      </c>
      <c r="D36" s="39" t="inlineStr">
        <is>
          <t>South Atlantic</t>
        </is>
      </c>
      <c r="E36" s="39" t="inlineStr">
        <is>
          <t>South</t>
        </is>
      </c>
      <c r="F36" s="39" t="inlineStr">
        <is>
          <t>Comcast</t>
        </is>
      </c>
      <c r="G36" s="29" t="n">
        <v>-419605</v>
      </c>
      <c r="H36" s="30" t="n">
        <v>-82.08</v>
      </c>
      <c r="I36" s="30" t="n"/>
      <c r="J36" s="30" t="n">
        <v>82.08</v>
      </c>
      <c r="K36" s="29" t="n"/>
      <c r="L36" s="29" t="n">
        <v>419605</v>
      </c>
      <c r="M36" s="29" t="n">
        <v>511215</v>
      </c>
      <c r="N36" s="30" t="n">
        <v>0</v>
      </c>
      <c r="O36" s="30" t="n">
        <v>0.419605</v>
      </c>
      <c r="P36" s="39" t="inlineStr">
        <is>
          <t>RETRIEVED</t>
        </is>
      </c>
    </row>
    <row r="37" ht="26" customHeight="1" s="34">
      <c r="A37" s="39" t="n">
        <v>33</v>
      </c>
      <c r="B37" s="39" t="inlineStr">
        <is>
          <t>Mississippi</t>
        </is>
      </c>
      <c r="C37" s="39" t="inlineStr">
        <is>
          <t>MS</t>
        </is>
      </c>
      <c r="D37" s="39" t="inlineStr">
        <is>
          <t>East South Central</t>
        </is>
      </c>
      <c r="E37" s="39" t="inlineStr">
        <is>
          <t>South</t>
        </is>
      </c>
      <c r="F37" s="39" t="inlineStr">
        <is>
          <t>Comcast</t>
        </is>
      </c>
      <c r="G37" s="29" t="n">
        <v>-452425</v>
      </c>
      <c r="H37" s="30" t="n">
        <v>-28.05</v>
      </c>
      <c r="I37" s="30" t="n">
        <v>1.1</v>
      </c>
      <c r="J37" s="30" t="n">
        <v>29.15</v>
      </c>
      <c r="K37" s="29" t="n">
        <v>17742</v>
      </c>
      <c r="L37" s="29" t="n">
        <v>470167</v>
      </c>
      <c r="M37" s="29" t="n">
        <v>1612924</v>
      </c>
      <c r="N37" s="30" t="n">
        <v>0</v>
      </c>
      <c r="O37" s="30" t="n">
        <v>0.452425</v>
      </c>
      <c r="P37" s="39" t="inlineStr">
        <is>
          <t>RETRIEVED</t>
        </is>
      </c>
    </row>
    <row r="38">
      <c r="A38" s="39" t="n">
        <v>34</v>
      </c>
      <c r="B38" s="39" t="inlineStr">
        <is>
          <t>New Mexico</t>
        </is>
      </c>
      <c r="C38" s="39" t="inlineStr">
        <is>
          <t>NM</t>
        </is>
      </c>
      <c r="D38" s="39" t="inlineStr">
        <is>
          <t>Mountain</t>
        </is>
      </c>
      <c r="E38" s="39" t="inlineStr">
        <is>
          <t>West</t>
        </is>
      </c>
      <c r="F38" s="39" t="inlineStr">
        <is>
          <t>Comcast</t>
        </is>
      </c>
      <c r="G38" s="29" t="n">
        <v>-614811</v>
      </c>
      <c r="H38" s="30" t="n">
        <v>-56.86</v>
      </c>
      <c r="I38" s="30" t="n">
        <v>1.31</v>
      </c>
      <c r="J38" s="30" t="n">
        <v>58.17</v>
      </c>
      <c r="K38" s="29" t="n">
        <v>14165</v>
      </c>
      <c r="L38" s="29" t="n">
        <v>628976</v>
      </c>
      <c r="M38" s="29" t="n">
        <v>1081272</v>
      </c>
      <c r="N38" s="30" t="n">
        <v>0</v>
      </c>
      <c r="O38" s="30" t="n">
        <v>0.614811</v>
      </c>
      <c r="P38" s="39" t="inlineStr">
        <is>
          <t>RETRIEVED</t>
        </is>
      </c>
    </row>
    <row r="39" ht="26" customHeight="1" s="34">
      <c r="A39" s="39" t="n">
        <v>35</v>
      </c>
      <c r="B39" s="39" t="inlineStr">
        <is>
          <t>Minnesota</t>
        </is>
      </c>
      <c r="C39" s="39" t="inlineStr">
        <is>
          <t>MN</t>
        </is>
      </c>
      <c r="D39" s="39" t="inlineStr">
        <is>
          <t>West North Central</t>
        </is>
      </c>
      <c r="E39" s="39" t="inlineStr">
        <is>
          <t>Midwest</t>
        </is>
      </c>
      <c r="F39" s="39" t="inlineStr">
        <is>
          <t>Comcast</t>
        </is>
      </c>
      <c r="G39" s="29" t="n">
        <v>-754875</v>
      </c>
      <c r="H39" s="30" t="n">
        <v>-26.45</v>
      </c>
      <c r="I39" s="30" t="n">
        <v>17.4</v>
      </c>
      <c r="J39" s="30" t="n">
        <v>43.85</v>
      </c>
      <c r="K39" s="29" t="n">
        <v>496591</v>
      </c>
      <c r="L39" s="29" t="n">
        <v>1251466</v>
      </c>
      <c r="M39" s="29" t="n">
        <v>2853970</v>
      </c>
      <c r="N39" s="30" t="n">
        <v>0</v>
      </c>
      <c r="O39" s="30" t="n">
        <v>0.754875</v>
      </c>
      <c r="P39" s="39" t="inlineStr">
        <is>
          <t>RETRIEVED</t>
        </is>
      </c>
    </row>
    <row r="40">
      <c r="A40" s="39" t="n">
        <v>36</v>
      </c>
      <c r="B40" s="39" t="inlineStr">
        <is>
          <t>Oregon</t>
        </is>
      </c>
      <c r="C40" s="39" t="inlineStr">
        <is>
          <t>OR</t>
        </is>
      </c>
      <c r="D40" s="39" t="inlineStr">
        <is>
          <t>Pacific</t>
        </is>
      </c>
      <c r="E40" s="39" t="inlineStr">
        <is>
          <t>West</t>
        </is>
      </c>
      <c r="F40" s="39" t="inlineStr">
        <is>
          <t>Comcast</t>
        </is>
      </c>
      <c r="G40" s="29" t="n">
        <v>-772253</v>
      </c>
      <c r="H40" s="30" t="n">
        <v>-37.27</v>
      </c>
      <c r="I40" s="30" t="n">
        <v>20.74</v>
      </c>
      <c r="J40" s="30" t="n">
        <v>58.01</v>
      </c>
      <c r="K40" s="29" t="n">
        <v>429744</v>
      </c>
      <c r="L40" s="29" t="n">
        <v>1201997</v>
      </c>
      <c r="M40" s="29" t="n">
        <v>2072052</v>
      </c>
      <c r="N40" s="30" t="n">
        <v>0</v>
      </c>
      <c r="O40" s="30" t="n">
        <v>0.772253</v>
      </c>
      <c r="P40" s="39" t="inlineStr">
        <is>
          <t>RETRIEVED</t>
        </is>
      </c>
    </row>
    <row r="41">
      <c r="A41" s="39" t="n">
        <v>37</v>
      </c>
      <c r="B41" s="39" t="inlineStr">
        <is>
          <t>Connecticut</t>
        </is>
      </c>
      <c r="C41" s="39" t="inlineStr">
        <is>
          <t>CT</t>
        </is>
      </c>
      <c r="D41" s="39" t="inlineStr">
        <is>
          <t>New England</t>
        </is>
      </c>
      <c r="E41" s="39" t="inlineStr">
        <is>
          <t>Northeast</t>
        </is>
      </c>
      <c r="F41" s="39" t="inlineStr">
        <is>
          <t>Comcast</t>
        </is>
      </c>
      <c r="G41" s="29" t="n">
        <v>-906842</v>
      </c>
      <c r="H41" s="30" t="n">
        <v>-54.6</v>
      </c>
      <c r="I41" s="30" t="n">
        <v>8.93</v>
      </c>
      <c r="J41" s="30" t="n">
        <v>63.53</v>
      </c>
      <c r="K41" s="29" t="n">
        <v>148317</v>
      </c>
      <c r="L41" s="29" t="n">
        <v>1055159</v>
      </c>
      <c r="M41" s="29" t="n">
        <v>1660883</v>
      </c>
      <c r="N41" s="30" t="n">
        <v>0</v>
      </c>
      <c r="O41" s="30" t="n">
        <v>0.906842</v>
      </c>
      <c r="P41" s="39" t="inlineStr">
        <is>
          <t>RETRIEVED</t>
        </is>
      </c>
    </row>
    <row r="42" ht="26" customHeight="1" s="34">
      <c r="A42" s="39" t="n">
        <v>38</v>
      </c>
      <c r="B42" s="39" t="inlineStr">
        <is>
          <t>Tennessee</t>
        </is>
      </c>
      <c r="C42" s="39" t="inlineStr">
        <is>
          <t>TN</t>
        </is>
      </c>
      <c r="D42" s="39" t="inlineStr">
        <is>
          <t>East South Central</t>
        </is>
      </c>
      <c r="E42" s="39" t="inlineStr">
        <is>
          <t>South</t>
        </is>
      </c>
      <c r="F42" s="39" t="inlineStr">
        <is>
          <t>Comcast</t>
        </is>
      </c>
      <c r="G42" s="29" t="n">
        <v>-965821</v>
      </c>
      <c r="H42" s="30" t="n">
        <v>-27.39</v>
      </c>
      <c r="I42" s="30" t="n">
        <v>28.03</v>
      </c>
      <c r="J42" s="30" t="n">
        <v>55.42</v>
      </c>
      <c r="K42" s="29" t="n">
        <v>988389</v>
      </c>
      <c r="L42" s="29" t="n">
        <v>1954210</v>
      </c>
      <c r="M42" s="29" t="n">
        <v>3526181</v>
      </c>
      <c r="N42" s="30" t="n">
        <v>0</v>
      </c>
      <c r="O42" s="30" t="n">
        <v>0.965821</v>
      </c>
      <c r="P42" s="39" t="inlineStr">
        <is>
          <t>RETRIEVED</t>
        </is>
      </c>
    </row>
    <row r="43">
      <c r="A43" s="39" t="n">
        <v>39</v>
      </c>
      <c r="B43" s="39" t="inlineStr">
        <is>
          <t>Utah</t>
        </is>
      </c>
      <c r="C43" s="39" t="inlineStr">
        <is>
          <t>UT</t>
        </is>
      </c>
      <c r="D43" s="39" t="inlineStr">
        <is>
          <t>Mountain</t>
        </is>
      </c>
      <c r="E43" s="39" t="inlineStr">
        <is>
          <t>West</t>
        </is>
      </c>
      <c r="F43" s="39" t="inlineStr">
        <is>
          <t>Comcast</t>
        </is>
      </c>
      <c r="G43" s="29" t="n">
        <v>-1078558</v>
      </c>
      <c r="H43" s="30" t="n">
        <v>-76.73999999999999</v>
      </c>
      <c r="I43" s="30" t="n"/>
      <c r="J43" s="30" t="n">
        <v>76.73999999999999</v>
      </c>
      <c r="K43" s="29" t="n"/>
      <c r="L43" s="29" t="n">
        <v>1078558</v>
      </c>
      <c r="M43" s="29" t="n">
        <v>1405470</v>
      </c>
      <c r="N43" s="30" t="n">
        <v>0</v>
      </c>
      <c r="O43" s="30" t="n">
        <v>1.078558</v>
      </c>
      <c r="P43" s="39" t="inlineStr">
        <is>
          <t>RETRIEVED</t>
        </is>
      </c>
    </row>
    <row r="44" ht="26" customHeight="1" s="34">
      <c r="A44" s="39" t="n">
        <v>40</v>
      </c>
      <c r="B44" s="39" t="inlineStr">
        <is>
          <t>Indiana</t>
        </is>
      </c>
      <c r="C44" s="39" t="inlineStr">
        <is>
          <t>IN</t>
        </is>
      </c>
      <c r="D44" s="39" t="inlineStr">
        <is>
          <t>East North Central</t>
        </is>
      </c>
      <c r="E44" s="39" t="inlineStr">
        <is>
          <t>Midwest</t>
        </is>
      </c>
      <c r="F44" s="39" t="inlineStr">
        <is>
          <t>Comcast</t>
        </is>
      </c>
      <c r="G44" s="29" t="n">
        <v>-1236684</v>
      </c>
      <c r="H44" s="30" t="n">
        <v>-37.23</v>
      </c>
      <c r="I44" s="30" t="n">
        <v>21.06</v>
      </c>
      <c r="J44" s="30" t="n">
        <v>58.29</v>
      </c>
      <c r="K44" s="29" t="n">
        <v>699558</v>
      </c>
      <c r="L44" s="29" t="n">
        <v>1936242</v>
      </c>
      <c r="M44" s="29" t="n">
        <v>3321739</v>
      </c>
      <c r="N44" s="30" t="n">
        <v>0</v>
      </c>
      <c r="O44" s="30" t="n">
        <v>1.236684</v>
      </c>
      <c r="P44" s="39" t="inlineStr">
        <is>
          <t>RETRIEVED</t>
        </is>
      </c>
    </row>
    <row r="45" ht="26" customHeight="1" s="34">
      <c r="A45" s="39" t="n">
        <v>41</v>
      </c>
      <c r="B45" s="39" t="inlineStr">
        <is>
          <t>Michigan</t>
        </is>
      </c>
      <c r="C45" s="39" t="inlineStr">
        <is>
          <t>MI</t>
        </is>
      </c>
      <c r="D45" s="39" t="inlineStr">
        <is>
          <t>East North Central</t>
        </is>
      </c>
      <c r="E45" s="39" t="inlineStr">
        <is>
          <t>Midwest</t>
        </is>
      </c>
      <c r="F45" s="39" t="inlineStr">
        <is>
          <t>Comcast</t>
        </is>
      </c>
      <c r="G45" s="29" t="n">
        <v>-1632460</v>
      </c>
      <c r="H45" s="30" t="n">
        <v>-32.25</v>
      </c>
      <c r="I45" s="30" t="n">
        <v>25.93</v>
      </c>
      <c r="J45" s="30" t="n">
        <v>58.18</v>
      </c>
      <c r="K45" s="29" t="n">
        <v>1312548</v>
      </c>
      <c r="L45" s="29" t="n">
        <v>2945008</v>
      </c>
      <c r="M45" s="29" t="n">
        <v>5061891</v>
      </c>
      <c r="N45" s="30" t="n">
        <v>0</v>
      </c>
      <c r="O45" s="30" t="n">
        <v>1.63246</v>
      </c>
      <c r="P45" s="39" t="inlineStr">
        <is>
          <t>RETRIEVED</t>
        </is>
      </c>
    </row>
    <row r="46">
      <c r="A46" s="39" t="n">
        <v>42</v>
      </c>
      <c r="B46" s="39" t="inlineStr">
        <is>
          <t>Virginia</t>
        </is>
      </c>
      <c r="C46" s="39" t="inlineStr">
        <is>
          <t>VA</t>
        </is>
      </c>
      <c r="D46" s="39" t="inlineStr">
        <is>
          <t>South Atlantic</t>
        </is>
      </c>
      <c r="E46" s="39" t="inlineStr">
        <is>
          <t>South</t>
        </is>
      </c>
      <c r="F46" s="39" t="inlineStr">
        <is>
          <t>Comcast</t>
        </is>
      </c>
      <c r="G46" s="29" t="n">
        <v>-1757747</v>
      </c>
      <c r="H46" s="30" t="n">
        <v>-43.04</v>
      </c>
      <c r="I46" s="30" t="n">
        <v>3.27</v>
      </c>
      <c r="J46" s="30" t="n">
        <v>46.31</v>
      </c>
      <c r="K46" s="29" t="n">
        <v>133546</v>
      </c>
      <c r="L46" s="29" t="n">
        <v>1891293</v>
      </c>
      <c r="M46" s="29" t="n">
        <v>4083985</v>
      </c>
      <c r="N46" s="30" t="n">
        <v>0</v>
      </c>
      <c r="O46" s="30" t="n">
        <v>1.757747</v>
      </c>
      <c r="P46" s="39" t="inlineStr">
        <is>
          <t>RETRIEVED</t>
        </is>
      </c>
    </row>
    <row r="47">
      <c r="A47" s="39" t="n">
        <v>43</v>
      </c>
      <c r="B47" s="39" t="inlineStr">
        <is>
          <t>Florida</t>
        </is>
      </c>
      <c r="C47" s="39" t="inlineStr">
        <is>
          <t>FL</t>
        </is>
      </c>
      <c r="D47" s="39" t="inlineStr">
        <is>
          <t>South Atlantic</t>
        </is>
      </c>
      <c r="E47" s="39" t="inlineStr">
        <is>
          <t>South</t>
        </is>
      </c>
      <c r="F47" s="39" t="inlineStr">
        <is>
          <t>Comcast</t>
        </is>
      </c>
      <c r="G47" s="29" t="n">
        <v>-1855857</v>
      </c>
      <c r="H47" s="30" t="n">
        <v>-16.17</v>
      </c>
      <c r="I47" s="30" t="n">
        <v>36.15</v>
      </c>
      <c r="J47" s="30" t="n">
        <v>52.32</v>
      </c>
      <c r="K47" s="29" t="n">
        <v>4148992</v>
      </c>
      <c r="L47" s="29" t="n">
        <v>6004849</v>
      </c>
      <c r="M47" s="29" t="n">
        <v>11477157</v>
      </c>
      <c r="N47" s="30" t="n">
        <v>0</v>
      </c>
      <c r="O47" s="30" t="n">
        <v>1.855857</v>
      </c>
      <c r="P47" s="39" t="inlineStr">
        <is>
          <t>RETRIEVED</t>
        </is>
      </c>
    </row>
    <row r="48">
      <c r="A48" s="39" t="n">
        <v>44</v>
      </c>
      <c r="B48" s="39" t="inlineStr">
        <is>
          <t>Georgia</t>
        </is>
      </c>
      <c r="C48" s="39" t="inlineStr">
        <is>
          <t>GA</t>
        </is>
      </c>
      <c r="D48" s="39" t="inlineStr">
        <is>
          <t>South Atlantic</t>
        </is>
      </c>
      <c r="E48" s="39" t="inlineStr">
        <is>
          <t>South</t>
        </is>
      </c>
      <c r="F48" s="39" t="inlineStr">
        <is>
          <t>Comcast</t>
        </is>
      </c>
      <c r="G48" s="29" t="n">
        <v>-2056453</v>
      </c>
      <c r="H48" s="30" t="n">
        <v>-40.49</v>
      </c>
      <c r="I48" s="30" t="n">
        <v>16.93</v>
      </c>
      <c r="J48" s="30" t="n">
        <v>57.42</v>
      </c>
      <c r="K48" s="29" t="n">
        <v>859861</v>
      </c>
      <c r="L48" s="29" t="n">
        <v>2916314</v>
      </c>
      <c r="M48" s="29" t="n">
        <v>5078917</v>
      </c>
      <c r="N48" s="30" t="n">
        <v>0</v>
      </c>
      <c r="O48" s="30" t="n">
        <v>2.056453</v>
      </c>
      <c r="P48" s="39" t="inlineStr">
        <is>
          <t>RETRIEVED</t>
        </is>
      </c>
    </row>
    <row r="49">
      <c r="A49" s="39" t="n">
        <v>45</v>
      </c>
      <c r="B49" s="39" t="inlineStr">
        <is>
          <t>Colorado</t>
        </is>
      </c>
      <c r="C49" s="39" t="inlineStr">
        <is>
          <t>CO</t>
        </is>
      </c>
      <c r="D49" s="39" t="inlineStr">
        <is>
          <t>Mountain</t>
        </is>
      </c>
      <c r="E49" s="39" t="inlineStr">
        <is>
          <t>West</t>
        </is>
      </c>
      <c r="F49" s="39" t="inlineStr">
        <is>
          <t>Comcast</t>
        </is>
      </c>
      <c r="G49" s="29" t="n">
        <v>-2093386</v>
      </c>
      <c r="H49" s="30" t="n">
        <v>-72.31999999999999</v>
      </c>
      <c r="I49" s="30" t="n">
        <v>6.279999999999999</v>
      </c>
      <c r="J49" s="30" t="n">
        <v>78.60000000000001</v>
      </c>
      <c r="K49" s="29" t="n">
        <v>181782</v>
      </c>
      <c r="L49" s="29" t="n">
        <v>2275168</v>
      </c>
      <c r="M49" s="29" t="n">
        <v>2894616</v>
      </c>
      <c r="N49" s="30" t="n">
        <v>0</v>
      </c>
      <c r="O49" s="30" t="n">
        <v>2.093386</v>
      </c>
      <c r="P49" s="39" t="inlineStr">
        <is>
          <t>RETRIEVED</t>
        </is>
      </c>
    </row>
    <row r="50">
      <c r="A50" s="39" t="n">
        <v>46</v>
      </c>
      <c r="B50" s="39" t="inlineStr">
        <is>
          <t>New Jersey</t>
        </is>
      </c>
      <c r="C50" s="39" t="inlineStr">
        <is>
          <t>NJ</t>
        </is>
      </c>
      <c r="D50" s="39" t="inlineStr">
        <is>
          <t>Middle Atlantic</t>
        </is>
      </c>
      <c r="E50" s="39" t="inlineStr">
        <is>
          <t>Northeast</t>
        </is>
      </c>
      <c r="F50" s="39" t="inlineStr">
        <is>
          <t>Comcast</t>
        </is>
      </c>
      <c r="G50" s="29" t="n">
        <v>-2295763</v>
      </c>
      <c r="H50" s="30" t="n">
        <v>-55.36</v>
      </c>
      <c r="I50" s="30" t="n">
        <v>2.21</v>
      </c>
      <c r="J50" s="30" t="n">
        <v>57.57</v>
      </c>
      <c r="K50" s="29" t="n">
        <v>91648</v>
      </c>
      <c r="L50" s="29" t="n">
        <v>2387411</v>
      </c>
      <c r="M50" s="29" t="n">
        <v>4146970</v>
      </c>
      <c r="N50" s="30" t="n">
        <v>0</v>
      </c>
      <c r="O50" s="30" t="n">
        <v>2.295763</v>
      </c>
      <c r="P50" s="39" t="inlineStr">
        <is>
          <t>RETRIEVED</t>
        </is>
      </c>
    </row>
    <row r="51">
      <c r="A51" s="39" t="n">
        <v>47</v>
      </c>
      <c r="B51" s="39" t="inlineStr">
        <is>
          <t>Washington</t>
        </is>
      </c>
      <c r="C51" s="39" t="inlineStr">
        <is>
          <t>WA</t>
        </is>
      </c>
      <c r="D51" s="39" t="inlineStr">
        <is>
          <t>Pacific</t>
        </is>
      </c>
      <c r="E51" s="39" t="inlineStr">
        <is>
          <t>West</t>
        </is>
      </c>
      <c r="F51" s="39" t="inlineStr">
        <is>
          <t>Comcast</t>
        </is>
      </c>
      <c r="G51" s="29" t="n">
        <v>-2349538</v>
      </c>
      <c r="H51" s="30" t="n">
        <v>-63.81</v>
      </c>
      <c r="I51" s="30" t="n">
        <v>8.609999999999999</v>
      </c>
      <c r="J51" s="30" t="n">
        <v>72.42</v>
      </c>
      <c r="K51" s="29" t="n">
        <v>317027</v>
      </c>
      <c r="L51" s="29" t="n">
        <v>2666565</v>
      </c>
      <c r="M51" s="29" t="n">
        <v>3682084</v>
      </c>
      <c r="N51" s="30" t="n">
        <v>0</v>
      </c>
      <c r="O51" s="30" t="n">
        <v>2.349538</v>
      </c>
      <c r="P51" s="39" t="inlineStr">
        <is>
          <t>RETRIEVED</t>
        </is>
      </c>
    </row>
    <row r="52">
      <c r="A52" s="39" t="n">
        <v>48</v>
      </c>
      <c r="B52" s="39" t="inlineStr">
        <is>
          <t>Massachusetts</t>
        </is>
      </c>
      <c r="C52" s="39" t="inlineStr">
        <is>
          <t>MA</t>
        </is>
      </c>
      <c r="D52" s="39" t="inlineStr">
        <is>
          <t>New England</t>
        </is>
      </c>
      <c r="E52" s="39" t="inlineStr">
        <is>
          <t>Northeast</t>
        </is>
      </c>
      <c r="F52" s="39" t="inlineStr">
        <is>
          <t>Comcast</t>
        </is>
      </c>
      <c r="G52" s="29" t="n">
        <v>-2449220</v>
      </c>
      <c r="H52" s="30" t="n">
        <v>-73.5</v>
      </c>
      <c r="I52" s="30" t="n">
        <v>12.37</v>
      </c>
      <c r="J52" s="30" t="n">
        <v>85.87</v>
      </c>
      <c r="K52" s="29" t="n">
        <v>412202</v>
      </c>
      <c r="L52" s="29" t="n">
        <v>2861422</v>
      </c>
      <c r="M52" s="29" t="n">
        <v>3332272</v>
      </c>
      <c r="N52" s="30" t="n">
        <v>0</v>
      </c>
      <c r="O52" s="30" t="n">
        <v>2.44922</v>
      </c>
      <c r="P52" s="39" t="inlineStr">
        <is>
          <t>RETRIEVED</t>
        </is>
      </c>
    </row>
    <row r="53">
      <c r="A53" s="39" t="n">
        <v>49</v>
      </c>
      <c r="B53" s="39" t="inlineStr">
        <is>
          <t>Maryland</t>
        </is>
      </c>
      <c r="C53" s="39" t="inlineStr">
        <is>
          <t>MD</t>
        </is>
      </c>
      <c r="D53" s="39" t="inlineStr">
        <is>
          <t>South Atlantic</t>
        </is>
      </c>
      <c r="E53" s="39" t="inlineStr">
        <is>
          <t>South</t>
        </is>
      </c>
      <c r="F53" s="39" t="inlineStr">
        <is>
          <t>Comcast</t>
        </is>
      </c>
      <c r="G53" s="29" t="n">
        <v>-2459039</v>
      </c>
      <c r="H53" s="30" t="n">
        <v>-89.28</v>
      </c>
      <c r="I53" s="30" t="n">
        <v>0.16</v>
      </c>
      <c r="J53" s="30" t="n">
        <v>89.44</v>
      </c>
      <c r="K53" s="29" t="n">
        <v>4407</v>
      </c>
      <c r="L53" s="29" t="n">
        <v>2463446</v>
      </c>
      <c r="M53" s="29" t="n">
        <v>2754300</v>
      </c>
      <c r="N53" s="30" t="n">
        <v>0</v>
      </c>
      <c r="O53" s="30" t="n">
        <v>2.459039</v>
      </c>
      <c r="P53" s="39" t="inlineStr">
        <is>
          <t>RETRIEVED</t>
        </is>
      </c>
    </row>
    <row r="54" ht="26" customHeight="1" s="34">
      <c r="A54" s="39" t="n">
        <v>50</v>
      </c>
      <c r="B54" s="39" t="inlineStr">
        <is>
          <t>Illinois</t>
        </is>
      </c>
      <c r="C54" s="39" t="inlineStr">
        <is>
          <t>IL</t>
        </is>
      </c>
      <c r="D54" s="39" t="inlineStr">
        <is>
          <t>East North Central</t>
        </is>
      </c>
      <c r="E54" s="39" t="inlineStr">
        <is>
          <t>Midwest</t>
        </is>
      </c>
      <c r="F54" s="39" t="inlineStr">
        <is>
          <t>Comcast</t>
        </is>
      </c>
      <c r="G54" s="29" t="n">
        <v>-4266561</v>
      </c>
      <c r="H54" s="30" t="n">
        <v>-70.45</v>
      </c>
      <c r="I54" s="30" t="n">
        <v>4.92</v>
      </c>
      <c r="J54" s="30" t="n">
        <v>75.37</v>
      </c>
      <c r="K54" s="29" t="n">
        <v>297963</v>
      </c>
      <c r="L54" s="29" t="n">
        <v>4564524</v>
      </c>
      <c r="M54" s="29" t="n">
        <v>6056155</v>
      </c>
      <c r="N54" s="30" t="n">
        <v>0</v>
      </c>
      <c r="O54" s="30" t="n">
        <v>4.266561</v>
      </c>
      <c r="P54" s="39" t="inlineStr">
        <is>
          <t>RETRIEVED</t>
        </is>
      </c>
    </row>
    <row r="55">
      <c r="A55" s="39" t="n">
        <v>51</v>
      </c>
      <c r="B55" s="39" t="inlineStr">
        <is>
          <t>Pennsylvania</t>
        </is>
      </c>
      <c r="C55" s="39" t="inlineStr">
        <is>
          <t>PA</t>
        </is>
      </c>
      <c r="D55" s="39" t="inlineStr">
        <is>
          <t>Middle Atlantic</t>
        </is>
      </c>
      <c r="E55" s="39" t="inlineStr">
        <is>
          <t>Northeast</t>
        </is>
      </c>
      <c r="F55" s="39" t="inlineStr">
        <is>
          <t>Comcast</t>
        </is>
      </c>
      <c r="G55" s="29" t="n">
        <v>-4356938</v>
      </c>
      <c r="H55" s="30" t="n">
        <v>-68.54000000000001</v>
      </c>
      <c r="I55" s="30" t="n">
        <v>2.77</v>
      </c>
      <c r="J55" s="30" t="n">
        <v>71.31</v>
      </c>
      <c r="K55" s="29" t="n">
        <v>176083</v>
      </c>
      <c r="L55" s="29" t="n">
        <v>4533021</v>
      </c>
      <c r="M55" s="29" t="n">
        <v>6356781</v>
      </c>
      <c r="N55" s="30" t="n">
        <v>0</v>
      </c>
      <c r="O55" s="30" t="n">
        <v>4.356938</v>
      </c>
      <c r="P55" s="39" t="inlineStr">
        <is>
          <t>RETRIEVED</t>
        </is>
      </c>
    </row>
    <row r="57" ht="32" customHeight="1" s="34">
      <c r="A57" s="33" t="inlineStr">
        <is>
          <t>Chart columns chart_chtr_lead_m / chart_cmcsa_lead_m are millions of estimated residential units; split so Charter-lead and Comcast-lead can be drawn as two series (one accent). Axis must start at zero.</t>
        </is>
      </c>
    </row>
    <row r="58" ht="32" customHeight="1" s="34">
      <c r="A58" s="33" t="inlineStr">
        <is>
          <t>5 states have neither operator in the FCC state summary (AK, IA, ND, OK, SD); margin = 0. Beating = strictly larger res_st_pct. Availability, not subscribers.</t>
        </is>
      </c>
    </row>
  </sheetData>
  <autoFilter ref="A4:P55"/>
  <mergeCells count="4">
    <mergeCell ref="A57:H57"/>
    <mergeCell ref="A2:L2"/>
    <mergeCell ref="A1:L1"/>
    <mergeCell ref="A58:H58"/>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59"/>
  <sheetViews>
    <sheetView zoomScale="85" zoomScaleNormal="85" workbookViewId="0">
      <pane ySplit="4" topLeftCell="A5" activePane="bottomLeft" state="frozen"/>
      <selection pane="bottomLeft" activeCell="A1" sqref="A1:L1"/>
    </sheetView>
  </sheetViews>
  <sheetFormatPr baseColWidth="8" defaultRowHeight="14.5"/>
  <cols>
    <col width="22" customWidth="1" style="34" min="1" max="1"/>
    <col width="14" customWidth="1" style="34" min="2" max="12"/>
  </cols>
  <sheetData>
    <row r="1" ht="48" customHeight="1" s="34">
      <c r="A1" s="35" t="inlineStr">
        <is>
          <t>ACS usual-WFH ranges from 22.9% in District of Columbia to 6.2% in Mississippi; worker-weighted, Mountain is highest among the 9 divisions at 15.4% vs East South Central at 9.9% (US 13.3%; 51-state+DC worker-weighted 13.3%).</t>
        </is>
      </c>
    </row>
    <row r="2" ht="56" customHeight="1" s="34">
      <c r="A2" s="33" t="inlineStr">
        <is>
          <t>U.S. Census Bureau, American Community Survey (ACS) 1-Year Estimates Detailed Tables, 2024, table B08301 Means of Transportation to Work. Variable: B08301_021E Worked from home / B08301_001E Total; universe = Workers 16 years and over; usually worked from home as means of transportation to work (journey-to-work). Pulled via Census Reporter API wrapping ACS 2024 1-year release (release id acs2024_1yr). Do not mix with ATUS (any work at home on days worked) or ABS (share of firms with any WFH employees). URL: https://data.census.gov/table/ACSDT1Y2024.B08301 · Census Reporter: https://api.censusreporter.org/1.0/data/show/latest?table_ids=B08301&amp;geo_ids=040%7C01000US,01000US</t>
        </is>
      </c>
    </row>
    <row r="4" ht="26" customHeight="1" s="34">
      <c r="A4" s="15" t="inlineStr">
        <is>
          <t>sort_rank</t>
        </is>
      </c>
      <c r="B4" s="15" t="inlineStr">
        <is>
          <t>state</t>
        </is>
      </c>
      <c r="C4" s="15" t="inlineStr">
        <is>
          <t>abbr</t>
        </is>
      </c>
      <c r="D4" s="15" t="inlineStr">
        <is>
          <t>census_division</t>
        </is>
      </c>
      <c r="E4" s="15" t="inlineStr">
        <is>
          <t>census_region</t>
        </is>
      </c>
      <c r="F4" s="15" t="inlineStr">
        <is>
          <t>acs_wfh_rate_pct</t>
        </is>
      </c>
      <c r="G4" s="15" t="inlineStr">
        <is>
          <t>acs_workers_16_plus</t>
        </is>
      </c>
      <c r="H4" s="15" t="inlineStr">
        <is>
          <t>acs_worked_from_home</t>
        </is>
      </c>
      <c r="I4" s="15" t="inlineStr">
        <is>
          <t>above_us_13_3</t>
        </is>
      </c>
      <c r="J4" s="15" t="inlineStr">
        <is>
          <t>above_median</t>
        </is>
      </c>
      <c r="K4" s="15" t="inlineStr">
        <is>
          <t>leader</t>
        </is>
      </c>
      <c r="L4" s="15" t="inlineStr">
        <is>
          <t>origin</t>
        </is>
      </c>
    </row>
    <row r="5" ht="26" customHeight="1" s="34">
      <c r="A5" s="39" t="n">
        <v>1</v>
      </c>
      <c r="B5" s="39" t="inlineStr">
        <is>
          <t>District of Columbia</t>
        </is>
      </c>
      <c r="C5" s="39" t="inlineStr">
        <is>
          <t>DC</t>
        </is>
      </c>
      <c r="D5" s="39" t="inlineStr">
        <is>
          <t>South Atlantic</t>
        </is>
      </c>
      <c r="E5" s="39" t="inlineStr">
        <is>
          <t>South</t>
        </is>
      </c>
      <c r="F5" s="30" t="n">
        <v>22.85951316033555</v>
      </c>
      <c r="G5" s="29" t="n">
        <v>388136</v>
      </c>
      <c r="H5" s="29" t="n">
        <v>88726</v>
      </c>
      <c r="I5" s="39" t="inlineStr">
        <is>
          <t>Yes</t>
        </is>
      </c>
      <c r="J5" s="39" t="inlineStr">
        <is>
          <t>Yes</t>
        </is>
      </c>
      <c r="K5" s="39" t="inlineStr">
        <is>
          <t>Comcast</t>
        </is>
      </c>
      <c r="L5" s="39" t="inlineStr">
        <is>
          <t>RETRIEVED</t>
        </is>
      </c>
    </row>
    <row r="6">
      <c r="A6" s="39" t="n">
        <v>2</v>
      </c>
      <c r="B6" s="39" t="inlineStr">
        <is>
          <t>Colorado</t>
        </is>
      </c>
      <c r="C6" s="39" t="inlineStr">
        <is>
          <t>CO</t>
        </is>
      </c>
      <c r="D6" s="39" t="inlineStr">
        <is>
          <t>Mountain</t>
        </is>
      </c>
      <c r="E6" s="39" t="inlineStr">
        <is>
          <t>West</t>
        </is>
      </c>
      <c r="F6" s="30" t="n">
        <v>19.87205756714894</v>
      </c>
      <c r="G6" s="29" t="n">
        <v>3167362</v>
      </c>
      <c r="H6" s="29" t="n">
        <v>629420</v>
      </c>
      <c r="I6" s="39" t="inlineStr">
        <is>
          <t>Yes</t>
        </is>
      </c>
      <c r="J6" s="39" t="inlineStr">
        <is>
          <t>Yes</t>
        </is>
      </c>
      <c r="K6" s="39" t="inlineStr">
        <is>
          <t>Comcast</t>
        </is>
      </c>
      <c r="L6" s="39" t="inlineStr">
        <is>
          <t>RETRIEVED</t>
        </is>
      </c>
    </row>
    <row r="7">
      <c r="A7" s="39" t="n">
        <v>3</v>
      </c>
      <c r="B7" s="39" t="inlineStr">
        <is>
          <t>Oregon</t>
        </is>
      </c>
      <c r="C7" s="39" t="inlineStr">
        <is>
          <t>OR</t>
        </is>
      </c>
      <c r="D7" s="39" t="inlineStr">
        <is>
          <t>Pacific</t>
        </is>
      </c>
      <c r="E7" s="39" t="inlineStr">
        <is>
          <t>West</t>
        </is>
      </c>
      <c r="F7" s="30" t="n">
        <v>17.06258878502426</v>
      </c>
      <c r="G7" s="29" t="n">
        <v>2080165</v>
      </c>
      <c r="H7" s="29" t="n">
        <v>354930</v>
      </c>
      <c r="I7" s="39" t="inlineStr">
        <is>
          <t>Yes</t>
        </is>
      </c>
      <c r="J7" s="39" t="inlineStr">
        <is>
          <t>Yes</t>
        </is>
      </c>
      <c r="K7" s="39" t="inlineStr">
        <is>
          <t>Comcast</t>
        </is>
      </c>
      <c r="L7" s="39" t="inlineStr">
        <is>
          <t>RETRIEVED</t>
        </is>
      </c>
    </row>
    <row r="8">
      <c r="A8" s="39" t="n">
        <v>4</v>
      </c>
      <c r="B8" s="39" t="inlineStr">
        <is>
          <t>Washington</t>
        </is>
      </c>
      <c r="C8" s="39" t="inlineStr">
        <is>
          <t>WA</t>
        </is>
      </c>
      <c r="D8" s="39" t="inlineStr">
        <is>
          <t>Pacific</t>
        </is>
      </c>
      <c r="E8" s="39" t="inlineStr">
        <is>
          <t>West</t>
        </is>
      </c>
      <c r="F8" s="30" t="n">
        <v>16.41353585154654</v>
      </c>
      <c r="G8" s="29" t="n">
        <v>3932815</v>
      </c>
      <c r="H8" s="29" t="n">
        <v>645514</v>
      </c>
      <c r="I8" s="39" t="inlineStr">
        <is>
          <t>Yes</t>
        </is>
      </c>
      <c r="J8" s="39" t="inlineStr">
        <is>
          <t>Yes</t>
        </is>
      </c>
      <c r="K8" s="39" t="inlineStr">
        <is>
          <t>Comcast</t>
        </is>
      </c>
      <c r="L8" s="39" t="inlineStr">
        <is>
          <t>RETRIEVED</t>
        </is>
      </c>
    </row>
    <row r="9">
      <c r="A9" s="39" t="n">
        <v>5</v>
      </c>
      <c r="B9" s="39" t="inlineStr">
        <is>
          <t>Arizona</t>
        </is>
      </c>
      <c r="C9" s="39" t="inlineStr">
        <is>
          <t>AZ</t>
        </is>
      </c>
      <c r="D9" s="39" t="inlineStr">
        <is>
          <t>Mountain</t>
        </is>
      </c>
      <c r="E9" s="39" t="inlineStr">
        <is>
          <t>West</t>
        </is>
      </c>
      <c r="F9" s="30" t="n">
        <v>16.3020542432196</v>
      </c>
      <c r="G9" s="29" t="n">
        <v>3571875</v>
      </c>
      <c r="H9" s="29" t="n">
        <v>582289</v>
      </c>
      <c r="I9" s="39" t="inlineStr">
        <is>
          <t>Yes</t>
        </is>
      </c>
      <c r="J9" s="39" t="inlineStr">
        <is>
          <t>Yes</t>
        </is>
      </c>
      <c r="K9" s="39" t="inlineStr">
        <is>
          <t>Comcast</t>
        </is>
      </c>
      <c r="L9" s="39" t="inlineStr">
        <is>
          <t>RETRIEVED</t>
        </is>
      </c>
    </row>
    <row r="10" ht="26" customHeight="1" s="34">
      <c r="A10" s="39" t="n">
        <v>6</v>
      </c>
      <c r="B10" s="39" t="inlineStr">
        <is>
          <t>New Hampshire</t>
        </is>
      </c>
      <c r="C10" s="39" t="inlineStr">
        <is>
          <t>NH</t>
        </is>
      </c>
      <c r="D10" s="39" t="inlineStr">
        <is>
          <t>New England</t>
        </is>
      </c>
      <c r="E10" s="39" t="inlineStr">
        <is>
          <t>Northeast</t>
        </is>
      </c>
      <c r="F10" s="30" t="n">
        <v>16.03909321769803</v>
      </c>
      <c r="G10" s="29" t="n">
        <v>754095</v>
      </c>
      <c r="H10" s="29" t="n">
        <v>120950</v>
      </c>
      <c r="I10" s="39" t="inlineStr">
        <is>
          <t>Yes</t>
        </is>
      </c>
      <c r="J10" s="39" t="inlineStr">
        <is>
          <t>Yes</t>
        </is>
      </c>
      <c r="K10" s="39" t="inlineStr">
        <is>
          <t>Comcast</t>
        </is>
      </c>
      <c r="L10" s="39" t="inlineStr">
        <is>
          <t>RETRIEVED</t>
        </is>
      </c>
    </row>
    <row r="11">
      <c r="A11" s="39" t="n">
        <v>7</v>
      </c>
      <c r="B11" s="39" t="inlineStr">
        <is>
          <t>Vermont</t>
        </is>
      </c>
      <c r="C11" s="39" t="inlineStr">
        <is>
          <t>VT</t>
        </is>
      </c>
      <c r="D11" s="39" t="inlineStr">
        <is>
          <t>New England</t>
        </is>
      </c>
      <c r="E11" s="39" t="inlineStr">
        <is>
          <t>Northeast</t>
        </is>
      </c>
      <c r="F11" s="30" t="n">
        <v>15.96082979754232</v>
      </c>
      <c r="G11" s="29" t="n">
        <v>340565</v>
      </c>
      <c r="H11" s="29" t="n">
        <v>54357</v>
      </c>
      <c r="I11" s="39" t="inlineStr">
        <is>
          <t>Yes</t>
        </is>
      </c>
      <c r="J11" s="39" t="inlineStr">
        <is>
          <t>Yes</t>
        </is>
      </c>
      <c r="K11" s="39" t="inlineStr">
        <is>
          <t>Comcast</t>
        </is>
      </c>
      <c r="L11" s="39" t="inlineStr">
        <is>
          <t>RETRIEVED</t>
        </is>
      </c>
    </row>
    <row r="12">
      <c r="A12" s="39" t="n">
        <v>8</v>
      </c>
      <c r="B12" s="39" t="inlineStr">
        <is>
          <t>Virginia</t>
        </is>
      </c>
      <c r="C12" s="39" t="inlineStr">
        <is>
          <t>VA</t>
        </is>
      </c>
      <c r="D12" s="39" t="inlineStr">
        <is>
          <t>South Atlantic</t>
        </is>
      </c>
      <c r="E12" s="39" t="inlineStr">
        <is>
          <t>South</t>
        </is>
      </c>
      <c r="F12" s="30" t="n">
        <v>15.81802209767022</v>
      </c>
      <c r="G12" s="29" t="n">
        <v>4445265</v>
      </c>
      <c r="H12" s="29" t="n">
        <v>703153</v>
      </c>
      <c r="I12" s="39" t="inlineStr">
        <is>
          <t>Yes</t>
        </is>
      </c>
      <c r="J12" s="39" t="inlineStr">
        <is>
          <t>Yes</t>
        </is>
      </c>
      <c r="K12" s="39" t="inlineStr">
        <is>
          <t>Comcast</t>
        </is>
      </c>
      <c r="L12" s="39" t="inlineStr">
        <is>
          <t>RETRIEVED</t>
        </is>
      </c>
    </row>
    <row r="13">
      <c r="A13" s="39" t="n">
        <v>9</v>
      </c>
      <c r="B13" s="39" t="inlineStr">
        <is>
          <t>Utah</t>
        </is>
      </c>
      <c r="C13" s="39" t="inlineStr">
        <is>
          <t>UT</t>
        </is>
      </c>
      <c r="D13" s="39" t="inlineStr">
        <is>
          <t>Mountain</t>
        </is>
      </c>
      <c r="E13" s="39" t="inlineStr">
        <is>
          <t>West</t>
        </is>
      </c>
      <c r="F13" s="30" t="n">
        <v>15.69297075863595</v>
      </c>
      <c r="G13" s="29" t="n">
        <v>1771258</v>
      </c>
      <c r="H13" s="29" t="n">
        <v>277963</v>
      </c>
      <c r="I13" s="39" t="inlineStr">
        <is>
          <t>Yes</t>
        </is>
      </c>
      <c r="J13" s="39" t="inlineStr">
        <is>
          <t>Yes</t>
        </is>
      </c>
      <c r="K13" s="39" t="inlineStr">
        <is>
          <t>Comcast</t>
        </is>
      </c>
      <c r="L13" s="39" t="inlineStr">
        <is>
          <t>RETRIEVED</t>
        </is>
      </c>
    </row>
    <row r="14">
      <c r="A14" s="39" t="n">
        <v>10</v>
      </c>
      <c r="B14" s="39" t="inlineStr">
        <is>
          <t>Maryland</t>
        </is>
      </c>
      <c r="C14" s="39" t="inlineStr">
        <is>
          <t>MD</t>
        </is>
      </c>
      <c r="D14" s="39" t="inlineStr">
        <is>
          <t>South Atlantic</t>
        </is>
      </c>
      <c r="E14" s="39" t="inlineStr">
        <is>
          <t>South</t>
        </is>
      </c>
      <c r="F14" s="30" t="n">
        <v>15.62963339308274</v>
      </c>
      <c r="G14" s="29" t="n">
        <v>3227926</v>
      </c>
      <c r="H14" s="29" t="n">
        <v>504513</v>
      </c>
      <c r="I14" s="39" t="inlineStr">
        <is>
          <t>Yes</t>
        </is>
      </c>
      <c r="J14" s="39" t="inlineStr">
        <is>
          <t>Yes</t>
        </is>
      </c>
      <c r="K14" s="39" t="inlineStr">
        <is>
          <t>Comcast</t>
        </is>
      </c>
      <c r="L14" s="39" t="inlineStr">
        <is>
          <t>RETRIEVED</t>
        </is>
      </c>
    </row>
    <row r="15">
      <c r="A15" s="39" t="n">
        <v>11</v>
      </c>
      <c r="B15" s="39" t="inlineStr">
        <is>
          <t>Florida</t>
        </is>
      </c>
      <c r="C15" s="39" t="inlineStr">
        <is>
          <t>FL</t>
        </is>
      </c>
      <c r="D15" s="39" t="inlineStr">
        <is>
          <t>South Atlantic</t>
        </is>
      </c>
      <c r="E15" s="39" t="inlineStr">
        <is>
          <t>South</t>
        </is>
      </c>
      <c r="F15" s="30" t="n">
        <v>15.52614873632195</v>
      </c>
      <c r="G15" s="29" t="n">
        <v>11086922</v>
      </c>
      <c r="H15" s="29" t="n">
        <v>1721372</v>
      </c>
      <c r="I15" s="39" t="inlineStr">
        <is>
          <t>Yes</t>
        </is>
      </c>
      <c r="J15" s="39" t="inlineStr">
        <is>
          <t>Yes</t>
        </is>
      </c>
      <c r="K15" s="39" t="inlineStr">
        <is>
          <t>Comcast</t>
        </is>
      </c>
      <c r="L15" s="39" t="inlineStr">
        <is>
          <t>RETRIEVED</t>
        </is>
      </c>
    </row>
    <row r="16">
      <c r="A16" s="39" t="n">
        <v>12</v>
      </c>
      <c r="B16" s="39" t="inlineStr">
        <is>
          <t>North Carolina</t>
        </is>
      </c>
      <c r="C16" s="39" t="inlineStr">
        <is>
          <t>NC</t>
        </is>
      </c>
      <c r="D16" s="39" t="inlineStr">
        <is>
          <t>South Atlantic</t>
        </is>
      </c>
      <c r="E16" s="39" t="inlineStr">
        <is>
          <t>South</t>
        </is>
      </c>
      <c r="F16" s="30" t="n">
        <v>15.40536171715129</v>
      </c>
      <c r="G16" s="29" t="n">
        <v>5375927</v>
      </c>
      <c r="H16" s="29" t="n">
        <v>828181</v>
      </c>
      <c r="I16" s="39" t="inlineStr">
        <is>
          <t>Yes</t>
        </is>
      </c>
      <c r="J16" s="39" t="inlineStr">
        <is>
          <t>Yes</t>
        </is>
      </c>
      <c r="K16" s="39" t="inlineStr">
        <is>
          <t>Charter</t>
        </is>
      </c>
      <c r="L16" s="39" t="inlineStr">
        <is>
          <t>RETRIEVED</t>
        </is>
      </c>
    </row>
    <row r="17">
      <c r="A17" s="39" t="n">
        <v>13</v>
      </c>
      <c r="B17" s="39" t="inlineStr">
        <is>
          <t>Georgia</t>
        </is>
      </c>
      <c r="C17" s="39" t="inlineStr">
        <is>
          <t>GA</t>
        </is>
      </c>
      <c r="D17" s="39" t="inlineStr">
        <is>
          <t>South Atlantic</t>
        </is>
      </c>
      <c r="E17" s="39" t="inlineStr">
        <is>
          <t>South</t>
        </is>
      </c>
      <c r="F17" s="30" t="n">
        <v>14.8755035751685</v>
      </c>
      <c r="G17" s="29" t="n">
        <v>5402123</v>
      </c>
      <c r="H17" s="29" t="n">
        <v>803593</v>
      </c>
      <c r="I17" s="39" t="inlineStr">
        <is>
          <t>Yes</t>
        </is>
      </c>
      <c r="J17" s="39" t="inlineStr">
        <is>
          <t>Yes</t>
        </is>
      </c>
      <c r="K17" s="39" t="inlineStr">
        <is>
          <t>Comcast</t>
        </is>
      </c>
      <c r="L17" s="39" t="inlineStr">
        <is>
          <t>RETRIEVED</t>
        </is>
      </c>
    </row>
    <row r="18">
      <c r="A18" s="39" t="n">
        <v>14</v>
      </c>
      <c r="B18" s="39" t="inlineStr">
        <is>
          <t>Massachusetts</t>
        </is>
      </c>
      <c r="C18" s="39" t="inlineStr">
        <is>
          <t>MA</t>
        </is>
      </c>
      <c r="D18" s="39" t="inlineStr">
        <is>
          <t>New England</t>
        </is>
      </c>
      <c r="E18" s="39" t="inlineStr">
        <is>
          <t>Northeast</t>
        </is>
      </c>
      <c r="F18" s="30" t="n">
        <v>14.835228237253</v>
      </c>
      <c r="G18" s="29" t="n">
        <v>3752433</v>
      </c>
      <c r="H18" s="29" t="n">
        <v>556682</v>
      </c>
      <c r="I18" s="39" t="inlineStr">
        <is>
          <t>Yes</t>
        </is>
      </c>
      <c r="J18" s="39" t="inlineStr">
        <is>
          <t>Yes</t>
        </is>
      </c>
      <c r="K18" s="39" t="inlineStr">
        <is>
          <t>Comcast</t>
        </is>
      </c>
      <c r="L18" s="39" t="inlineStr">
        <is>
          <t>RETRIEVED</t>
        </is>
      </c>
    </row>
    <row r="19" ht="26" customHeight="1" s="34">
      <c r="A19" s="39" t="n">
        <v>15</v>
      </c>
      <c r="B19" s="39" t="inlineStr">
        <is>
          <t>Minnesota</t>
        </is>
      </c>
      <c r="C19" s="39" t="inlineStr">
        <is>
          <t>MN</t>
        </is>
      </c>
      <c r="D19" s="39" t="inlineStr">
        <is>
          <t>West North Central</t>
        </is>
      </c>
      <c r="E19" s="39" t="inlineStr">
        <is>
          <t>Midwest</t>
        </is>
      </c>
      <c r="F19" s="30" t="n">
        <v>14.73305767161338</v>
      </c>
      <c r="G19" s="29" t="n">
        <v>3009002</v>
      </c>
      <c r="H19" s="29" t="n">
        <v>443318</v>
      </c>
      <c r="I19" s="39" t="inlineStr">
        <is>
          <t>Yes</t>
        </is>
      </c>
      <c r="J19" s="39" t="inlineStr">
        <is>
          <t>Yes</t>
        </is>
      </c>
      <c r="K19" s="39" t="inlineStr">
        <is>
          <t>Comcast</t>
        </is>
      </c>
      <c r="L19" s="39" t="inlineStr">
        <is>
          <t>RETRIEVED</t>
        </is>
      </c>
    </row>
    <row r="20">
      <c r="A20" s="39" t="n">
        <v>16</v>
      </c>
      <c r="B20" s="39" t="inlineStr">
        <is>
          <t>Maine</t>
        </is>
      </c>
      <c r="C20" s="39" t="inlineStr">
        <is>
          <t>ME</t>
        </is>
      </c>
      <c r="D20" s="39" t="inlineStr">
        <is>
          <t>New England</t>
        </is>
      </c>
      <c r="E20" s="39" t="inlineStr">
        <is>
          <t>Northeast</t>
        </is>
      </c>
      <c r="F20" s="30" t="n">
        <v>14.67232472429781</v>
      </c>
      <c r="G20" s="29" t="n">
        <v>702479</v>
      </c>
      <c r="H20" s="29" t="n">
        <v>103070</v>
      </c>
      <c r="I20" s="39" t="inlineStr">
        <is>
          <t>Yes</t>
        </is>
      </c>
      <c r="J20" s="39" t="inlineStr">
        <is>
          <t>Yes</t>
        </is>
      </c>
      <c r="K20" s="39" t="inlineStr">
        <is>
          <t>Charter</t>
        </is>
      </c>
      <c r="L20" s="39" t="inlineStr">
        <is>
          <t>RETRIEVED</t>
        </is>
      </c>
    </row>
    <row r="21">
      <c r="A21" s="39" t="n">
        <v>17</v>
      </c>
      <c r="B21" s="39" t="inlineStr">
        <is>
          <t>California</t>
        </is>
      </c>
      <c r="C21" s="39" t="inlineStr">
        <is>
          <t>CA</t>
        </is>
      </c>
      <c r="D21" s="39" t="inlineStr">
        <is>
          <t>Pacific</t>
        </is>
      </c>
      <c r="E21" s="39" t="inlineStr">
        <is>
          <t>West</t>
        </is>
      </c>
      <c r="F21" s="30" t="n">
        <v>14.14278886638294</v>
      </c>
      <c r="G21" s="29" t="n">
        <v>18893770</v>
      </c>
      <c r="H21" s="29" t="n">
        <v>2672106</v>
      </c>
      <c r="I21" s="39" t="inlineStr">
        <is>
          <t>Yes</t>
        </is>
      </c>
      <c r="J21" s="39" t="inlineStr">
        <is>
          <t>Yes</t>
        </is>
      </c>
      <c r="K21" s="39" t="inlineStr">
        <is>
          <t>Charter</t>
        </is>
      </c>
      <c r="L21" s="39" t="inlineStr">
        <is>
          <t>RETRIEVED</t>
        </is>
      </c>
    </row>
    <row r="22">
      <c r="A22" s="39" t="n">
        <v>18</v>
      </c>
      <c r="B22" s="39" t="inlineStr">
        <is>
          <t>Pennsylvania</t>
        </is>
      </c>
      <c r="C22" s="39" t="inlineStr">
        <is>
          <t>PA</t>
        </is>
      </c>
      <c r="D22" s="39" t="inlineStr">
        <is>
          <t>Middle Atlantic</t>
        </is>
      </c>
      <c r="E22" s="39" t="inlineStr">
        <is>
          <t>Northeast</t>
        </is>
      </c>
      <c r="F22" s="30" t="n">
        <v>13.82743087606819</v>
      </c>
      <c r="G22" s="29" t="n">
        <v>6390587</v>
      </c>
      <c r="H22" s="29" t="n">
        <v>883654</v>
      </c>
      <c r="I22" s="39" t="inlineStr">
        <is>
          <t>Yes</t>
        </is>
      </c>
      <c r="J22" s="39" t="inlineStr">
        <is>
          <t>Yes</t>
        </is>
      </c>
      <c r="K22" s="39" t="inlineStr">
        <is>
          <t>Comcast</t>
        </is>
      </c>
      <c r="L22" s="39" t="inlineStr">
        <is>
          <t>RETRIEVED</t>
        </is>
      </c>
    </row>
    <row r="23" ht="26" customHeight="1" s="34">
      <c r="A23" s="39" t="n">
        <v>19</v>
      </c>
      <c r="B23" s="39" t="inlineStr">
        <is>
          <t>Illinois</t>
        </is>
      </c>
      <c r="C23" s="39" t="inlineStr">
        <is>
          <t>IL</t>
        </is>
      </c>
      <c r="D23" s="39" t="inlineStr">
        <is>
          <t>East North Central</t>
        </is>
      </c>
      <c r="E23" s="39" t="inlineStr">
        <is>
          <t>Midwest</t>
        </is>
      </c>
      <c r="F23" s="30" t="n">
        <v>13.57742472678494</v>
      </c>
      <c r="G23" s="29" t="n">
        <v>6314165</v>
      </c>
      <c r="H23" s="29" t="n">
        <v>857301</v>
      </c>
      <c r="I23" s="39" t="inlineStr">
        <is>
          <t>Yes</t>
        </is>
      </c>
      <c r="J23" s="39" t="inlineStr">
        <is>
          <t>Yes</t>
        </is>
      </c>
      <c r="K23" s="39" t="inlineStr">
        <is>
          <t>Comcast</t>
        </is>
      </c>
      <c r="L23" s="39" t="inlineStr">
        <is>
          <t>RETRIEVED</t>
        </is>
      </c>
    </row>
    <row r="24">
      <c r="A24" s="39" t="n">
        <v>20</v>
      </c>
      <c r="B24" s="39" t="inlineStr">
        <is>
          <t>New Jersey</t>
        </is>
      </c>
      <c r="C24" s="39" t="inlineStr">
        <is>
          <t>NJ</t>
        </is>
      </c>
      <c r="D24" s="39" t="inlineStr">
        <is>
          <t>Middle Atlantic</t>
        </is>
      </c>
      <c r="E24" s="39" t="inlineStr">
        <is>
          <t>Northeast</t>
        </is>
      </c>
      <c r="F24" s="30" t="n">
        <v>13.50596040089432</v>
      </c>
      <c r="G24" s="29" t="n">
        <v>4772330</v>
      </c>
      <c r="H24" s="29" t="n">
        <v>644549</v>
      </c>
      <c r="I24" s="39" t="inlineStr">
        <is>
          <t>Yes</t>
        </is>
      </c>
      <c r="J24" s="39" t="inlineStr">
        <is>
          <t>Yes</t>
        </is>
      </c>
      <c r="K24" s="39" t="inlineStr">
        <is>
          <t>Comcast</t>
        </is>
      </c>
      <c r="L24" s="39" t="inlineStr">
        <is>
          <t>RETRIEVED</t>
        </is>
      </c>
    </row>
    <row r="25">
      <c r="A25" s="39" t="n">
        <v>21</v>
      </c>
      <c r="B25" s="39" t="inlineStr">
        <is>
          <t>Connecticut</t>
        </is>
      </c>
      <c r="C25" s="39" t="inlineStr">
        <is>
          <t>CT</t>
        </is>
      </c>
      <c r="D25" s="39" t="inlineStr">
        <is>
          <t>New England</t>
        </is>
      </c>
      <c r="E25" s="39" t="inlineStr">
        <is>
          <t>Northeast</t>
        </is>
      </c>
      <c r="F25" s="30" t="n">
        <v>13.37001730698233</v>
      </c>
      <c r="G25" s="29" t="n">
        <v>1874388</v>
      </c>
      <c r="H25" s="29" t="n">
        <v>250606</v>
      </c>
      <c r="I25" s="39" t="inlineStr">
        <is>
          <t>Yes</t>
        </is>
      </c>
      <c r="J25" s="39" t="inlineStr">
        <is>
          <t>Yes</t>
        </is>
      </c>
      <c r="K25" s="39" t="inlineStr">
        <is>
          <t>Comcast</t>
        </is>
      </c>
      <c r="L25" s="39" t="inlineStr">
        <is>
          <t>RETRIEVED</t>
        </is>
      </c>
    </row>
    <row r="26" ht="26" customHeight="1" s="34">
      <c r="A26" s="39" t="n">
        <v>22</v>
      </c>
      <c r="B26" s="39" t="inlineStr">
        <is>
          <t>Texas</t>
        </is>
      </c>
      <c r="C26" s="39" t="inlineStr">
        <is>
          <t>TX</t>
        </is>
      </c>
      <c r="D26" s="39" t="inlineStr">
        <is>
          <t>West South Central</t>
        </is>
      </c>
      <c r="E26" s="39" t="inlineStr">
        <is>
          <t>South</t>
        </is>
      </c>
      <c r="F26" s="30" t="n">
        <v>12.92974906551973</v>
      </c>
      <c r="G26" s="29" t="n">
        <v>15130603</v>
      </c>
      <c r="H26" s="29" t="n">
        <v>1956349</v>
      </c>
      <c r="I26" s="39" t="inlineStr">
        <is>
          <t>No</t>
        </is>
      </c>
      <c r="J26" s="39" t="inlineStr">
        <is>
          <t>Yes</t>
        </is>
      </c>
      <c r="K26" s="39" t="inlineStr">
        <is>
          <t>Charter</t>
        </is>
      </c>
      <c r="L26" s="39" t="inlineStr">
        <is>
          <t>RETRIEVED</t>
        </is>
      </c>
    </row>
    <row r="27">
      <c r="A27" s="39" t="n">
        <v>23</v>
      </c>
      <c r="B27" s="39" t="inlineStr">
        <is>
          <t>Delaware</t>
        </is>
      </c>
      <c r="C27" s="39" t="inlineStr">
        <is>
          <t>DE</t>
        </is>
      </c>
      <c r="D27" s="39" t="inlineStr">
        <is>
          <t>South Atlantic</t>
        </is>
      </c>
      <c r="E27" s="39" t="inlineStr">
        <is>
          <t>South</t>
        </is>
      </c>
      <c r="F27" s="30" t="n">
        <v>12.88963504816725</v>
      </c>
      <c r="G27" s="29" t="n">
        <v>500340</v>
      </c>
      <c r="H27" s="29" t="n">
        <v>64492</v>
      </c>
      <c r="I27" s="39" t="inlineStr">
        <is>
          <t>No</t>
        </is>
      </c>
      <c r="J27" s="39" t="inlineStr">
        <is>
          <t>Yes</t>
        </is>
      </c>
      <c r="K27" s="39" t="inlineStr">
        <is>
          <t>Comcast</t>
        </is>
      </c>
      <c r="L27" s="39" t="inlineStr">
        <is>
          <t>RETRIEVED</t>
        </is>
      </c>
    </row>
    <row r="28">
      <c r="A28" s="39" t="n">
        <v>24</v>
      </c>
      <c r="B28" s="39" t="inlineStr">
        <is>
          <t>Idaho</t>
        </is>
      </c>
      <c r="C28" s="39" t="inlineStr">
        <is>
          <t>ID</t>
        </is>
      </c>
      <c r="D28" s="39" t="inlineStr">
        <is>
          <t>Mountain</t>
        </is>
      </c>
      <c r="E28" s="39" t="inlineStr">
        <is>
          <t>West</t>
        </is>
      </c>
      <c r="F28" s="30" t="n">
        <v>12.70697572801257</v>
      </c>
      <c r="G28" s="29" t="n">
        <v>952044</v>
      </c>
      <c r="H28" s="29" t="n">
        <v>120976</v>
      </c>
      <c r="I28" s="39" t="inlineStr">
        <is>
          <t>No</t>
        </is>
      </c>
      <c r="J28" s="39" t="inlineStr">
        <is>
          <t>Yes</t>
        </is>
      </c>
      <c r="K28" s="39" t="inlineStr">
        <is>
          <t>Charter</t>
        </is>
      </c>
      <c r="L28" s="39" t="inlineStr">
        <is>
          <t>RETRIEVED</t>
        </is>
      </c>
    </row>
    <row r="29" ht="26" customHeight="1" s="34">
      <c r="A29" s="39" t="n">
        <v>25</v>
      </c>
      <c r="B29" s="39" t="inlineStr">
        <is>
          <t>Tennessee</t>
        </is>
      </c>
      <c r="C29" s="39" t="inlineStr">
        <is>
          <t>TN</t>
        </is>
      </c>
      <c r="D29" s="39" t="inlineStr">
        <is>
          <t>East South Central</t>
        </is>
      </c>
      <c r="E29" s="39" t="inlineStr">
        <is>
          <t>South</t>
        </is>
      </c>
      <c r="F29" s="30" t="n">
        <v>12.67718356972178</v>
      </c>
      <c r="G29" s="29" t="n">
        <v>3479795</v>
      </c>
      <c r="H29" s="29" t="n">
        <v>441140</v>
      </c>
      <c r="I29" s="39" t="inlineStr">
        <is>
          <t>No</t>
        </is>
      </c>
      <c r="J29" s="39" t="inlineStr">
        <is>
          <t>Yes</t>
        </is>
      </c>
      <c r="K29" s="39" t="inlineStr">
        <is>
          <t>Comcast</t>
        </is>
      </c>
      <c r="L29" s="39" t="inlineStr">
        <is>
          <t>RETRIEVED</t>
        </is>
      </c>
    </row>
    <row r="30">
      <c r="A30" s="39" t="n">
        <v>26</v>
      </c>
      <c r="B30" s="39" t="inlineStr">
        <is>
          <t>South Carolina</t>
        </is>
      </c>
      <c r="C30" s="39" t="inlineStr">
        <is>
          <t>SC</t>
        </is>
      </c>
      <c r="D30" s="39" t="inlineStr">
        <is>
          <t>South Atlantic</t>
        </is>
      </c>
      <c r="E30" s="39" t="inlineStr">
        <is>
          <t>South</t>
        </is>
      </c>
      <c r="F30" s="30" t="n">
        <v>12.3202859790688</v>
      </c>
      <c r="G30" s="29" t="n">
        <v>2571377</v>
      </c>
      <c r="H30" s="29" t="n">
        <v>316801</v>
      </c>
      <c r="I30" s="39" t="inlineStr">
        <is>
          <t>No</t>
        </is>
      </c>
      <c r="J30" s="39" t="inlineStr">
        <is>
          <t>No</t>
        </is>
      </c>
      <c r="K30" s="39" t="inlineStr">
        <is>
          <t>Charter</t>
        </is>
      </c>
      <c r="L30" s="39" t="inlineStr">
        <is>
          <t>RETRIEVED</t>
        </is>
      </c>
    </row>
    <row r="31" ht="26" customHeight="1" s="34">
      <c r="A31" s="39" t="n">
        <v>27</v>
      </c>
      <c r="B31" s="39" t="inlineStr">
        <is>
          <t>Ohio</t>
        </is>
      </c>
      <c r="C31" s="39" t="inlineStr">
        <is>
          <t>OH</t>
        </is>
      </c>
      <c r="D31" s="39" t="inlineStr">
        <is>
          <t>East North Central</t>
        </is>
      </c>
      <c r="E31" s="39" t="inlineStr">
        <is>
          <t>Midwest</t>
        </is>
      </c>
      <c r="F31" s="30" t="n">
        <v>11.91578982421641</v>
      </c>
      <c r="G31" s="29" t="n">
        <v>5765669</v>
      </c>
      <c r="H31" s="29" t="n">
        <v>687025</v>
      </c>
      <c r="I31" s="39" t="inlineStr">
        <is>
          <t>No</t>
        </is>
      </c>
      <c r="J31" s="39" t="inlineStr">
        <is>
          <t>No</t>
        </is>
      </c>
      <c r="K31" s="39" t="inlineStr">
        <is>
          <t>Charter</t>
        </is>
      </c>
      <c r="L31" s="39" t="inlineStr">
        <is>
          <t>RETRIEVED</t>
        </is>
      </c>
    </row>
    <row r="32" ht="26" customHeight="1" s="34">
      <c r="A32" s="39" t="n">
        <v>28</v>
      </c>
      <c r="B32" s="39" t="inlineStr">
        <is>
          <t>Wisconsin</t>
        </is>
      </c>
      <c r="C32" s="39" t="inlineStr">
        <is>
          <t>WI</t>
        </is>
      </c>
      <c r="D32" s="39" t="inlineStr">
        <is>
          <t>East North Central</t>
        </is>
      </c>
      <c r="E32" s="39" t="inlineStr">
        <is>
          <t>Midwest</t>
        </is>
      </c>
      <c r="F32" s="30" t="n">
        <v>11.80526735729351</v>
      </c>
      <c r="G32" s="29" t="n">
        <v>3050562</v>
      </c>
      <c r="H32" s="29" t="n">
        <v>360127</v>
      </c>
      <c r="I32" s="39" t="inlineStr">
        <is>
          <t>No</t>
        </is>
      </c>
      <c r="J32" s="39" t="inlineStr">
        <is>
          <t>No</t>
        </is>
      </c>
      <c r="K32" s="39" t="inlineStr">
        <is>
          <t>Charter</t>
        </is>
      </c>
      <c r="L32" s="39" t="inlineStr">
        <is>
          <t>RETRIEVED</t>
        </is>
      </c>
    </row>
    <row r="33" ht="26" customHeight="1" s="34">
      <c r="A33" s="39" t="n">
        <v>29</v>
      </c>
      <c r="B33" s="39" t="inlineStr">
        <is>
          <t>Missouri</t>
        </is>
      </c>
      <c r="C33" s="39" t="inlineStr">
        <is>
          <t>MO</t>
        </is>
      </c>
      <c r="D33" s="39" t="inlineStr">
        <is>
          <t>West North Central</t>
        </is>
      </c>
      <c r="E33" s="39" t="inlineStr">
        <is>
          <t>Midwest</t>
        </is>
      </c>
      <c r="F33" s="30" t="n">
        <v>11.78992988647522</v>
      </c>
      <c r="G33" s="29" t="n">
        <v>3054047</v>
      </c>
      <c r="H33" s="29" t="n">
        <v>360070</v>
      </c>
      <c r="I33" s="39" t="inlineStr">
        <is>
          <t>No</t>
        </is>
      </c>
      <c r="J33" s="39" t="inlineStr">
        <is>
          <t>No</t>
        </is>
      </c>
      <c r="K33" s="39" t="inlineStr">
        <is>
          <t>Charter</t>
        </is>
      </c>
      <c r="L33" s="39" t="inlineStr">
        <is>
          <t>RETRIEVED</t>
        </is>
      </c>
    </row>
    <row r="34">
      <c r="A34" s="39" t="n">
        <v>30</v>
      </c>
      <c r="B34" s="39" t="inlineStr">
        <is>
          <t>New York</t>
        </is>
      </c>
      <c r="C34" s="39" t="inlineStr">
        <is>
          <t>NY</t>
        </is>
      </c>
      <c r="D34" s="39" t="inlineStr">
        <is>
          <t>Middle Atlantic</t>
        </is>
      </c>
      <c r="E34" s="39" t="inlineStr">
        <is>
          <t>Northeast</t>
        </is>
      </c>
      <c r="F34" s="30" t="n">
        <v>11.7689727472086</v>
      </c>
      <c r="G34" s="29" t="n">
        <v>9557920</v>
      </c>
      <c r="H34" s="29" t="n">
        <v>1124869</v>
      </c>
      <c r="I34" s="39" t="inlineStr">
        <is>
          <t>No</t>
        </is>
      </c>
      <c r="J34" s="39" t="inlineStr">
        <is>
          <t>No</t>
        </is>
      </c>
      <c r="K34" s="39" t="inlineStr">
        <is>
          <t>Charter</t>
        </is>
      </c>
      <c r="L34" s="39" t="inlineStr">
        <is>
          <t>RETRIEVED</t>
        </is>
      </c>
    </row>
    <row r="35">
      <c r="A35" s="39" t="n">
        <v>31</v>
      </c>
      <c r="B35" s="39" t="inlineStr">
        <is>
          <t>Montana</t>
        </is>
      </c>
      <c r="C35" s="39" t="inlineStr">
        <is>
          <t>MT</t>
        </is>
      </c>
      <c r="D35" s="39" t="inlineStr">
        <is>
          <t>Mountain</t>
        </is>
      </c>
      <c r="E35" s="39" t="inlineStr">
        <is>
          <t>West</t>
        </is>
      </c>
      <c r="F35" s="30" t="n">
        <v>11.6851216400121</v>
      </c>
      <c r="G35" s="29" t="n">
        <v>565069</v>
      </c>
      <c r="H35" s="29" t="n">
        <v>66029</v>
      </c>
      <c r="I35" s="39" t="inlineStr">
        <is>
          <t>No</t>
        </is>
      </c>
      <c r="J35" s="39" t="inlineStr">
        <is>
          <t>No</t>
        </is>
      </c>
      <c r="K35" s="39" t="inlineStr">
        <is>
          <t>Charter</t>
        </is>
      </c>
      <c r="L35" s="39" t="inlineStr">
        <is>
          <t>RETRIEVED</t>
        </is>
      </c>
    </row>
    <row r="36">
      <c r="A36" s="39" t="n">
        <v>32</v>
      </c>
      <c r="B36" s="39" t="inlineStr">
        <is>
          <t>Rhode Island</t>
        </is>
      </c>
      <c r="C36" s="39" t="inlineStr">
        <is>
          <t>RI</t>
        </is>
      </c>
      <c r="D36" s="39" t="inlineStr">
        <is>
          <t>New England</t>
        </is>
      </c>
      <c r="E36" s="39" t="inlineStr">
        <is>
          <t>Northeast</t>
        </is>
      </c>
      <c r="F36" s="30" t="n">
        <v>11.57893806717269</v>
      </c>
      <c r="G36" s="29" t="n">
        <v>565855</v>
      </c>
      <c r="H36" s="29" t="n">
        <v>65520</v>
      </c>
      <c r="I36" s="39" t="inlineStr">
        <is>
          <t>No</t>
        </is>
      </c>
      <c r="J36" s="39" t="inlineStr">
        <is>
          <t>No</t>
        </is>
      </c>
      <c r="K36" s="39" t="inlineStr">
        <is>
          <t>Comcast</t>
        </is>
      </c>
      <c r="L36" s="39" t="inlineStr">
        <is>
          <t>RETRIEVED</t>
        </is>
      </c>
    </row>
    <row r="37">
      <c r="A37" s="39" t="n">
        <v>33</v>
      </c>
      <c r="B37" s="39" t="inlineStr">
        <is>
          <t>Nevada</t>
        </is>
      </c>
      <c r="C37" s="39" t="inlineStr">
        <is>
          <t>NV</t>
        </is>
      </c>
      <c r="D37" s="39" t="inlineStr">
        <is>
          <t>Mountain</t>
        </is>
      </c>
      <c r="E37" s="39" t="inlineStr">
        <is>
          <t>West</t>
        </is>
      </c>
      <c r="F37" s="30" t="n">
        <v>11.33208478254407</v>
      </c>
      <c r="G37" s="29" t="n">
        <v>1581033</v>
      </c>
      <c r="H37" s="29" t="n">
        <v>179164</v>
      </c>
      <c r="I37" s="39" t="inlineStr">
        <is>
          <t>No</t>
        </is>
      </c>
      <c r="J37" s="39" t="inlineStr">
        <is>
          <t>No</t>
        </is>
      </c>
      <c r="K37" s="39" t="inlineStr">
        <is>
          <t>Charter</t>
        </is>
      </c>
      <c r="L37" s="39" t="inlineStr">
        <is>
          <t>RETRIEVED</t>
        </is>
      </c>
    </row>
    <row r="38" ht="26" customHeight="1" s="34">
      <c r="A38" s="39" t="n">
        <v>34</v>
      </c>
      <c r="B38" s="39" t="inlineStr">
        <is>
          <t>Michigan</t>
        </is>
      </c>
      <c r="C38" s="39" t="inlineStr">
        <is>
          <t>MI</t>
        </is>
      </c>
      <c r="D38" s="39" t="inlineStr">
        <is>
          <t>East North Central</t>
        </is>
      </c>
      <c r="E38" s="39" t="inlineStr">
        <is>
          <t>Midwest</t>
        </is>
      </c>
      <c r="F38" s="30" t="n">
        <v>11.23113908175998</v>
      </c>
      <c r="G38" s="29" t="n">
        <v>4800270</v>
      </c>
      <c r="H38" s="29" t="n">
        <v>539125</v>
      </c>
      <c r="I38" s="39" t="inlineStr">
        <is>
          <t>No</t>
        </is>
      </c>
      <c r="J38" s="39" t="inlineStr">
        <is>
          <t>No</t>
        </is>
      </c>
      <c r="K38" s="39" t="inlineStr">
        <is>
          <t>Comcast</t>
        </is>
      </c>
      <c r="L38" s="39" t="inlineStr">
        <is>
          <t>RETRIEVED</t>
        </is>
      </c>
    </row>
    <row r="39" ht="26" customHeight="1" s="34">
      <c r="A39" s="39" t="n">
        <v>35</v>
      </c>
      <c r="B39" s="39" t="inlineStr">
        <is>
          <t>Kansas</t>
        </is>
      </c>
      <c r="C39" s="39" t="inlineStr">
        <is>
          <t>KS</t>
        </is>
      </c>
      <c r="D39" s="39" t="inlineStr">
        <is>
          <t>West North Central</t>
        </is>
      </c>
      <c r="E39" s="39" t="inlineStr">
        <is>
          <t>Midwest</t>
        </is>
      </c>
      <c r="F39" s="30" t="n">
        <v>10.27245533620532</v>
      </c>
      <c r="G39" s="29" t="n">
        <v>1494667</v>
      </c>
      <c r="H39" s="29" t="n">
        <v>153539</v>
      </c>
      <c r="I39" s="39" t="inlineStr">
        <is>
          <t>No</t>
        </is>
      </c>
      <c r="J39" s="39" t="inlineStr">
        <is>
          <t>No</t>
        </is>
      </c>
      <c r="K39" s="39" t="inlineStr">
        <is>
          <t>Charter</t>
        </is>
      </c>
      <c r="L39" s="39" t="inlineStr">
        <is>
          <t>RETRIEVED</t>
        </is>
      </c>
    </row>
    <row r="40">
      <c r="A40" s="39" t="n">
        <v>36</v>
      </c>
      <c r="B40" s="39" t="inlineStr">
        <is>
          <t>New Mexico</t>
        </is>
      </c>
      <c r="C40" s="39" t="inlineStr">
        <is>
          <t>NM</t>
        </is>
      </c>
      <c r="D40" s="39" t="inlineStr">
        <is>
          <t>Mountain</t>
        </is>
      </c>
      <c r="E40" s="39" t="inlineStr">
        <is>
          <t>West</t>
        </is>
      </c>
      <c r="F40" s="30" t="n">
        <v>10.26659650785199</v>
      </c>
      <c r="G40" s="29" t="n">
        <v>954026</v>
      </c>
      <c r="H40" s="29" t="n">
        <v>97946</v>
      </c>
      <c r="I40" s="39" t="inlineStr">
        <is>
          <t>No</t>
        </is>
      </c>
      <c r="J40" s="39" t="inlineStr">
        <is>
          <t>No</t>
        </is>
      </c>
      <c r="K40" s="39" t="inlineStr">
        <is>
          <t>Comcast</t>
        </is>
      </c>
      <c r="L40" s="39" t="inlineStr">
        <is>
          <t>RETRIEVED</t>
        </is>
      </c>
    </row>
    <row r="41" ht="26" customHeight="1" s="34">
      <c r="A41" s="39" t="n">
        <v>37</v>
      </c>
      <c r="B41" s="39" t="inlineStr">
        <is>
          <t>Iowa</t>
        </is>
      </c>
      <c r="C41" s="39" t="inlineStr">
        <is>
          <t>IA</t>
        </is>
      </c>
      <c r="D41" s="39" t="inlineStr">
        <is>
          <t>West North Central</t>
        </is>
      </c>
      <c r="E41" s="39" t="inlineStr">
        <is>
          <t>Midwest</t>
        </is>
      </c>
      <c r="F41" s="30" t="n">
        <v>9.866779653619826</v>
      </c>
      <c r="G41" s="29" t="n">
        <v>1649748</v>
      </c>
      <c r="H41" s="29" t="n">
        <v>162777</v>
      </c>
      <c r="I41" s="39" t="inlineStr">
        <is>
          <t>No</t>
        </is>
      </c>
      <c r="J41" s="39" t="inlineStr">
        <is>
          <t>No</t>
        </is>
      </c>
      <c r="K41" s="39" t="inlineStr">
        <is>
          <t>Neither</t>
        </is>
      </c>
      <c r="L41" s="39" t="inlineStr">
        <is>
          <t>RETRIEVED</t>
        </is>
      </c>
    </row>
    <row r="42" ht="26" customHeight="1" s="34">
      <c r="A42" s="39" t="n">
        <v>38</v>
      </c>
      <c r="B42" s="39" t="inlineStr">
        <is>
          <t>Nebraska</t>
        </is>
      </c>
      <c r="C42" s="39" t="inlineStr">
        <is>
          <t>NE</t>
        </is>
      </c>
      <c r="D42" s="39" t="inlineStr">
        <is>
          <t>West North Central</t>
        </is>
      </c>
      <c r="E42" s="39" t="inlineStr">
        <is>
          <t>Midwest</t>
        </is>
      </c>
      <c r="F42" s="30" t="n">
        <v>9.739549050984147</v>
      </c>
      <c r="G42" s="29" t="n">
        <v>1036126</v>
      </c>
      <c r="H42" s="29" t="n">
        <v>100914</v>
      </c>
      <c r="I42" s="39" t="inlineStr">
        <is>
          <t>No</t>
        </is>
      </c>
      <c r="J42" s="39" t="inlineStr">
        <is>
          <t>No</t>
        </is>
      </c>
      <c r="K42" s="39" t="inlineStr">
        <is>
          <t>Charter</t>
        </is>
      </c>
      <c r="L42" s="39" t="inlineStr">
        <is>
          <t>RETRIEVED</t>
        </is>
      </c>
    </row>
    <row r="43">
      <c r="A43" s="39" t="n">
        <v>39</v>
      </c>
      <c r="B43" s="39" t="inlineStr">
        <is>
          <t>Wyoming</t>
        </is>
      </c>
      <c r="C43" s="39" t="inlineStr">
        <is>
          <t>WY</t>
        </is>
      </c>
      <c r="D43" s="39" t="inlineStr">
        <is>
          <t>Mountain</t>
        </is>
      </c>
      <c r="E43" s="39" t="inlineStr">
        <is>
          <t>West</t>
        </is>
      </c>
      <c r="F43" s="30" t="n">
        <v>9.72433202224332</v>
      </c>
      <c r="G43" s="29" t="n">
        <v>294920</v>
      </c>
      <c r="H43" s="29" t="n">
        <v>28679</v>
      </c>
      <c r="I43" s="39" t="inlineStr">
        <is>
          <t>No</t>
        </is>
      </c>
      <c r="J43" s="39" t="inlineStr">
        <is>
          <t>No</t>
        </is>
      </c>
      <c r="K43" s="39" t="inlineStr">
        <is>
          <t>Charter</t>
        </is>
      </c>
      <c r="L43" s="39" t="inlineStr">
        <is>
          <t>RETRIEVED</t>
        </is>
      </c>
    </row>
    <row r="44" ht="26" customHeight="1" s="34">
      <c r="A44" s="39" t="n">
        <v>40</v>
      </c>
      <c r="B44" s="39" t="inlineStr">
        <is>
          <t>Indiana</t>
        </is>
      </c>
      <c r="C44" s="39" t="inlineStr">
        <is>
          <t>IN</t>
        </is>
      </c>
      <c r="D44" s="39" t="inlineStr">
        <is>
          <t>East North Central</t>
        </is>
      </c>
      <c r="E44" s="39" t="inlineStr">
        <is>
          <t>Midwest</t>
        </is>
      </c>
      <c r="F44" s="30" t="n">
        <v>9.636304682000544</v>
      </c>
      <c r="G44" s="29" t="n">
        <v>3355446</v>
      </c>
      <c r="H44" s="29" t="n">
        <v>323341</v>
      </c>
      <c r="I44" s="39" t="inlineStr">
        <is>
          <t>No</t>
        </is>
      </c>
      <c r="J44" s="39" t="inlineStr">
        <is>
          <t>No</t>
        </is>
      </c>
      <c r="K44" s="39" t="inlineStr">
        <is>
          <t>Comcast</t>
        </is>
      </c>
      <c r="L44" s="39" t="inlineStr">
        <is>
          <t>RETRIEVED</t>
        </is>
      </c>
    </row>
    <row r="45" ht="26" customHeight="1" s="34">
      <c r="A45" s="39" t="n">
        <v>41</v>
      </c>
      <c r="B45" s="39" t="inlineStr">
        <is>
          <t>Kentucky</t>
        </is>
      </c>
      <c r="C45" s="39" t="inlineStr">
        <is>
          <t>KY</t>
        </is>
      </c>
      <c r="D45" s="39" t="inlineStr">
        <is>
          <t>East South Central</t>
        </is>
      </c>
      <c r="E45" s="39" t="inlineStr">
        <is>
          <t>South</t>
        </is>
      </c>
      <c r="F45" s="30" t="n">
        <v>9.483188272489883</v>
      </c>
      <c r="G45" s="29" t="n">
        <v>2078668</v>
      </c>
      <c r="H45" s="29" t="n">
        <v>197124</v>
      </c>
      <c r="I45" s="39" t="inlineStr">
        <is>
          <t>No</t>
        </is>
      </c>
      <c r="J45" s="39" t="inlineStr">
        <is>
          <t>No</t>
        </is>
      </c>
      <c r="K45" s="39" t="inlineStr">
        <is>
          <t>Charter</t>
        </is>
      </c>
      <c r="L45" s="39" t="inlineStr">
        <is>
          <t>RETRIEVED</t>
        </is>
      </c>
    </row>
    <row r="46" ht="26" customHeight="1" s="34">
      <c r="A46" s="39" t="n">
        <v>42</v>
      </c>
      <c r="B46" s="39" t="inlineStr">
        <is>
          <t>Oklahoma</t>
        </is>
      </c>
      <c r="C46" s="39" t="inlineStr">
        <is>
          <t>OK</t>
        </is>
      </c>
      <c r="D46" s="39" t="inlineStr">
        <is>
          <t>West South Central</t>
        </is>
      </c>
      <c r="E46" s="39" t="inlineStr">
        <is>
          <t>South</t>
        </is>
      </c>
      <c r="F46" s="30" t="n">
        <v>8.927082822537145</v>
      </c>
      <c r="G46" s="29" t="n">
        <v>1876156</v>
      </c>
      <c r="H46" s="29" t="n">
        <v>167486</v>
      </c>
      <c r="I46" s="39" t="inlineStr">
        <is>
          <t>No</t>
        </is>
      </c>
      <c r="J46" s="39" t="inlineStr">
        <is>
          <t>No</t>
        </is>
      </c>
      <c r="K46" s="39" t="inlineStr">
        <is>
          <t>Neither</t>
        </is>
      </c>
      <c r="L46" s="39" t="inlineStr">
        <is>
          <t>RETRIEVED</t>
        </is>
      </c>
    </row>
    <row r="47">
      <c r="A47" s="39" t="n">
        <v>43</v>
      </c>
      <c r="B47" s="39" t="inlineStr">
        <is>
          <t>Hawaii</t>
        </is>
      </c>
      <c r="C47" s="39" t="inlineStr">
        <is>
          <t>HI</t>
        </is>
      </c>
      <c r="D47" s="39" t="inlineStr">
        <is>
          <t>Pacific</t>
        </is>
      </c>
      <c r="E47" s="39" t="inlineStr">
        <is>
          <t>West</t>
        </is>
      </c>
      <c r="F47" s="30" t="n">
        <v>8.874679378937115</v>
      </c>
      <c r="G47" s="29" t="n">
        <v>716578</v>
      </c>
      <c r="H47" s="29" t="n">
        <v>63594</v>
      </c>
      <c r="I47" s="39" t="inlineStr">
        <is>
          <t>No</t>
        </is>
      </c>
      <c r="J47" s="39" t="inlineStr">
        <is>
          <t>No</t>
        </is>
      </c>
      <c r="K47" s="39" t="inlineStr">
        <is>
          <t>Charter</t>
        </is>
      </c>
      <c r="L47" s="39" t="inlineStr">
        <is>
          <t>RETRIEVED</t>
        </is>
      </c>
    </row>
    <row r="48">
      <c r="A48" s="39" t="n">
        <v>44</v>
      </c>
      <c r="B48" s="39" t="inlineStr">
        <is>
          <t>West Virginia</t>
        </is>
      </c>
      <c r="C48" s="39" t="inlineStr">
        <is>
          <t>WV</t>
        </is>
      </c>
      <c r="D48" s="39" t="inlineStr">
        <is>
          <t>South Atlantic</t>
        </is>
      </c>
      <c r="E48" s="39" t="inlineStr">
        <is>
          <t>South</t>
        </is>
      </c>
      <c r="F48" s="30" t="n">
        <v>8.810796006667843</v>
      </c>
      <c r="G48" s="29" t="n">
        <v>759466</v>
      </c>
      <c r="H48" s="29" t="n">
        <v>66915</v>
      </c>
      <c r="I48" s="39" t="inlineStr">
        <is>
          <t>No</t>
        </is>
      </c>
      <c r="J48" s="39" t="inlineStr">
        <is>
          <t>No</t>
        </is>
      </c>
      <c r="K48" s="39" t="inlineStr">
        <is>
          <t>Comcast</t>
        </is>
      </c>
      <c r="L48" s="39" t="inlineStr">
        <is>
          <t>RETRIEVED</t>
        </is>
      </c>
    </row>
    <row r="49" ht="26" customHeight="1" s="34">
      <c r="A49" s="39" t="n">
        <v>45</v>
      </c>
      <c r="B49" s="39" t="inlineStr">
        <is>
          <t>Arkansas</t>
        </is>
      </c>
      <c r="C49" s="39" t="inlineStr">
        <is>
          <t>AR</t>
        </is>
      </c>
      <c r="D49" s="39" t="inlineStr">
        <is>
          <t>West South Central</t>
        </is>
      </c>
      <c r="E49" s="39" t="inlineStr">
        <is>
          <t>South</t>
        </is>
      </c>
      <c r="F49" s="30" t="n">
        <v>8.586016658854073</v>
      </c>
      <c r="G49" s="29" t="n">
        <v>1386650</v>
      </c>
      <c r="H49" s="29" t="n">
        <v>119058</v>
      </c>
      <c r="I49" s="39" t="inlineStr">
        <is>
          <t>No</t>
        </is>
      </c>
      <c r="J49" s="39" t="inlineStr">
        <is>
          <t>No</t>
        </is>
      </c>
      <c r="K49" s="39" t="inlineStr">
        <is>
          <t>Comcast</t>
        </is>
      </c>
      <c r="L49" s="39" t="inlineStr">
        <is>
          <t>RETRIEVED</t>
        </is>
      </c>
    </row>
    <row r="50">
      <c r="A50" s="39" t="n">
        <v>46</v>
      </c>
      <c r="B50" s="39" t="inlineStr">
        <is>
          <t>Alaska</t>
        </is>
      </c>
      <c r="C50" s="39" t="inlineStr">
        <is>
          <t>AK</t>
        </is>
      </c>
      <c r="D50" s="39" t="inlineStr">
        <is>
          <t>Pacific</t>
        </is>
      </c>
      <c r="E50" s="39" t="inlineStr">
        <is>
          <t>West</t>
        </is>
      </c>
      <c r="F50" s="30" t="n">
        <v>8.419456162305964</v>
      </c>
      <c r="G50" s="29" t="n">
        <v>361983</v>
      </c>
      <c r="H50" s="29" t="n">
        <v>30477</v>
      </c>
      <c r="I50" s="39" t="inlineStr">
        <is>
          <t>No</t>
        </is>
      </c>
      <c r="J50" s="39" t="inlineStr">
        <is>
          <t>No</t>
        </is>
      </c>
      <c r="K50" s="39" t="inlineStr">
        <is>
          <t>Neither</t>
        </is>
      </c>
      <c r="L50" s="39" t="inlineStr">
        <is>
          <t>RETRIEVED</t>
        </is>
      </c>
    </row>
    <row r="51" ht="26" customHeight="1" s="34">
      <c r="A51" s="39" t="n">
        <v>47</v>
      </c>
      <c r="B51" s="39" t="inlineStr">
        <is>
          <t>Alabama</t>
        </is>
      </c>
      <c r="C51" s="39" t="inlineStr">
        <is>
          <t>AL</t>
        </is>
      </c>
      <c r="D51" s="39" t="inlineStr">
        <is>
          <t>East South Central</t>
        </is>
      </c>
      <c r="E51" s="39" t="inlineStr">
        <is>
          <t>South</t>
        </is>
      </c>
      <c r="F51" s="30" t="n">
        <v>8.33751814314072</v>
      </c>
      <c r="G51" s="29" t="n">
        <v>2323881</v>
      </c>
      <c r="H51" s="29" t="n">
        <v>193754</v>
      </c>
      <c r="I51" s="39" t="inlineStr">
        <is>
          <t>No</t>
        </is>
      </c>
      <c r="J51" s="39" t="inlineStr">
        <is>
          <t>No</t>
        </is>
      </c>
      <c r="K51" s="39" t="inlineStr">
        <is>
          <t>Charter</t>
        </is>
      </c>
      <c r="L51" s="39" t="inlineStr">
        <is>
          <t>RETRIEVED</t>
        </is>
      </c>
    </row>
    <row r="52" ht="26" customHeight="1" s="34">
      <c r="A52" s="39" t="n">
        <v>48</v>
      </c>
      <c r="B52" s="39" t="inlineStr">
        <is>
          <t>South Dakota</t>
        </is>
      </c>
      <c r="C52" s="39" t="inlineStr">
        <is>
          <t>SD</t>
        </is>
      </c>
      <c r="D52" s="39" t="inlineStr">
        <is>
          <t>West North Central</t>
        </is>
      </c>
      <c r="E52" s="39" t="inlineStr">
        <is>
          <t>Midwest</t>
        </is>
      </c>
      <c r="F52" s="30" t="n">
        <v>8.038654123757913</v>
      </c>
      <c r="G52" s="29" t="n">
        <v>475913</v>
      </c>
      <c r="H52" s="29" t="n">
        <v>38257</v>
      </c>
      <c r="I52" s="39" t="inlineStr">
        <is>
          <t>No</t>
        </is>
      </c>
      <c r="J52" s="39" t="inlineStr">
        <is>
          <t>No</t>
        </is>
      </c>
      <c r="K52" s="39" t="inlineStr">
        <is>
          <t>Neither</t>
        </is>
      </c>
      <c r="L52" s="39" t="inlineStr">
        <is>
          <t>RETRIEVED</t>
        </is>
      </c>
    </row>
    <row r="53" ht="26" customHeight="1" s="34">
      <c r="A53" s="39" t="n">
        <v>49</v>
      </c>
      <c r="B53" s="39" t="inlineStr">
        <is>
          <t>Louisiana</t>
        </is>
      </c>
      <c r="C53" s="39" t="inlineStr">
        <is>
          <t>LA</t>
        </is>
      </c>
      <c r="D53" s="39" t="inlineStr">
        <is>
          <t>West South Central</t>
        </is>
      </c>
      <c r="E53" s="39" t="inlineStr">
        <is>
          <t>South</t>
        </is>
      </c>
      <c r="F53" s="30" t="n">
        <v>7.994403286380841</v>
      </c>
      <c r="G53" s="29" t="n">
        <v>2043342</v>
      </c>
      <c r="H53" s="29" t="n">
        <v>163353</v>
      </c>
      <c r="I53" s="39" t="inlineStr">
        <is>
          <t>No</t>
        </is>
      </c>
      <c r="J53" s="39" t="inlineStr">
        <is>
          <t>No</t>
        </is>
      </c>
      <c r="K53" s="39" t="inlineStr">
        <is>
          <t>Charter</t>
        </is>
      </c>
      <c r="L53" s="39" t="inlineStr">
        <is>
          <t>RETRIEVED</t>
        </is>
      </c>
    </row>
    <row r="54" ht="26" customHeight="1" s="34">
      <c r="A54" s="39" t="n">
        <v>50</v>
      </c>
      <c r="B54" s="39" t="inlineStr">
        <is>
          <t>North Dakota</t>
        </is>
      </c>
      <c r="C54" s="39" t="inlineStr">
        <is>
          <t>ND</t>
        </is>
      </c>
      <c r="D54" s="39" t="inlineStr">
        <is>
          <t>West North Central</t>
        </is>
      </c>
      <c r="E54" s="39" t="inlineStr">
        <is>
          <t>Midwest</t>
        </is>
      </c>
      <c r="F54" s="30" t="n">
        <v>7.090189060661795</v>
      </c>
      <c r="G54" s="29" t="n">
        <v>422457</v>
      </c>
      <c r="H54" s="29" t="n">
        <v>29953</v>
      </c>
      <c r="I54" s="39" t="inlineStr">
        <is>
          <t>No</t>
        </is>
      </c>
      <c r="J54" s="39" t="inlineStr">
        <is>
          <t>No</t>
        </is>
      </c>
      <c r="K54" s="39" t="inlineStr">
        <is>
          <t>Neither</t>
        </is>
      </c>
      <c r="L54" s="39" t="inlineStr">
        <is>
          <t>RETRIEVED</t>
        </is>
      </c>
    </row>
    <row r="55" ht="26" customHeight="1" s="34">
      <c r="A55" s="39" t="n">
        <v>51</v>
      </c>
      <c r="B55" s="39" t="inlineStr">
        <is>
          <t>Mississippi</t>
        </is>
      </c>
      <c r="C55" s="39" t="inlineStr">
        <is>
          <t>MS</t>
        </is>
      </c>
      <c r="D55" s="39" t="inlineStr">
        <is>
          <t>East South Central</t>
        </is>
      </c>
      <c r="E55" s="39" t="inlineStr">
        <is>
          <t>South</t>
        </is>
      </c>
      <c r="F55" s="30" t="n">
        <v>6.240732393371171</v>
      </c>
      <c r="G55" s="29" t="n">
        <v>1302251</v>
      </c>
      <c r="H55" s="29" t="n">
        <v>81270</v>
      </c>
      <c r="I55" s="39" t="inlineStr">
        <is>
          <t>No</t>
        </is>
      </c>
      <c r="J55" s="39" t="inlineStr">
        <is>
          <t>No</t>
        </is>
      </c>
      <c r="K55" s="39" t="inlineStr">
        <is>
          <t>Comcast</t>
        </is>
      </c>
      <c r="L55" s="39" t="inlineStr">
        <is>
          <t>RETRIEVED</t>
        </is>
      </c>
    </row>
    <row r="57" ht="32" customHeight="1" s="34">
      <c r="A57" s="33" t="inlineStr">
        <is>
          <t>US ACS usual-WFH = 13.320218% on 165,360,450 workers 16+ (22,026,372 usually WFH). 51-state+DC sum = 165,360,450 workers / 22,026,371 WFH (13.320217%). Nation row includes geographies beyond the 51; use the nation row for US, worker-weight the 51 for division/region.</t>
        </is>
      </c>
    </row>
    <row r="58" ht="32" customHeight="1" s="34">
      <c r="A58" s="33" t="inlineStr">
        <is>
          <t>Unweighted median of 51 state rates = 12.320286%. Used only for the HYPOTHESIS flag. Division averages are worker-weighted, not an unweighted mean of state rates.</t>
        </is>
      </c>
    </row>
    <row r="59" ht="32" customHeight="1" s="34">
      <c r="A59" s="33" t="inlineStr">
        <is>
          <t>State WFH on this sheet is ACS B08301 only. ATUS and ABS are different metrics and are not mapped here.</t>
        </is>
      </c>
    </row>
  </sheetData>
  <autoFilter ref="A4:L55"/>
  <mergeCells count="5">
    <mergeCell ref="A2:L2"/>
    <mergeCell ref="A59:H59"/>
    <mergeCell ref="A57:H57"/>
    <mergeCell ref="A1:L1"/>
    <mergeCell ref="A58:H58"/>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8"/>
  <sheetViews>
    <sheetView zoomScale="70" zoomScaleNormal="70" workbookViewId="0">
      <pane ySplit="4" topLeftCell="A5" activePane="bottomLeft" state="frozen"/>
      <selection pane="bottomLeft" activeCell="S11" sqref="S11"/>
    </sheetView>
  </sheetViews>
  <sheetFormatPr baseColWidth="8" defaultRowHeight="14.5"/>
  <cols>
    <col width="22" customWidth="1" style="34" min="1" max="1"/>
    <col width="14" customWidth="1" style="34" min="2" max="13"/>
  </cols>
  <sheetData>
    <row r="1" ht="48" customHeight="1" s="34">
      <c r="A1" s="35" t="inlineStr">
        <is>
          <t>Florida has the highest 500+ firm employment share at 60.4%; Montana is lowest at 33.7%; employment-weighted, South Atlantic is the most large-firm-dense division at 57.0% vs Pacific at 51.8% (US / 51-state+DC 54.1%).</t>
        </is>
      </c>
    </row>
    <row r="2" ht="56" customHeight="1" s="34">
      <c r="A2" s="33" t="inlineStr">
        <is>
          <t>U.S. Census Bureau, Statistics of U.S. Businesses (SUSB), 2022 Annual Datasets by Establishment Industry — us_state_naics_detailedsizes_2022.txt (all-industry NAICS=--, enterprise employment size); reference year 2022; datasets page April 2025; file last-modified 2025-04-10. Mid-March payroll employment at employer establishments, classified by enterprise (firm) employment size; primary split firms &lt;500 vs 500+ employees (SBA cutoff). File: https://www2.census.gov/programs-surveys/susb/tables/2022/us_state_naics_detailedsizes_2022.txt · Landing page: https://www.census.gov/data/datasets/2022/econ/susb/2022-susb.html</t>
        </is>
      </c>
    </row>
    <row r="4" ht="26" customHeight="1" s="34">
      <c r="A4" s="15" t="inlineStr">
        <is>
          <t>sort_rank</t>
        </is>
      </c>
      <c r="B4" s="15" t="inlineStr">
        <is>
          <t>state</t>
        </is>
      </c>
      <c r="C4" s="15" t="inlineStr">
        <is>
          <t>abbr</t>
        </is>
      </c>
      <c r="D4" s="15" t="inlineStr">
        <is>
          <t>census_division</t>
        </is>
      </c>
      <c r="E4" s="15" t="inlineStr">
        <is>
          <t>census_region</t>
        </is>
      </c>
      <c r="F4" s="15" t="inlineStr">
        <is>
          <t>susb_share_ge500_pct</t>
        </is>
      </c>
      <c r="G4" s="15" t="inlineStr">
        <is>
          <t>susb_employment_ge500</t>
        </is>
      </c>
      <c r="H4" s="15" t="inlineStr">
        <is>
          <t>susb_employment_total</t>
        </is>
      </c>
      <c r="I4" s="15" t="inlineStr">
        <is>
          <t>susb_share_lt500_pct</t>
        </is>
      </c>
      <c r="J4" s="15" t="inlineStr">
        <is>
          <t>above_us_54_1</t>
        </is>
      </c>
      <c r="K4" s="15" t="inlineStr">
        <is>
          <t>above_median</t>
        </is>
      </c>
      <c r="L4" s="15" t="inlineStr">
        <is>
          <t>leader</t>
        </is>
      </c>
      <c r="M4" s="15" t="inlineStr">
        <is>
          <t>origin</t>
        </is>
      </c>
    </row>
    <row r="5">
      <c r="A5" s="39" t="n">
        <v>1</v>
      </c>
      <c r="B5" s="39" t="inlineStr">
        <is>
          <t>Florida</t>
        </is>
      </c>
      <c r="C5" s="39" t="inlineStr">
        <is>
          <t>FL</t>
        </is>
      </c>
      <c r="D5" s="39" t="inlineStr">
        <is>
          <t>South Atlantic</t>
        </is>
      </c>
      <c r="E5" s="39" t="inlineStr">
        <is>
          <t>South</t>
        </is>
      </c>
      <c r="F5" s="30" t="n">
        <v>60.39954648869903</v>
      </c>
      <c r="G5" s="29" t="n">
        <v>5815792</v>
      </c>
      <c r="H5" s="29" t="n">
        <v>9628867</v>
      </c>
      <c r="I5" s="30" t="n">
        <v>39.60045351130097</v>
      </c>
      <c r="J5" s="39" t="inlineStr">
        <is>
          <t>Yes</t>
        </is>
      </c>
      <c r="K5" s="39" t="inlineStr">
        <is>
          <t>Yes</t>
        </is>
      </c>
      <c r="L5" s="39" t="inlineStr">
        <is>
          <t>Comcast</t>
        </is>
      </c>
      <c r="M5" s="39" t="inlineStr">
        <is>
          <t>RETRIEVED</t>
        </is>
      </c>
    </row>
    <row r="6" ht="26" customHeight="1" s="34">
      <c r="A6" s="39" t="n">
        <v>2</v>
      </c>
      <c r="B6" s="39" t="inlineStr">
        <is>
          <t>Tennessee</t>
        </is>
      </c>
      <c r="C6" s="39" t="inlineStr">
        <is>
          <t>TN</t>
        </is>
      </c>
      <c r="D6" s="39" t="inlineStr">
        <is>
          <t>East South Central</t>
        </is>
      </c>
      <c r="E6" s="39" t="inlineStr">
        <is>
          <t>South</t>
        </is>
      </c>
      <c r="F6" s="30" t="n">
        <v>58.465527712609</v>
      </c>
      <c r="G6" s="29" t="n">
        <v>1664444</v>
      </c>
      <c r="H6" s="29" t="n">
        <v>2846881</v>
      </c>
      <c r="I6" s="30" t="n">
        <v>41.534472287391</v>
      </c>
      <c r="J6" s="39" t="inlineStr">
        <is>
          <t>Yes</t>
        </is>
      </c>
      <c r="K6" s="39" t="inlineStr">
        <is>
          <t>Yes</t>
        </is>
      </c>
      <c r="L6" s="39" t="inlineStr">
        <is>
          <t>Comcast</t>
        </is>
      </c>
      <c r="M6" s="39" t="inlineStr">
        <is>
          <t>RETRIEVED</t>
        </is>
      </c>
    </row>
    <row r="7">
      <c r="A7" s="39" t="n">
        <v>3</v>
      </c>
      <c r="B7" s="39" t="inlineStr">
        <is>
          <t>Georgia</t>
        </is>
      </c>
      <c r="C7" s="39" t="inlineStr">
        <is>
          <t>GA</t>
        </is>
      </c>
      <c r="D7" s="39" t="inlineStr">
        <is>
          <t>South Atlantic</t>
        </is>
      </c>
      <c r="E7" s="39" t="inlineStr">
        <is>
          <t>South</t>
        </is>
      </c>
      <c r="F7" s="30" t="n">
        <v>57.48462945731618</v>
      </c>
      <c r="G7" s="29" t="n">
        <v>2442730</v>
      </c>
      <c r="H7" s="29" t="n">
        <v>4249362</v>
      </c>
      <c r="I7" s="30" t="n">
        <v>42.51537054268382</v>
      </c>
      <c r="J7" s="39" t="inlineStr">
        <is>
          <t>Yes</t>
        </is>
      </c>
      <c r="K7" s="39" t="inlineStr">
        <is>
          <t>Yes</t>
        </is>
      </c>
      <c r="L7" s="39" t="inlineStr">
        <is>
          <t>Comcast</t>
        </is>
      </c>
      <c r="M7" s="39" t="inlineStr">
        <is>
          <t>RETRIEVED</t>
        </is>
      </c>
    </row>
    <row r="8">
      <c r="A8" s="39" t="n">
        <v>4</v>
      </c>
      <c r="B8" s="39" t="inlineStr">
        <is>
          <t>Arizona</t>
        </is>
      </c>
      <c r="C8" s="39" t="inlineStr">
        <is>
          <t>AZ</t>
        </is>
      </c>
      <c r="D8" s="39" t="inlineStr">
        <is>
          <t>Mountain</t>
        </is>
      </c>
      <c r="E8" s="39" t="inlineStr">
        <is>
          <t>West</t>
        </is>
      </c>
      <c r="F8" s="30" t="n">
        <v>57.44202839544126</v>
      </c>
      <c r="G8" s="29" t="n">
        <v>1601312</v>
      </c>
      <c r="H8" s="29" t="n">
        <v>2787701</v>
      </c>
      <c r="I8" s="30" t="n">
        <v>42.55797160455874</v>
      </c>
      <c r="J8" s="39" t="inlineStr">
        <is>
          <t>Yes</t>
        </is>
      </c>
      <c r="K8" s="39" t="inlineStr">
        <is>
          <t>Yes</t>
        </is>
      </c>
      <c r="L8" s="39" t="inlineStr">
        <is>
          <t>Comcast</t>
        </is>
      </c>
      <c r="M8" s="39" t="inlineStr">
        <is>
          <t>RETRIEVED</t>
        </is>
      </c>
    </row>
    <row r="9" ht="26" customHeight="1" s="34">
      <c r="A9" s="39" t="n">
        <v>5</v>
      </c>
      <c r="B9" s="39" t="inlineStr">
        <is>
          <t>Kentucky</t>
        </is>
      </c>
      <c r="C9" s="39" t="inlineStr">
        <is>
          <t>KY</t>
        </is>
      </c>
      <c r="D9" s="39" t="inlineStr">
        <is>
          <t>East South Central</t>
        </is>
      </c>
      <c r="E9" s="39" t="inlineStr">
        <is>
          <t>South</t>
        </is>
      </c>
      <c r="F9" s="30" t="n">
        <v>57.38948512137119</v>
      </c>
      <c r="G9" s="29" t="n">
        <v>957081</v>
      </c>
      <c r="H9" s="29" t="n">
        <v>1667694</v>
      </c>
      <c r="I9" s="30" t="n">
        <v>42.61051487862881</v>
      </c>
      <c r="J9" s="39" t="inlineStr">
        <is>
          <t>Yes</t>
        </is>
      </c>
      <c r="K9" s="39" t="inlineStr">
        <is>
          <t>Yes</t>
        </is>
      </c>
      <c r="L9" s="39" t="inlineStr">
        <is>
          <t>Charter</t>
        </is>
      </c>
      <c r="M9" s="39" t="inlineStr">
        <is>
          <t>RETRIEVED</t>
        </is>
      </c>
    </row>
    <row r="10">
      <c r="A10" s="39" t="n">
        <v>6</v>
      </c>
      <c r="B10" s="39" t="inlineStr">
        <is>
          <t>South Carolina</t>
        </is>
      </c>
      <c r="C10" s="39" t="inlineStr">
        <is>
          <t>SC</t>
        </is>
      </c>
      <c r="D10" s="39" t="inlineStr">
        <is>
          <t>South Atlantic</t>
        </is>
      </c>
      <c r="E10" s="39" t="inlineStr">
        <is>
          <t>South</t>
        </is>
      </c>
      <c r="F10" s="30" t="n">
        <v>57.11917906537229</v>
      </c>
      <c r="G10" s="29" t="n">
        <v>1149989</v>
      </c>
      <c r="H10" s="29" t="n">
        <v>2013315</v>
      </c>
      <c r="I10" s="30" t="n">
        <v>42.88082093462771</v>
      </c>
      <c r="J10" s="39" t="inlineStr">
        <is>
          <t>Yes</t>
        </is>
      </c>
      <c r="K10" s="39" t="inlineStr">
        <is>
          <t>Yes</t>
        </is>
      </c>
      <c r="L10" s="39" t="inlineStr">
        <is>
          <t>Charter</t>
        </is>
      </c>
      <c r="M10" s="39" t="inlineStr">
        <is>
          <t>RETRIEVED</t>
        </is>
      </c>
    </row>
    <row r="11" ht="26" customHeight="1" s="34">
      <c r="A11" s="39" t="n">
        <v>7</v>
      </c>
      <c r="B11" s="39" t="inlineStr">
        <is>
          <t>Indiana</t>
        </is>
      </c>
      <c r="C11" s="39" t="inlineStr">
        <is>
          <t>IN</t>
        </is>
      </c>
      <c r="D11" s="39" t="inlineStr">
        <is>
          <t>East North Central</t>
        </is>
      </c>
      <c r="E11" s="39" t="inlineStr">
        <is>
          <t>Midwest</t>
        </is>
      </c>
      <c r="F11" s="30" t="n">
        <v>56.81927238284396</v>
      </c>
      <c r="G11" s="29" t="n">
        <v>1634070</v>
      </c>
      <c r="H11" s="29" t="n">
        <v>2875908</v>
      </c>
      <c r="I11" s="30" t="n">
        <v>43.18072761715604</v>
      </c>
      <c r="J11" s="39" t="inlineStr">
        <is>
          <t>Yes</t>
        </is>
      </c>
      <c r="K11" s="39" t="inlineStr">
        <is>
          <t>Yes</t>
        </is>
      </c>
      <c r="L11" s="39" t="inlineStr">
        <is>
          <t>Comcast</t>
        </is>
      </c>
      <c r="M11" s="39" t="inlineStr">
        <is>
          <t>RETRIEVED</t>
        </is>
      </c>
    </row>
    <row r="12" ht="26" customHeight="1" s="34">
      <c r="A12" s="39" t="n">
        <v>8</v>
      </c>
      <c r="B12" s="39" t="inlineStr">
        <is>
          <t>Illinois</t>
        </is>
      </c>
      <c r="C12" s="39" t="inlineStr">
        <is>
          <t>IL</t>
        </is>
      </c>
      <c r="D12" s="39" t="inlineStr">
        <is>
          <t>East North Central</t>
        </is>
      </c>
      <c r="E12" s="39" t="inlineStr">
        <is>
          <t>Midwest</t>
        </is>
      </c>
      <c r="F12" s="30" t="n">
        <v>56.25185787267277</v>
      </c>
      <c r="G12" s="29" t="n">
        <v>3112912</v>
      </c>
      <c r="H12" s="29" t="n">
        <v>5533883</v>
      </c>
      <c r="I12" s="30" t="n">
        <v>43.74814212732723</v>
      </c>
      <c r="J12" s="39" t="inlineStr">
        <is>
          <t>Yes</t>
        </is>
      </c>
      <c r="K12" s="39" t="inlineStr">
        <is>
          <t>Yes</t>
        </is>
      </c>
      <c r="L12" s="39" t="inlineStr">
        <is>
          <t>Comcast</t>
        </is>
      </c>
      <c r="M12" s="39" t="inlineStr">
        <is>
          <t>RETRIEVED</t>
        </is>
      </c>
    </row>
    <row r="13" ht="26" customHeight="1" s="34">
      <c r="A13" s="39" t="n">
        <v>9</v>
      </c>
      <c r="B13" s="39" t="inlineStr">
        <is>
          <t>Ohio</t>
        </is>
      </c>
      <c r="C13" s="39" t="inlineStr">
        <is>
          <t>OH</t>
        </is>
      </c>
      <c r="D13" s="39" t="inlineStr">
        <is>
          <t>East North Central</t>
        </is>
      </c>
      <c r="E13" s="39" t="inlineStr">
        <is>
          <t>Midwest</t>
        </is>
      </c>
      <c r="F13" s="30" t="n">
        <v>56.18224959547187</v>
      </c>
      <c r="G13" s="29" t="n">
        <v>2788779</v>
      </c>
      <c r="H13" s="29" t="n">
        <v>4963808</v>
      </c>
      <c r="I13" s="30" t="n">
        <v>43.81775040452813</v>
      </c>
      <c r="J13" s="39" t="inlineStr">
        <is>
          <t>Yes</t>
        </is>
      </c>
      <c r="K13" s="39" t="inlineStr">
        <is>
          <t>Yes</t>
        </is>
      </c>
      <c r="L13" s="39" t="inlineStr">
        <is>
          <t>Charter</t>
        </is>
      </c>
      <c r="M13" s="39" t="inlineStr">
        <is>
          <t>RETRIEVED</t>
        </is>
      </c>
    </row>
    <row r="14">
      <c r="A14" s="39" t="n">
        <v>10</v>
      </c>
      <c r="B14" s="39" t="inlineStr">
        <is>
          <t>North Carolina</t>
        </is>
      </c>
      <c r="C14" s="39" t="inlineStr">
        <is>
          <t>NC</t>
        </is>
      </c>
      <c r="D14" s="39" t="inlineStr">
        <is>
          <t>South Atlantic</t>
        </is>
      </c>
      <c r="E14" s="39" t="inlineStr">
        <is>
          <t>South</t>
        </is>
      </c>
      <c r="F14" s="30" t="n">
        <v>55.79073143043873</v>
      </c>
      <c r="G14" s="29" t="n">
        <v>2291192</v>
      </c>
      <c r="H14" s="29" t="n">
        <v>4106761</v>
      </c>
      <c r="I14" s="30" t="n">
        <v>44.20926856956127</v>
      </c>
      <c r="J14" s="39" t="inlineStr">
        <is>
          <t>Yes</t>
        </is>
      </c>
      <c r="K14" s="39" t="inlineStr">
        <is>
          <t>Yes</t>
        </is>
      </c>
      <c r="L14" s="39" t="inlineStr">
        <is>
          <t>Charter</t>
        </is>
      </c>
      <c r="M14" s="39" t="inlineStr">
        <is>
          <t>RETRIEVED</t>
        </is>
      </c>
    </row>
    <row r="15" ht="26" customHeight="1" s="34">
      <c r="A15" s="39" t="n">
        <v>11</v>
      </c>
      <c r="B15" s="39" t="inlineStr">
        <is>
          <t>Texas</t>
        </is>
      </c>
      <c r="C15" s="39" t="inlineStr">
        <is>
          <t>TX</t>
        </is>
      </c>
      <c r="D15" s="39" t="inlineStr">
        <is>
          <t>West South Central</t>
        </is>
      </c>
      <c r="E15" s="39" t="inlineStr">
        <is>
          <t>South</t>
        </is>
      </c>
      <c r="F15" s="30" t="n">
        <v>55.61203589753661</v>
      </c>
      <c r="G15" s="29" t="n">
        <v>6399634</v>
      </c>
      <c r="H15" s="29" t="n">
        <v>11507642</v>
      </c>
      <c r="I15" s="30" t="n">
        <v>44.38796410246339</v>
      </c>
      <c r="J15" s="39" t="inlineStr">
        <is>
          <t>Yes</t>
        </is>
      </c>
      <c r="K15" s="39" t="inlineStr">
        <is>
          <t>Yes</t>
        </is>
      </c>
      <c r="L15" s="39" t="inlineStr">
        <is>
          <t>Charter</t>
        </is>
      </c>
      <c r="M15" s="39" t="inlineStr">
        <is>
          <t>RETRIEVED</t>
        </is>
      </c>
    </row>
    <row r="16" ht="26" customHeight="1" s="34">
      <c r="A16" s="39" t="n">
        <v>12</v>
      </c>
      <c r="B16" s="39" t="inlineStr">
        <is>
          <t>Missouri</t>
        </is>
      </c>
      <c r="C16" s="39" t="inlineStr">
        <is>
          <t>MO</t>
        </is>
      </c>
      <c r="D16" s="39" t="inlineStr">
        <is>
          <t>West North Central</t>
        </is>
      </c>
      <c r="E16" s="39" t="inlineStr">
        <is>
          <t>Midwest</t>
        </is>
      </c>
      <c r="F16" s="30" t="n">
        <v>55.582648925687</v>
      </c>
      <c r="G16" s="29" t="n">
        <v>1425352</v>
      </c>
      <c r="H16" s="29" t="n">
        <v>2564383</v>
      </c>
      <c r="I16" s="30" t="n">
        <v>44.417351074313</v>
      </c>
      <c r="J16" s="39" t="inlineStr">
        <is>
          <t>Yes</t>
        </is>
      </c>
      <c r="K16" s="39" t="inlineStr">
        <is>
          <t>Yes</t>
        </is>
      </c>
      <c r="L16" s="39" t="inlineStr">
        <is>
          <t>Charter</t>
        </is>
      </c>
      <c r="M16" s="39" t="inlineStr">
        <is>
          <t>RETRIEVED</t>
        </is>
      </c>
    </row>
    <row r="17">
      <c r="A17" s="39" t="n">
        <v>13</v>
      </c>
      <c r="B17" s="39" t="inlineStr">
        <is>
          <t>Massachusetts</t>
        </is>
      </c>
      <c r="C17" s="39" t="inlineStr">
        <is>
          <t>MA</t>
        </is>
      </c>
      <c r="D17" s="39" t="inlineStr">
        <is>
          <t>New England</t>
        </is>
      </c>
      <c r="E17" s="39" t="inlineStr">
        <is>
          <t>Northeast</t>
        </is>
      </c>
      <c r="F17" s="30" t="n">
        <v>55.34668327387259</v>
      </c>
      <c r="G17" s="29" t="n">
        <v>1880082</v>
      </c>
      <c r="H17" s="29" t="n">
        <v>3396919</v>
      </c>
      <c r="I17" s="30" t="n">
        <v>44.65331672612741</v>
      </c>
      <c r="J17" s="39" t="inlineStr">
        <is>
          <t>Yes</t>
        </is>
      </c>
      <c r="K17" s="39" t="inlineStr">
        <is>
          <t>Yes</t>
        </is>
      </c>
      <c r="L17" s="39" t="inlineStr">
        <is>
          <t>Comcast</t>
        </is>
      </c>
      <c r="M17" s="39" t="inlineStr">
        <is>
          <t>RETRIEVED</t>
        </is>
      </c>
    </row>
    <row r="18">
      <c r="A18" s="39" t="n">
        <v>14</v>
      </c>
      <c r="B18" s="39" t="inlineStr">
        <is>
          <t>Nevada</t>
        </is>
      </c>
      <c r="C18" s="39" t="inlineStr">
        <is>
          <t>NV</t>
        </is>
      </c>
      <c r="D18" s="39" t="inlineStr">
        <is>
          <t>Mountain</t>
        </is>
      </c>
      <c r="E18" s="39" t="inlineStr">
        <is>
          <t>West</t>
        </is>
      </c>
      <c r="F18" s="30" t="n">
        <v>55.01500880630634</v>
      </c>
      <c r="G18" s="29" t="n">
        <v>707811</v>
      </c>
      <c r="H18" s="29" t="n">
        <v>1286578</v>
      </c>
      <c r="I18" s="30" t="n">
        <v>44.98499119369366</v>
      </c>
      <c r="J18" s="39" t="inlineStr">
        <is>
          <t>Yes</t>
        </is>
      </c>
      <c r="K18" s="39" t="inlineStr">
        <is>
          <t>Yes</t>
        </is>
      </c>
      <c r="L18" s="39" t="inlineStr">
        <is>
          <t>Charter</t>
        </is>
      </c>
      <c r="M18" s="39" t="inlineStr">
        <is>
          <t>RETRIEVED</t>
        </is>
      </c>
    </row>
    <row r="19">
      <c r="A19" s="39" t="n">
        <v>15</v>
      </c>
      <c r="B19" s="39" t="inlineStr">
        <is>
          <t>Pennsylvania</t>
        </is>
      </c>
      <c r="C19" s="39" t="inlineStr">
        <is>
          <t>PA</t>
        </is>
      </c>
      <c r="D19" s="39" t="inlineStr">
        <is>
          <t>Middle Atlantic</t>
        </is>
      </c>
      <c r="E19" s="39" t="inlineStr">
        <is>
          <t>Northeast</t>
        </is>
      </c>
      <c r="F19" s="30" t="n">
        <v>54.76198917424523</v>
      </c>
      <c r="G19" s="29" t="n">
        <v>3058364</v>
      </c>
      <c r="H19" s="29" t="n">
        <v>5584830</v>
      </c>
      <c r="I19" s="30" t="n">
        <v>45.23801082575477</v>
      </c>
      <c r="J19" s="39" t="inlineStr">
        <is>
          <t>Yes</t>
        </is>
      </c>
      <c r="K19" s="39" t="inlineStr">
        <is>
          <t>Yes</t>
        </is>
      </c>
      <c r="L19" s="39" t="inlineStr">
        <is>
          <t>Comcast</t>
        </is>
      </c>
      <c r="M19" s="39" t="inlineStr">
        <is>
          <t>RETRIEVED</t>
        </is>
      </c>
    </row>
    <row r="20">
      <c r="A20" s="39" t="n">
        <v>16</v>
      </c>
      <c r="B20" s="39" t="inlineStr">
        <is>
          <t>Utah</t>
        </is>
      </c>
      <c r="C20" s="39" t="inlineStr">
        <is>
          <t>UT</t>
        </is>
      </c>
      <c r="D20" s="39" t="inlineStr">
        <is>
          <t>Mountain</t>
        </is>
      </c>
      <c r="E20" s="39" t="inlineStr">
        <is>
          <t>West</t>
        </is>
      </c>
      <c r="F20" s="30" t="n">
        <v>54.64965432033858</v>
      </c>
      <c r="G20" s="29" t="n">
        <v>831571</v>
      </c>
      <c r="H20" s="29" t="n">
        <v>1521640</v>
      </c>
      <c r="I20" s="30" t="n">
        <v>45.35034567966142</v>
      </c>
      <c r="J20" s="39" t="inlineStr">
        <is>
          <t>Yes</t>
        </is>
      </c>
      <c r="K20" s="39" t="inlineStr">
        <is>
          <t>Yes</t>
        </is>
      </c>
      <c r="L20" s="39" t="inlineStr">
        <is>
          <t>Comcast</t>
        </is>
      </c>
      <c r="M20" s="39" t="inlineStr">
        <is>
          <t>RETRIEVED</t>
        </is>
      </c>
    </row>
    <row r="21" ht="26" customHeight="1" s="34">
      <c r="A21" s="39" t="n">
        <v>17</v>
      </c>
      <c r="B21" s="39" t="inlineStr">
        <is>
          <t>Minnesota</t>
        </is>
      </c>
      <c r="C21" s="39" t="inlineStr">
        <is>
          <t>MN</t>
        </is>
      </c>
      <c r="D21" s="39" t="inlineStr">
        <is>
          <t>West North Central</t>
        </is>
      </c>
      <c r="E21" s="39" t="inlineStr">
        <is>
          <t>Midwest</t>
        </is>
      </c>
      <c r="F21" s="30" t="n">
        <v>54.15070766127409</v>
      </c>
      <c r="G21" s="29" t="n">
        <v>1479680</v>
      </c>
      <c r="H21" s="29" t="n">
        <v>2732522</v>
      </c>
      <c r="I21" s="30" t="n">
        <v>45.84929233872591</v>
      </c>
      <c r="J21" s="39" t="inlineStr">
        <is>
          <t>Yes</t>
        </is>
      </c>
      <c r="K21" s="39" t="inlineStr">
        <is>
          <t>Yes</t>
        </is>
      </c>
      <c r="L21" s="39" t="inlineStr">
        <is>
          <t>Comcast</t>
        </is>
      </c>
      <c r="M21" s="39" t="inlineStr">
        <is>
          <t>RETRIEVED</t>
        </is>
      </c>
    </row>
    <row r="22">
      <c r="A22" s="39" t="n">
        <v>18</v>
      </c>
      <c r="B22" s="39" t="inlineStr">
        <is>
          <t>Virginia</t>
        </is>
      </c>
      <c r="C22" s="39" t="inlineStr">
        <is>
          <t>VA</t>
        </is>
      </c>
      <c r="D22" s="39" t="inlineStr">
        <is>
          <t>South Atlantic</t>
        </is>
      </c>
      <c r="E22" s="39" t="inlineStr">
        <is>
          <t>South</t>
        </is>
      </c>
      <c r="F22" s="30" t="n">
        <v>54.13767726975676</v>
      </c>
      <c r="G22" s="29" t="n">
        <v>1892088</v>
      </c>
      <c r="H22" s="29" t="n">
        <v>3494956</v>
      </c>
      <c r="I22" s="30" t="n">
        <v>45.86232273024324</v>
      </c>
      <c r="J22" s="39" t="inlineStr">
        <is>
          <t>No</t>
        </is>
      </c>
      <c r="K22" s="39" t="inlineStr">
        <is>
          <t>Yes</t>
        </is>
      </c>
      <c r="L22" s="39" t="inlineStr">
        <is>
          <t>Comcast</t>
        </is>
      </c>
      <c r="M22" s="39" t="inlineStr">
        <is>
          <t>RETRIEVED</t>
        </is>
      </c>
    </row>
    <row r="23" ht="26" customHeight="1" s="34">
      <c r="A23" s="39" t="n">
        <v>19</v>
      </c>
      <c r="B23" s="39" t="inlineStr">
        <is>
          <t>Alabama</t>
        </is>
      </c>
      <c r="C23" s="39" t="inlineStr">
        <is>
          <t>AL</t>
        </is>
      </c>
      <c r="D23" s="39" t="inlineStr">
        <is>
          <t>East South Central</t>
        </is>
      </c>
      <c r="E23" s="39" t="inlineStr">
        <is>
          <t>South</t>
        </is>
      </c>
      <c r="F23" s="30" t="n">
        <v>54.04906570840156</v>
      </c>
      <c r="G23" s="29" t="n">
        <v>960807</v>
      </c>
      <c r="H23" s="29" t="n">
        <v>1777657</v>
      </c>
      <c r="I23" s="30" t="n">
        <v>45.95093429159844</v>
      </c>
      <c r="J23" s="39" t="inlineStr">
        <is>
          <t>No</t>
        </is>
      </c>
      <c r="K23" s="39" t="inlineStr">
        <is>
          <t>Yes</t>
        </is>
      </c>
      <c r="L23" s="39" t="inlineStr">
        <is>
          <t>Charter</t>
        </is>
      </c>
      <c r="M23" s="39" t="inlineStr">
        <is>
          <t>RETRIEVED</t>
        </is>
      </c>
    </row>
    <row r="24" ht="26" customHeight="1" s="34">
      <c r="A24" s="39" t="n">
        <v>20</v>
      </c>
      <c r="B24" s="39" t="inlineStr">
        <is>
          <t>Iowa</t>
        </is>
      </c>
      <c r="C24" s="39" t="inlineStr">
        <is>
          <t>IA</t>
        </is>
      </c>
      <c r="D24" s="39" t="inlineStr">
        <is>
          <t>West North Central</t>
        </is>
      </c>
      <c r="E24" s="39" t="inlineStr">
        <is>
          <t>Midwest</t>
        </is>
      </c>
      <c r="F24" s="30" t="n">
        <v>54.01013778412882</v>
      </c>
      <c r="G24" s="29" t="n">
        <v>748742</v>
      </c>
      <c r="H24" s="29" t="n">
        <v>1386299</v>
      </c>
      <c r="I24" s="30" t="n">
        <v>45.98986221587118</v>
      </c>
      <c r="J24" s="39" t="inlineStr">
        <is>
          <t>No</t>
        </is>
      </c>
      <c r="K24" s="39" t="inlineStr">
        <is>
          <t>Yes</t>
        </is>
      </c>
      <c r="L24" s="39" t="inlineStr">
        <is>
          <t>Neither</t>
        </is>
      </c>
      <c r="M24" s="39" t="inlineStr">
        <is>
          <t>RETRIEVED</t>
        </is>
      </c>
    </row>
    <row r="25" ht="26" customHeight="1" s="34">
      <c r="A25" s="39" t="n">
        <v>21</v>
      </c>
      <c r="B25" s="39" t="inlineStr">
        <is>
          <t>Arkansas</t>
        </is>
      </c>
      <c r="C25" s="39" t="inlineStr">
        <is>
          <t>AR</t>
        </is>
      </c>
      <c r="D25" s="39" t="inlineStr">
        <is>
          <t>West South Central</t>
        </is>
      </c>
      <c r="E25" s="39" t="inlineStr">
        <is>
          <t>South</t>
        </is>
      </c>
      <c r="F25" s="30" t="n">
        <v>53.94933538038867</v>
      </c>
      <c r="G25" s="29" t="n">
        <v>587532</v>
      </c>
      <c r="H25" s="29" t="n">
        <v>1089044</v>
      </c>
      <c r="I25" s="30" t="n">
        <v>46.05066461961133</v>
      </c>
      <c r="J25" s="39" t="inlineStr">
        <is>
          <t>No</t>
        </is>
      </c>
      <c r="K25" s="39" t="inlineStr">
        <is>
          <t>Yes</t>
        </is>
      </c>
      <c r="L25" s="39" t="inlineStr">
        <is>
          <t>Comcast</t>
        </is>
      </c>
      <c r="M25" s="39" t="inlineStr">
        <is>
          <t>RETRIEVED</t>
        </is>
      </c>
    </row>
    <row r="26">
      <c r="A26" s="39" t="n">
        <v>22</v>
      </c>
      <c r="B26" s="39" t="inlineStr">
        <is>
          <t>New York</t>
        </is>
      </c>
      <c r="C26" s="39" t="inlineStr">
        <is>
          <t>NY</t>
        </is>
      </c>
      <c r="D26" s="39" t="inlineStr">
        <is>
          <t>Middle Atlantic</t>
        </is>
      </c>
      <c r="E26" s="39" t="inlineStr">
        <is>
          <t>Northeast</t>
        </is>
      </c>
      <c r="F26" s="30" t="n">
        <v>53.35120411265969</v>
      </c>
      <c r="G26" s="29" t="n">
        <v>4497387</v>
      </c>
      <c r="H26" s="29" t="n">
        <v>8429776</v>
      </c>
      <c r="I26" s="30" t="n">
        <v>46.64879588734031</v>
      </c>
      <c r="J26" s="39" t="inlineStr">
        <is>
          <t>No</t>
        </is>
      </c>
      <c r="K26" s="39" t="inlineStr">
        <is>
          <t>Yes</t>
        </is>
      </c>
      <c r="L26" s="39" t="inlineStr">
        <is>
          <t>Charter</t>
        </is>
      </c>
      <c r="M26" s="39" t="inlineStr">
        <is>
          <t>RETRIEVED</t>
        </is>
      </c>
    </row>
    <row r="27" ht="26" customHeight="1" s="34">
      <c r="A27" s="39" t="n">
        <v>23</v>
      </c>
      <c r="B27" s="39" t="inlineStr">
        <is>
          <t>Mississippi</t>
        </is>
      </c>
      <c r="C27" s="39" t="inlineStr">
        <is>
          <t>MS</t>
        </is>
      </c>
      <c r="D27" s="39" t="inlineStr">
        <is>
          <t>East South Central</t>
        </is>
      </c>
      <c r="E27" s="39" t="inlineStr">
        <is>
          <t>South</t>
        </is>
      </c>
      <c r="F27" s="30" t="n">
        <v>52.9830189078744</v>
      </c>
      <c r="G27" s="29" t="n">
        <v>500467</v>
      </c>
      <c r="H27" s="29" t="n">
        <v>944580</v>
      </c>
      <c r="I27" s="30" t="n">
        <v>47.0169810921256</v>
      </c>
      <c r="J27" s="39" t="inlineStr">
        <is>
          <t>No</t>
        </is>
      </c>
      <c r="K27" s="39" t="inlineStr">
        <is>
          <t>Yes</t>
        </is>
      </c>
      <c r="L27" s="39" t="inlineStr">
        <is>
          <t>Comcast</t>
        </is>
      </c>
      <c r="M27" s="39" t="inlineStr">
        <is>
          <t>RETRIEVED</t>
        </is>
      </c>
    </row>
    <row r="28">
      <c r="A28" s="39" t="n">
        <v>24</v>
      </c>
      <c r="B28" s="39" t="inlineStr">
        <is>
          <t>California</t>
        </is>
      </c>
      <c r="C28" s="39" t="inlineStr">
        <is>
          <t>CA</t>
        </is>
      </c>
      <c r="D28" s="39" t="inlineStr">
        <is>
          <t>Pacific</t>
        </is>
      </c>
      <c r="E28" s="39" t="inlineStr">
        <is>
          <t>West</t>
        </is>
      </c>
      <c r="F28" s="30" t="n">
        <v>52.62300685360432</v>
      </c>
      <c r="G28" s="29" t="n">
        <v>8436752</v>
      </c>
      <c r="H28" s="29" t="n">
        <v>16032440</v>
      </c>
      <c r="I28" s="30" t="n">
        <v>47.37699314639568</v>
      </c>
      <c r="J28" s="39" t="inlineStr">
        <is>
          <t>No</t>
        </is>
      </c>
      <c r="K28" s="39" t="inlineStr">
        <is>
          <t>Yes</t>
        </is>
      </c>
      <c r="L28" s="39" t="inlineStr">
        <is>
          <t>Charter</t>
        </is>
      </c>
      <c r="M28" s="39" t="inlineStr">
        <is>
          <t>RETRIEVED</t>
        </is>
      </c>
    </row>
    <row r="29">
      <c r="A29" s="39" t="n">
        <v>25</v>
      </c>
      <c r="B29" s="39" t="inlineStr">
        <is>
          <t>West Virginia</t>
        </is>
      </c>
      <c r="C29" s="39" t="inlineStr">
        <is>
          <t>WV</t>
        </is>
      </c>
      <c r="D29" s="39" t="inlineStr">
        <is>
          <t>South Atlantic</t>
        </is>
      </c>
      <c r="E29" s="39" t="inlineStr">
        <is>
          <t>South</t>
        </is>
      </c>
      <c r="F29" s="30" t="n">
        <v>52.58165145762561</v>
      </c>
      <c r="G29" s="29" t="n">
        <v>284187</v>
      </c>
      <c r="H29" s="29" t="n">
        <v>540468</v>
      </c>
      <c r="I29" s="30" t="n">
        <v>47.41834854237439</v>
      </c>
      <c r="J29" s="39" t="inlineStr">
        <is>
          <t>No</t>
        </is>
      </c>
      <c r="K29" s="39" t="inlineStr">
        <is>
          <t>Yes</t>
        </is>
      </c>
      <c r="L29" s="39" t="inlineStr">
        <is>
          <t>Comcast</t>
        </is>
      </c>
      <c r="M29" s="39" t="inlineStr">
        <is>
          <t>RETRIEVED</t>
        </is>
      </c>
    </row>
    <row r="30" ht="26" customHeight="1" s="34">
      <c r="A30" s="39" t="n">
        <v>26</v>
      </c>
      <c r="B30" s="39" t="inlineStr">
        <is>
          <t>Nebraska</t>
        </is>
      </c>
      <c r="C30" s="39" t="inlineStr">
        <is>
          <t>NE</t>
        </is>
      </c>
      <c r="D30" s="39" t="inlineStr">
        <is>
          <t>West North Central</t>
        </is>
      </c>
      <c r="E30" s="39" t="inlineStr">
        <is>
          <t>Midwest</t>
        </is>
      </c>
      <c r="F30" s="30" t="n">
        <v>52.50199426998483</v>
      </c>
      <c r="G30" s="29" t="n">
        <v>467294</v>
      </c>
      <c r="H30" s="29" t="n">
        <v>890050</v>
      </c>
      <c r="I30" s="30" t="n">
        <v>47.49800573001517</v>
      </c>
      <c r="J30" s="39" t="inlineStr">
        <is>
          <t>No</t>
        </is>
      </c>
      <c r="K30" s="39" t="inlineStr">
        <is>
          <t>No</t>
        </is>
      </c>
      <c r="L30" s="39" t="inlineStr">
        <is>
          <t>Charter</t>
        </is>
      </c>
      <c r="M30" s="39" t="inlineStr">
        <is>
          <t>RETRIEVED</t>
        </is>
      </c>
    </row>
    <row r="31" ht="26" customHeight="1" s="34">
      <c r="A31" s="39" t="n">
        <v>27</v>
      </c>
      <c r="B31" s="39" t="inlineStr">
        <is>
          <t>Michigan</t>
        </is>
      </c>
      <c r="C31" s="39" t="inlineStr">
        <is>
          <t>MI</t>
        </is>
      </c>
      <c r="D31" s="39" t="inlineStr">
        <is>
          <t>East North Central</t>
        </is>
      </c>
      <c r="E31" s="39" t="inlineStr">
        <is>
          <t>Midwest</t>
        </is>
      </c>
      <c r="F31" s="30" t="n">
        <v>52.29226346483287</v>
      </c>
      <c r="G31" s="29" t="n">
        <v>2059832</v>
      </c>
      <c r="H31" s="29" t="n">
        <v>3939076</v>
      </c>
      <c r="I31" s="30" t="n">
        <v>47.70773653516713</v>
      </c>
      <c r="J31" s="39" t="inlineStr">
        <is>
          <t>No</t>
        </is>
      </c>
      <c r="K31" s="39" t="inlineStr">
        <is>
          <t>No</t>
        </is>
      </c>
      <c r="L31" s="39" t="inlineStr">
        <is>
          <t>Comcast</t>
        </is>
      </c>
      <c r="M31" s="39" t="inlineStr">
        <is>
          <t>RETRIEVED</t>
        </is>
      </c>
    </row>
    <row r="32">
      <c r="A32" s="39" t="n">
        <v>28</v>
      </c>
      <c r="B32" s="39" t="inlineStr">
        <is>
          <t>Maryland</t>
        </is>
      </c>
      <c r="C32" s="39" t="inlineStr">
        <is>
          <t>MD</t>
        </is>
      </c>
      <c r="D32" s="39" t="inlineStr">
        <is>
          <t>South Atlantic</t>
        </is>
      </c>
      <c r="E32" s="39" t="inlineStr">
        <is>
          <t>South</t>
        </is>
      </c>
      <c r="F32" s="30" t="n">
        <v>52.10135353935829</v>
      </c>
      <c r="G32" s="29" t="n">
        <v>1269450</v>
      </c>
      <c r="H32" s="29" t="n">
        <v>2436501</v>
      </c>
      <c r="I32" s="30" t="n">
        <v>47.89864646064171</v>
      </c>
      <c r="J32" s="39" t="inlineStr">
        <is>
          <t>No</t>
        </is>
      </c>
      <c r="K32" s="39" t="inlineStr">
        <is>
          <t>No</t>
        </is>
      </c>
      <c r="L32" s="39" t="inlineStr">
        <is>
          <t>Comcast</t>
        </is>
      </c>
      <c r="M32" s="39" t="inlineStr">
        <is>
          <t>RETRIEVED</t>
        </is>
      </c>
    </row>
    <row r="33" ht="26" customHeight="1" s="34">
      <c r="A33" s="39" t="n">
        <v>29</v>
      </c>
      <c r="B33" s="39" t="inlineStr">
        <is>
          <t>Wisconsin</t>
        </is>
      </c>
      <c r="C33" s="39" t="inlineStr">
        <is>
          <t>WI</t>
        </is>
      </c>
      <c r="D33" s="39" t="inlineStr">
        <is>
          <t>East North Central</t>
        </is>
      </c>
      <c r="E33" s="39" t="inlineStr">
        <is>
          <t>Midwest</t>
        </is>
      </c>
      <c r="F33" s="30" t="n">
        <v>52.0104003264235</v>
      </c>
      <c r="G33" s="29" t="n">
        <v>1352428</v>
      </c>
      <c r="H33" s="29" t="n">
        <v>2600303</v>
      </c>
      <c r="I33" s="30" t="n">
        <v>47.9895996735765</v>
      </c>
      <c r="J33" s="39" t="inlineStr">
        <is>
          <t>No</t>
        </is>
      </c>
      <c r="K33" s="39" t="inlineStr">
        <is>
          <t>No</t>
        </is>
      </c>
      <c r="L33" s="39" t="inlineStr">
        <is>
          <t>Charter</t>
        </is>
      </c>
      <c r="M33" s="39" t="inlineStr">
        <is>
          <t>RETRIEVED</t>
        </is>
      </c>
    </row>
    <row r="34">
      <c r="A34" s="39" t="n">
        <v>30</v>
      </c>
      <c r="B34" s="39" t="inlineStr">
        <is>
          <t>Connecticut</t>
        </is>
      </c>
      <c r="C34" s="39" t="inlineStr">
        <is>
          <t>CT</t>
        </is>
      </c>
      <c r="D34" s="39" t="inlineStr">
        <is>
          <t>New England</t>
        </is>
      </c>
      <c r="E34" s="39" t="inlineStr">
        <is>
          <t>Northeast</t>
        </is>
      </c>
      <c r="F34" s="30" t="n">
        <v>51.87056635340314</v>
      </c>
      <c r="G34" s="29" t="n">
        <v>782537</v>
      </c>
      <c r="H34" s="29" t="n">
        <v>1508634</v>
      </c>
      <c r="I34" s="30" t="n">
        <v>48.12943364659686</v>
      </c>
      <c r="J34" s="39" t="inlineStr">
        <is>
          <t>No</t>
        </is>
      </c>
      <c r="K34" s="39" t="inlineStr">
        <is>
          <t>No</t>
        </is>
      </c>
      <c r="L34" s="39" t="inlineStr">
        <is>
          <t>Comcast</t>
        </is>
      </c>
      <c r="M34" s="39" t="inlineStr">
        <is>
          <t>RETRIEVED</t>
        </is>
      </c>
    </row>
    <row r="35">
      <c r="A35" s="39" t="n">
        <v>31</v>
      </c>
      <c r="B35" s="39" t="inlineStr">
        <is>
          <t>Colorado</t>
        </is>
      </c>
      <c r="C35" s="39" t="inlineStr">
        <is>
          <t>CO</t>
        </is>
      </c>
      <c r="D35" s="39" t="inlineStr">
        <is>
          <t>Mountain</t>
        </is>
      </c>
      <c r="E35" s="39" t="inlineStr">
        <is>
          <t>West</t>
        </is>
      </c>
      <c r="F35" s="30" t="n">
        <v>51.36780810544592</v>
      </c>
      <c r="G35" s="29" t="n">
        <v>1274536</v>
      </c>
      <c r="H35" s="29" t="n">
        <v>2481196</v>
      </c>
      <c r="I35" s="30" t="n">
        <v>48.63219189455408</v>
      </c>
      <c r="J35" s="39" t="inlineStr">
        <is>
          <t>No</t>
        </is>
      </c>
      <c r="K35" s="39" t="inlineStr">
        <is>
          <t>No</t>
        </is>
      </c>
      <c r="L35" s="39" t="inlineStr">
        <is>
          <t>Comcast</t>
        </is>
      </c>
      <c r="M35" s="39" t="inlineStr">
        <is>
          <t>RETRIEVED</t>
        </is>
      </c>
    </row>
    <row r="36">
      <c r="A36" s="39" t="n">
        <v>32</v>
      </c>
      <c r="B36" s="39" t="inlineStr">
        <is>
          <t>Washington</t>
        </is>
      </c>
      <c r="C36" s="39" t="inlineStr">
        <is>
          <t>WA</t>
        </is>
      </c>
      <c r="D36" s="39" t="inlineStr">
        <is>
          <t>Pacific</t>
        </is>
      </c>
      <c r="E36" s="39" t="inlineStr">
        <is>
          <t>West</t>
        </is>
      </c>
      <c r="F36" s="30" t="n">
        <v>51.25983916203899</v>
      </c>
      <c r="G36" s="29" t="n">
        <v>1526660</v>
      </c>
      <c r="H36" s="29" t="n">
        <v>2978277</v>
      </c>
      <c r="I36" s="30" t="n">
        <v>48.74016083796101</v>
      </c>
      <c r="J36" s="39" t="inlineStr">
        <is>
          <t>No</t>
        </is>
      </c>
      <c r="K36" s="39" t="inlineStr">
        <is>
          <t>No</t>
        </is>
      </c>
      <c r="L36" s="39" t="inlineStr">
        <is>
          <t>Comcast</t>
        </is>
      </c>
      <c r="M36" s="39" t="inlineStr">
        <is>
          <t>RETRIEVED</t>
        </is>
      </c>
    </row>
    <row r="37">
      <c r="A37" s="39" t="n">
        <v>33</v>
      </c>
      <c r="B37" s="39" t="inlineStr">
        <is>
          <t>New Jersey</t>
        </is>
      </c>
      <c r="C37" s="39" t="inlineStr">
        <is>
          <t>NJ</t>
        </is>
      </c>
      <c r="D37" s="39" t="inlineStr">
        <is>
          <t>Middle Atlantic</t>
        </is>
      </c>
      <c r="E37" s="39" t="inlineStr">
        <is>
          <t>Northeast</t>
        </is>
      </c>
      <c r="F37" s="30" t="n">
        <v>51.20203413900719</v>
      </c>
      <c r="G37" s="29" t="n">
        <v>1952693</v>
      </c>
      <c r="H37" s="29" t="n">
        <v>3813702</v>
      </c>
      <c r="I37" s="30" t="n">
        <v>48.79796586099281</v>
      </c>
      <c r="J37" s="39" t="inlineStr">
        <is>
          <t>No</t>
        </is>
      </c>
      <c r="K37" s="39" t="inlineStr">
        <is>
          <t>No</t>
        </is>
      </c>
      <c r="L37" s="39" t="inlineStr">
        <is>
          <t>Comcast</t>
        </is>
      </c>
      <c r="M37" s="39" t="inlineStr">
        <is>
          <t>RETRIEVED</t>
        </is>
      </c>
    </row>
    <row r="38" ht="26" customHeight="1" s="34">
      <c r="A38" s="39" t="n">
        <v>34</v>
      </c>
      <c r="B38" s="39" t="inlineStr">
        <is>
          <t>Kansas</t>
        </is>
      </c>
      <c r="C38" s="39" t="inlineStr">
        <is>
          <t>KS</t>
        </is>
      </c>
      <c r="D38" s="39" t="inlineStr">
        <is>
          <t>West North Central</t>
        </is>
      </c>
      <c r="E38" s="39" t="inlineStr">
        <is>
          <t>Midwest</t>
        </is>
      </c>
      <c r="F38" s="30" t="n">
        <v>51.10036303328675</v>
      </c>
      <c r="G38" s="29" t="n">
        <v>626098</v>
      </c>
      <c r="H38" s="29" t="n">
        <v>1225232</v>
      </c>
      <c r="I38" s="30" t="n">
        <v>48.89963696671325</v>
      </c>
      <c r="J38" s="39" t="inlineStr">
        <is>
          <t>No</t>
        </is>
      </c>
      <c r="K38" s="39" t="inlineStr">
        <is>
          <t>No</t>
        </is>
      </c>
      <c r="L38" s="39" t="inlineStr">
        <is>
          <t>Charter</t>
        </is>
      </c>
      <c r="M38" s="39" t="inlineStr">
        <is>
          <t>RETRIEVED</t>
        </is>
      </c>
    </row>
    <row r="39" ht="26" customHeight="1" s="34">
      <c r="A39" s="39" t="n">
        <v>35</v>
      </c>
      <c r="B39" s="39" t="inlineStr">
        <is>
          <t>District of Columbia</t>
        </is>
      </c>
      <c r="C39" s="39" t="inlineStr">
        <is>
          <t>DC</t>
        </is>
      </c>
      <c r="D39" s="39" t="inlineStr">
        <is>
          <t>South Atlantic</t>
        </is>
      </c>
      <c r="E39" s="39" t="inlineStr">
        <is>
          <t>South</t>
        </is>
      </c>
      <c r="F39" s="30" t="n">
        <v>50.85265143973225</v>
      </c>
      <c r="G39" s="29" t="n">
        <v>268174</v>
      </c>
      <c r="H39" s="29" t="n">
        <v>527355</v>
      </c>
      <c r="I39" s="30" t="n">
        <v>49.14734856026775</v>
      </c>
      <c r="J39" s="39" t="inlineStr">
        <is>
          <t>No</t>
        </is>
      </c>
      <c r="K39" s="39" t="inlineStr">
        <is>
          <t>No</t>
        </is>
      </c>
      <c r="L39" s="39" t="inlineStr">
        <is>
          <t>Comcast</t>
        </is>
      </c>
      <c r="M39" s="39" t="inlineStr">
        <is>
          <t>RETRIEVED</t>
        </is>
      </c>
    </row>
    <row r="40">
      <c r="A40" s="39" t="n">
        <v>36</v>
      </c>
      <c r="B40" s="39" t="inlineStr">
        <is>
          <t>Hawaii</t>
        </is>
      </c>
      <c r="C40" s="39" t="inlineStr">
        <is>
          <t>HI</t>
        </is>
      </c>
      <c r="D40" s="39" t="inlineStr">
        <is>
          <t>Pacific</t>
        </is>
      </c>
      <c r="E40" s="39" t="inlineStr">
        <is>
          <t>West</t>
        </is>
      </c>
      <c r="F40" s="30" t="n">
        <v>50.42156920711879</v>
      </c>
      <c r="G40" s="29" t="n">
        <v>255834</v>
      </c>
      <c r="H40" s="29" t="n">
        <v>507390</v>
      </c>
      <c r="I40" s="30" t="n">
        <v>49.57843079288121</v>
      </c>
      <c r="J40" s="39" t="inlineStr">
        <is>
          <t>No</t>
        </is>
      </c>
      <c r="K40" s="39" t="inlineStr">
        <is>
          <t>No</t>
        </is>
      </c>
      <c r="L40" s="39" t="inlineStr">
        <is>
          <t>Charter</t>
        </is>
      </c>
      <c r="M40" s="39" t="inlineStr">
        <is>
          <t>RETRIEVED</t>
        </is>
      </c>
    </row>
    <row r="41" ht="26" customHeight="1" s="34">
      <c r="A41" s="39" t="n">
        <v>37</v>
      </c>
      <c r="B41" s="39" t="inlineStr">
        <is>
          <t>New Hampshire</t>
        </is>
      </c>
      <c r="C41" s="39" t="inlineStr">
        <is>
          <t>NH</t>
        </is>
      </c>
      <c r="D41" s="39" t="inlineStr">
        <is>
          <t>New England</t>
        </is>
      </c>
      <c r="E41" s="39" t="inlineStr">
        <is>
          <t>Northeast</t>
        </is>
      </c>
      <c r="F41" s="30" t="n">
        <v>49.7081669372888</v>
      </c>
      <c r="G41" s="29" t="n">
        <v>305829</v>
      </c>
      <c r="H41" s="29" t="n">
        <v>615249</v>
      </c>
      <c r="I41" s="30" t="n">
        <v>50.2918330627112</v>
      </c>
      <c r="J41" s="39" t="inlineStr">
        <is>
          <t>No</t>
        </is>
      </c>
      <c r="K41" s="39" t="inlineStr">
        <is>
          <t>No</t>
        </is>
      </c>
      <c r="L41" s="39" t="inlineStr">
        <is>
          <t>Comcast</t>
        </is>
      </c>
      <c r="M41" s="39" t="inlineStr">
        <is>
          <t>RETRIEVED</t>
        </is>
      </c>
    </row>
    <row r="42">
      <c r="A42" s="39" t="n">
        <v>38</v>
      </c>
      <c r="B42" s="39" t="inlineStr">
        <is>
          <t>Delaware</t>
        </is>
      </c>
      <c r="C42" s="39" t="inlineStr">
        <is>
          <t>DE</t>
        </is>
      </c>
      <c r="D42" s="39" t="inlineStr">
        <is>
          <t>South Atlantic</t>
        </is>
      </c>
      <c r="E42" s="39" t="inlineStr">
        <is>
          <t>South</t>
        </is>
      </c>
      <c r="F42" s="30" t="n">
        <v>49.43731248659567</v>
      </c>
      <c r="G42" s="29" t="n">
        <v>209764</v>
      </c>
      <c r="H42" s="29" t="n">
        <v>424303</v>
      </c>
      <c r="I42" s="30" t="n">
        <v>50.56268751340433</v>
      </c>
      <c r="J42" s="39" t="inlineStr">
        <is>
          <t>No</t>
        </is>
      </c>
      <c r="K42" s="39" t="inlineStr">
        <is>
          <t>No</t>
        </is>
      </c>
      <c r="L42" s="39" t="inlineStr">
        <is>
          <t>Comcast</t>
        </is>
      </c>
      <c r="M42" s="39" t="inlineStr">
        <is>
          <t>RETRIEVED</t>
        </is>
      </c>
    </row>
    <row r="43" ht="26" customHeight="1" s="34">
      <c r="A43" s="39" t="n">
        <v>39</v>
      </c>
      <c r="B43" s="39" t="inlineStr">
        <is>
          <t>Oklahoma</t>
        </is>
      </c>
      <c r="C43" s="39" t="inlineStr">
        <is>
          <t>OK</t>
        </is>
      </c>
      <c r="D43" s="39" t="inlineStr">
        <is>
          <t>West South Central</t>
        </is>
      </c>
      <c r="E43" s="39" t="inlineStr">
        <is>
          <t>South</t>
        </is>
      </c>
      <c r="F43" s="30" t="n">
        <v>49.16057039788043</v>
      </c>
      <c r="G43" s="29" t="n">
        <v>683562</v>
      </c>
      <c r="H43" s="29" t="n">
        <v>1390468</v>
      </c>
      <c r="I43" s="30" t="n">
        <v>50.83942960211957</v>
      </c>
      <c r="J43" s="39" t="inlineStr">
        <is>
          <t>No</t>
        </is>
      </c>
      <c r="K43" s="39" t="inlineStr">
        <is>
          <t>No</t>
        </is>
      </c>
      <c r="L43" s="39" t="inlineStr">
        <is>
          <t>Neither</t>
        </is>
      </c>
      <c r="M43" s="39" t="inlineStr">
        <is>
          <t>RETRIEVED</t>
        </is>
      </c>
    </row>
    <row r="44">
      <c r="A44" s="39" t="n">
        <v>40</v>
      </c>
      <c r="B44" s="39" t="inlineStr">
        <is>
          <t>Rhode Island</t>
        </is>
      </c>
      <c r="C44" s="39" t="inlineStr">
        <is>
          <t>RI</t>
        </is>
      </c>
      <c r="D44" s="39" t="inlineStr">
        <is>
          <t>New England</t>
        </is>
      </c>
      <c r="E44" s="39" t="inlineStr">
        <is>
          <t>Northeast</t>
        </is>
      </c>
      <c r="F44" s="30" t="n">
        <v>48.86804959216074</v>
      </c>
      <c r="G44" s="29" t="n">
        <v>214541</v>
      </c>
      <c r="H44" s="29" t="n">
        <v>439021</v>
      </c>
      <c r="I44" s="30" t="n">
        <v>51.13195040783926</v>
      </c>
      <c r="J44" s="39" t="inlineStr">
        <is>
          <t>No</t>
        </is>
      </c>
      <c r="K44" s="39" t="inlineStr">
        <is>
          <t>No</t>
        </is>
      </c>
      <c r="L44" s="39" t="inlineStr">
        <is>
          <t>Comcast</t>
        </is>
      </c>
      <c r="M44" s="39" t="inlineStr">
        <is>
          <t>RETRIEVED</t>
        </is>
      </c>
    </row>
    <row r="45">
      <c r="A45" s="39" t="n">
        <v>41</v>
      </c>
      <c r="B45" s="39" t="inlineStr">
        <is>
          <t>New Mexico</t>
        </is>
      </c>
      <c r="C45" s="39" t="inlineStr">
        <is>
          <t>NM</t>
        </is>
      </c>
      <c r="D45" s="39" t="inlineStr">
        <is>
          <t>Mountain</t>
        </is>
      </c>
      <c r="E45" s="39" t="inlineStr">
        <is>
          <t>West</t>
        </is>
      </c>
      <c r="F45" s="30" t="n">
        <v>46.69122133940837</v>
      </c>
      <c r="G45" s="29" t="n">
        <v>298412</v>
      </c>
      <c r="H45" s="29" t="n">
        <v>639118</v>
      </c>
      <c r="I45" s="30" t="n">
        <v>53.30877866059163</v>
      </c>
      <c r="J45" s="39" t="inlineStr">
        <is>
          <t>No</t>
        </is>
      </c>
      <c r="K45" s="39" t="inlineStr">
        <is>
          <t>No</t>
        </is>
      </c>
      <c r="L45" s="39" t="inlineStr">
        <is>
          <t>Comcast</t>
        </is>
      </c>
      <c r="M45" s="39" t="inlineStr">
        <is>
          <t>RETRIEVED</t>
        </is>
      </c>
    </row>
    <row r="46">
      <c r="A46" s="39" t="n">
        <v>42</v>
      </c>
      <c r="B46" s="39" t="inlineStr">
        <is>
          <t>Oregon</t>
        </is>
      </c>
      <c r="C46" s="39" t="inlineStr">
        <is>
          <t>OR</t>
        </is>
      </c>
      <c r="D46" s="39" t="inlineStr">
        <is>
          <t>Pacific</t>
        </is>
      </c>
      <c r="E46" s="39" t="inlineStr">
        <is>
          <t>West</t>
        </is>
      </c>
      <c r="F46" s="30" t="n">
        <v>46.63278149946665</v>
      </c>
      <c r="G46" s="29" t="n">
        <v>777278</v>
      </c>
      <c r="H46" s="29" t="n">
        <v>1666806</v>
      </c>
      <c r="I46" s="30" t="n">
        <v>53.36721850053335</v>
      </c>
      <c r="J46" s="39" t="inlineStr">
        <is>
          <t>No</t>
        </is>
      </c>
      <c r="K46" s="39" t="inlineStr">
        <is>
          <t>No</t>
        </is>
      </c>
      <c r="L46" s="39" t="inlineStr">
        <is>
          <t>Comcast</t>
        </is>
      </c>
      <c r="M46" s="39" t="inlineStr">
        <is>
          <t>RETRIEVED</t>
        </is>
      </c>
    </row>
    <row r="47" ht="26" customHeight="1" s="34">
      <c r="A47" s="39" t="n">
        <v>43</v>
      </c>
      <c r="B47" s="39" t="inlineStr">
        <is>
          <t>Louisiana</t>
        </is>
      </c>
      <c r="C47" s="39" t="inlineStr">
        <is>
          <t>LA</t>
        </is>
      </c>
      <c r="D47" s="39" t="inlineStr">
        <is>
          <t>West South Central</t>
        </is>
      </c>
      <c r="E47" s="39" t="inlineStr">
        <is>
          <t>South</t>
        </is>
      </c>
      <c r="F47" s="30" t="n">
        <v>45.89954234578805</v>
      </c>
      <c r="G47" s="29" t="n">
        <v>754605</v>
      </c>
      <c r="H47" s="29" t="n">
        <v>1644036</v>
      </c>
      <c r="I47" s="30" t="n">
        <v>54.10045765421195</v>
      </c>
      <c r="J47" s="39" t="inlineStr">
        <is>
          <t>No</t>
        </is>
      </c>
      <c r="K47" s="39" t="inlineStr">
        <is>
          <t>No</t>
        </is>
      </c>
      <c r="L47" s="39" t="inlineStr">
        <is>
          <t>Charter</t>
        </is>
      </c>
      <c r="M47" s="39" t="inlineStr">
        <is>
          <t>RETRIEVED</t>
        </is>
      </c>
    </row>
    <row r="48">
      <c r="A48" s="39" t="n">
        <v>44</v>
      </c>
      <c r="B48" s="39" t="inlineStr">
        <is>
          <t>Alaska</t>
        </is>
      </c>
      <c r="C48" s="39" t="inlineStr">
        <is>
          <t>AK</t>
        </is>
      </c>
      <c r="D48" s="39" t="inlineStr">
        <is>
          <t>Pacific</t>
        </is>
      </c>
      <c r="E48" s="39" t="inlineStr">
        <is>
          <t>West</t>
        </is>
      </c>
      <c r="F48" s="30" t="n">
        <v>45.804040984689</v>
      </c>
      <c r="G48" s="29" t="n">
        <v>117928</v>
      </c>
      <c r="H48" s="29" t="n">
        <v>257462</v>
      </c>
      <c r="I48" s="30" t="n">
        <v>54.195959015311</v>
      </c>
      <c r="J48" s="39" t="inlineStr">
        <is>
          <t>No</t>
        </is>
      </c>
      <c r="K48" s="39" t="inlineStr">
        <is>
          <t>No</t>
        </is>
      </c>
      <c r="L48" s="39" t="inlineStr">
        <is>
          <t>Neither</t>
        </is>
      </c>
      <c r="M48" s="39" t="inlineStr">
        <is>
          <t>RETRIEVED</t>
        </is>
      </c>
    </row>
    <row r="49">
      <c r="A49" s="39" t="n">
        <v>45</v>
      </c>
      <c r="B49" s="39" t="inlineStr">
        <is>
          <t>Maine</t>
        </is>
      </c>
      <c r="C49" s="39" t="inlineStr">
        <is>
          <t>ME</t>
        </is>
      </c>
      <c r="D49" s="39" t="inlineStr">
        <is>
          <t>New England</t>
        </is>
      </c>
      <c r="E49" s="39" t="inlineStr">
        <is>
          <t>Northeast</t>
        </is>
      </c>
      <c r="F49" s="30" t="n">
        <v>45.50924597346718</v>
      </c>
      <c r="G49" s="29" t="n">
        <v>242633</v>
      </c>
      <c r="H49" s="29" t="n">
        <v>533151</v>
      </c>
      <c r="I49" s="30" t="n">
        <v>54.49075402653282</v>
      </c>
      <c r="J49" s="39" t="inlineStr">
        <is>
          <t>No</t>
        </is>
      </c>
      <c r="K49" s="39" t="inlineStr">
        <is>
          <t>No</t>
        </is>
      </c>
      <c r="L49" s="39" t="inlineStr">
        <is>
          <t>Charter</t>
        </is>
      </c>
      <c r="M49" s="39" t="inlineStr">
        <is>
          <t>RETRIEVED</t>
        </is>
      </c>
    </row>
    <row r="50">
      <c r="A50" s="39" t="n">
        <v>46</v>
      </c>
      <c r="B50" s="39" t="inlineStr">
        <is>
          <t>Idaho</t>
        </is>
      </c>
      <c r="C50" s="39" t="inlineStr">
        <is>
          <t>ID</t>
        </is>
      </c>
      <c r="D50" s="39" t="inlineStr">
        <is>
          <t>Mountain</t>
        </is>
      </c>
      <c r="E50" s="39" t="inlineStr">
        <is>
          <t>West</t>
        </is>
      </c>
      <c r="F50" s="30" t="n">
        <v>44.01331807786957</v>
      </c>
      <c r="G50" s="29" t="n">
        <v>303511</v>
      </c>
      <c r="H50" s="29" t="n">
        <v>689589</v>
      </c>
      <c r="I50" s="30" t="n">
        <v>55.98668192213043</v>
      </c>
      <c r="J50" s="39" t="inlineStr">
        <is>
          <t>No</t>
        </is>
      </c>
      <c r="K50" s="39" t="inlineStr">
        <is>
          <t>No</t>
        </is>
      </c>
      <c r="L50" s="39" t="inlineStr">
        <is>
          <t>Charter</t>
        </is>
      </c>
      <c r="M50" s="39" t="inlineStr">
        <is>
          <t>RETRIEVED</t>
        </is>
      </c>
    </row>
    <row r="51" ht="26" customHeight="1" s="34">
      <c r="A51" s="39" t="n">
        <v>47</v>
      </c>
      <c r="B51" s="39" t="inlineStr">
        <is>
          <t>North Dakota</t>
        </is>
      </c>
      <c r="C51" s="39" t="inlineStr">
        <is>
          <t>ND</t>
        </is>
      </c>
      <c r="D51" s="39" t="inlineStr">
        <is>
          <t>West North Central</t>
        </is>
      </c>
      <c r="E51" s="39" t="inlineStr">
        <is>
          <t>Midwest</t>
        </is>
      </c>
      <c r="F51" s="30" t="n">
        <v>42.39378404825541</v>
      </c>
      <c r="G51" s="29" t="n">
        <v>145133</v>
      </c>
      <c r="H51" s="29" t="n">
        <v>342345</v>
      </c>
      <c r="I51" s="30" t="n">
        <v>57.60621595174459</v>
      </c>
      <c r="J51" s="39" t="inlineStr">
        <is>
          <t>No</t>
        </is>
      </c>
      <c r="K51" s="39" t="inlineStr">
        <is>
          <t>No</t>
        </is>
      </c>
      <c r="L51" s="39" t="inlineStr">
        <is>
          <t>Neither</t>
        </is>
      </c>
      <c r="M51" s="39" t="inlineStr">
        <is>
          <t>RETRIEVED</t>
        </is>
      </c>
    </row>
    <row r="52" ht="26" customHeight="1" s="34">
      <c r="A52" s="39" t="n">
        <v>48</v>
      </c>
      <c r="B52" s="39" t="inlineStr">
        <is>
          <t>South Dakota</t>
        </is>
      </c>
      <c r="C52" s="39" t="inlineStr">
        <is>
          <t>SD</t>
        </is>
      </c>
      <c r="D52" s="39" t="inlineStr">
        <is>
          <t>West North Central</t>
        </is>
      </c>
      <c r="E52" s="39" t="inlineStr">
        <is>
          <t>Midwest</t>
        </is>
      </c>
      <c r="F52" s="30" t="n">
        <v>42.03625392189117</v>
      </c>
      <c r="G52" s="29" t="n">
        <v>157158</v>
      </c>
      <c r="H52" s="29" t="n">
        <v>373863</v>
      </c>
      <c r="I52" s="30" t="n">
        <v>57.96374607810883</v>
      </c>
      <c r="J52" s="39" t="inlineStr">
        <is>
          <t>No</t>
        </is>
      </c>
      <c r="K52" s="39" t="inlineStr">
        <is>
          <t>No</t>
        </is>
      </c>
      <c r="L52" s="39" t="inlineStr">
        <is>
          <t>Neither</t>
        </is>
      </c>
      <c r="M52" s="39" t="inlineStr">
        <is>
          <t>RETRIEVED</t>
        </is>
      </c>
    </row>
    <row r="53">
      <c r="A53" s="39" t="n">
        <v>49</v>
      </c>
      <c r="B53" s="39" t="inlineStr">
        <is>
          <t>Vermont</t>
        </is>
      </c>
      <c r="C53" s="39" t="inlineStr">
        <is>
          <t>VT</t>
        </is>
      </c>
      <c r="D53" s="39" t="inlineStr">
        <is>
          <t>New England</t>
        </is>
      </c>
      <c r="E53" s="39" t="inlineStr">
        <is>
          <t>Northeast</t>
        </is>
      </c>
      <c r="F53" s="30" t="n">
        <v>37.92652207913672</v>
      </c>
      <c r="G53" s="29" t="n">
        <v>96512</v>
      </c>
      <c r="H53" s="29" t="n">
        <v>254471</v>
      </c>
      <c r="I53" s="30" t="n">
        <v>62.07347792086328</v>
      </c>
      <c r="J53" s="39" t="inlineStr">
        <is>
          <t>No</t>
        </is>
      </c>
      <c r="K53" s="39" t="inlineStr">
        <is>
          <t>No</t>
        </is>
      </c>
      <c r="L53" s="39" t="inlineStr">
        <is>
          <t>Comcast</t>
        </is>
      </c>
      <c r="M53" s="39" t="inlineStr">
        <is>
          <t>RETRIEVED</t>
        </is>
      </c>
    </row>
    <row r="54">
      <c r="A54" s="39" t="n">
        <v>50</v>
      </c>
      <c r="B54" s="39" t="inlineStr">
        <is>
          <t>Wyoming</t>
        </is>
      </c>
      <c r="C54" s="39" t="inlineStr">
        <is>
          <t>WY</t>
        </is>
      </c>
      <c r="D54" s="39" t="inlineStr">
        <is>
          <t>Mountain</t>
        </is>
      </c>
      <c r="E54" s="39" t="inlineStr">
        <is>
          <t>West</t>
        </is>
      </c>
      <c r="F54" s="30" t="n">
        <v>34.79790793369996</v>
      </c>
      <c r="G54" s="29" t="n">
        <v>72388</v>
      </c>
      <c r="H54" s="29" t="n">
        <v>208024</v>
      </c>
      <c r="I54" s="30" t="n">
        <v>65.20209206630004</v>
      </c>
      <c r="J54" s="39" t="inlineStr">
        <is>
          <t>No</t>
        </is>
      </c>
      <c r="K54" s="39" t="inlineStr">
        <is>
          <t>No</t>
        </is>
      </c>
      <c r="L54" s="39" t="inlineStr">
        <is>
          <t>Charter</t>
        </is>
      </c>
      <c r="M54" s="39" t="inlineStr">
        <is>
          <t>RETRIEVED</t>
        </is>
      </c>
    </row>
    <row r="55">
      <c r="A55" s="39" t="n">
        <v>51</v>
      </c>
      <c r="B55" s="39" t="inlineStr">
        <is>
          <t>Montana</t>
        </is>
      </c>
      <c r="C55" s="39" t="inlineStr">
        <is>
          <t>MT</t>
        </is>
      </c>
      <c r="D55" s="39" t="inlineStr">
        <is>
          <t>Mountain</t>
        </is>
      </c>
      <c r="E55" s="39" t="inlineStr">
        <is>
          <t>West</t>
        </is>
      </c>
      <c r="F55" s="30" t="n">
        <v>33.67103650052272</v>
      </c>
      <c r="G55" s="29" t="n">
        <v>134304</v>
      </c>
      <c r="H55" s="29" t="n">
        <v>398871</v>
      </c>
      <c r="I55" s="30" t="n">
        <v>66.32896349947727</v>
      </c>
      <c r="J55" s="39" t="inlineStr">
        <is>
          <t>No</t>
        </is>
      </c>
      <c r="K55" s="39" t="inlineStr">
        <is>
          <t>No</t>
        </is>
      </c>
      <c r="L55" s="39" t="inlineStr">
        <is>
          <t>Charter</t>
        </is>
      </c>
      <c r="M55" s="39" t="inlineStr">
        <is>
          <t>RETRIEVED</t>
        </is>
      </c>
    </row>
    <row r="57" ht="32" customHeight="1" s="34">
      <c r="A57" s="33" t="inlineStr">
        <is>
          <t>51-state+DC SUSB employment total = 135,748,407; 500+ = 73,497,851; share = 54.142699%. Matches the published US all-industry figure in the source analysis when the US row is used separately (US row includes the same 51).</t>
        </is>
      </c>
    </row>
    <row r="58" ht="32" customHeight="1" s="34">
      <c r="A58" s="33" t="inlineStr">
        <is>
          <t>Unweighted median of 51 state 500+ shares = 52.501994%. Used only for the HYPOTHESIS flag. Division averages are employment-weighted.</t>
        </is>
      </c>
    </row>
  </sheetData>
  <autoFilter ref="A4:M55"/>
  <mergeCells count="4">
    <mergeCell ref="A57:H57"/>
    <mergeCell ref="A2:L2"/>
    <mergeCell ref="A1:L1"/>
    <mergeCell ref="A58:H58"/>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54"/>
  <sheetViews>
    <sheetView tabSelected="1" zoomScale="55" zoomScaleNormal="55" workbookViewId="0">
      <pane ySplit="1" topLeftCell="A2" activePane="bottomLeft" state="frozen"/>
      <selection pane="bottomLeft" activeCell="X43" sqref="X43"/>
    </sheetView>
  </sheetViews>
  <sheetFormatPr baseColWidth="8" defaultRowHeight="14.5"/>
  <cols>
    <col width="22.90625" bestFit="1" customWidth="1" style="42" min="1" max="1"/>
    <col width="13.36328125" customWidth="1" style="42" min="2" max="2"/>
    <col width="14.08984375" customWidth="1" style="42" min="3" max="3"/>
    <col width="21.1796875" customWidth="1" style="42" min="4" max="4"/>
    <col width="18.08984375" customWidth="1" style="42" min="5" max="5"/>
    <col width="27" customWidth="1" style="42" min="6" max="6"/>
    <col width="26.90625" customWidth="1" style="42" min="7" max="7"/>
    <col width="18.453125" customWidth="1" style="42" min="8" max="8"/>
    <col width="16.54296875" customWidth="1" style="42" min="9" max="9"/>
    <col width="16.6328125" customWidth="1" style="42" min="10" max="10"/>
    <col width="8.7265625" customWidth="1" style="42" min="11" max="16384"/>
  </cols>
  <sheetData>
    <row r="1" ht="32" customHeight="1" s="34">
      <c r="A1" s="52" t="inlineStr">
        <is>
          <t>State</t>
        </is>
      </c>
      <c r="B1" s="53" t="inlineStr">
        <is>
          <t>Charter Units</t>
        </is>
      </c>
      <c r="C1" s="53" t="inlineStr">
        <is>
          <t>Comcast Units</t>
        </is>
      </c>
      <c r="D1" s="53" t="inlineStr">
        <is>
          <t>Total Residential Units</t>
        </is>
      </c>
      <c r="E1" s="53" t="inlineStr">
        <is>
          <t>WFH Workers</t>
        </is>
      </c>
      <c r="F1" s="53" t="inlineStr">
        <is>
          <t>Large Firm Employment Workers</t>
        </is>
      </c>
      <c r="G1" s="53" t="inlineStr">
        <is>
          <t>All Firm Employment Workers</t>
        </is>
      </c>
      <c r="H1" s="53" t="inlineStr">
        <is>
          <t>Percentage Charter</t>
        </is>
      </c>
      <c r="I1" s="53" t="inlineStr">
        <is>
          <t>Percentage WFH</t>
        </is>
      </c>
      <c r="J1" s="54" t="inlineStr">
        <is>
          <t>Percentage Large</t>
        </is>
      </c>
    </row>
    <row r="2" ht="18" customHeight="1" s="34">
      <c r="A2" s="46" t="inlineStr">
        <is>
          <t>Alabama</t>
        </is>
      </c>
      <c r="B2" s="43">
        <f>IFERROR(IF(ISBLANK(INDEX('Dens-A-CvC'!$A$5:$P$55,MATCH($A2,'Dens-A-CvC'!$B$5:$B$55,0),MATCH("charter_est_units",'Dens-A-CvC'!$A$4:$P$4,0))),"",INDEX('Dens-A-CvC'!$A$5:$P$55,MATCH($A2,'Dens-A-CvC'!$B$5:$B$55,0),MATCH("charter_est_units",'Dens-A-CvC'!$A$4:$P$4,0))),"")</f>
        <v/>
      </c>
      <c r="C2" s="43">
        <f>IFERROR(IF(ISBLANK(INDEX('Dens-A-CvC'!$A$5:$P$55,MATCH($A2,'Dens-A-CvC'!$B$5:$B$55,0),MATCH("comcast_est_units",'Dens-A-CvC'!$A$4:$P$4,0))),"",INDEX('Dens-A-CvC'!$A$5:$P$55,MATCH($A2,'Dens-A-CvC'!$B$5:$B$55,0),MATCH("comcast_est_units",'Dens-A-CvC'!$A$4:$P$4,0))),"")</f>
        <v/>
      </c>
      <c r="D2" s="43">
        <f>IFERROR(IF(ISBLANK(INDEX('Dens-A-CvC'!$A$5:$P$55,MATCH($A2,'Dens-A-CvC'!$B$5:$B$55,0),MATCH("total_residential_units",'Dens-A-CvC'!$A$4:$P$4,0))),"",INDEX('Dens-A-CvC'!$A$5:$P$55,MATCH($A2,'Dens-A-CvC'!$B$5:$B$55,0),MATCH("total_residential_units",'Dens-A-CvC'!$A$4:$P$4,0))),"")</f>
        <v/>
      </c>
      <c r="E2" s="43">
        <f>IFERROR(IF(ISBLANK(INDEX('Dens-B-WFH'!$A$5:$L$55,MATCH($A2,'Dens-B-WFH'!$B$5:$B$55,0),MATCH("acs_worked_from_home",'Dens-B-WFH'!$A$4:$L$4,0))),"",INDEX('Dens-B-WFH'!$A$5:$L$55,MATCH($A2,'Dens-B-WFH'!$B$5:$B$55,0),MATCH("acs_worked_from_home",'Dens-B-WFH'!$A$4:$L$4,0))),"")</f>
        <v/>
      </c>
      <c r="F2" s="43">
        <f>IFERROR(IF(ISBLANK(INDEX('Dens-C-Large'!$A$5:$M$55,MATCH($A2,'Dens-C-Large'!$B$5:$B$55,0),MATCH("susb_employment_ge500",'Dens-C-Large'!$A$4:$M$4,0))),"",INDEX('Dens-C-Large'!$A$5:$M$55,MATCH($A2,'Dens-C-Large'!$B$5:$B$55,0),MATCH("susb_employment_ge500",'Dens-C-Large'!$A$4:$M$4,0))),"")</f>
        <v/>
      </c>
      <c r="G2" s="43">
        <f>IFERROR(IF(ISBLANK(INDEX('Dens-C-Large'!$A$5:$M$55,MATCH($A2,'Dens-C-Large'!$B$5:$B$55,0),MATCH("susb_employment_total",'Dens-C-Large'!$A$4:$M$4,0))),"",INDEX('Dens-C-Large'!$A$5:$M$55,MATCH($A2,'Dens-C-Large'!$B$5:$B$55,0),MATCH("susb_employment_total",'Dens-C-Large'!$A$4:$M$4,0))),"")</f>
        <v/>
      </c>
      <c r="H2" s="55">
        <f>IF(Table2[[#This Row],[Charter Units]]&lt;&gt;"", Table2[[#This Row],[Charter Units]]/Table2[[#This Row],[Total Residential Units]], "")</f>
        <v/>
      </c>
      <c r="I2" s="44">
        <f>IFERROR(IF(ISBLANK(INDEX('Dens-B-WFH'!$A$5:$L$55,MATCH($A2,'Dens-B-WFH'!$B$5:$B$55,0),MATCH("acs_wfh_rate_pct",'Dens-B-WFH'!$A$4:$L$4,0))),"",INDEX('Dens-B-WFH'!$A$5:$L$55,MATCH($A2,'Dens-B-WFH'!$B$5:$B$55,0),MATCH("acs_wfh_rate_pct",'Dens-B-WFH'!$A$4:$L$4,0))/100),"")</f>
        <v/>
      </c>
      <c r="J2" s="47">
        <f>IFERROR(IF(ISBLANK(INDEX('Dens-C-Large'!$A$5:$M$55,MATCH($A2,'Dens-C-Large'!$B$5:$B$55,0),MATCH("susb_share_ge500_pct",'Dens-C-Large'!$A$4:$M$4,0))),"",INDEX('Dens-C-Large'!$A$5:$M$55,MATCH($A2,'Dens-C-Large'!$B$5:$B$55,0),MATCH("susb_share_ge500_pct",'Dens-C-Large'!$A$4:$M$4,0))/100),"")</f>
        <v/>
      </c>
    </row>
    <row r="3" ht="18" customHeight="1" s="34">
      <c r="A3" s="46" t="inlineStr">
        <is>
          <t>Alaska</t>
        </is>
      </c>
      <c r="B3" s="43">
        <f>IFERROR(IF(ISBLANK(INDEX('Dens-A-CvC'!$A$5:$P$55,MATCH($A3,'Dens-A-CvC'!$B$5:$B$55,0),MATCH("charter_est_units",'Dens-A-CvC'!$A$4:$P$4,0))),"",INDEX('Dens-A-CvC'!$A$5:$P$55,MATCH($A3,'Dens-A-CvC'!$B$5:$B$55,0),MATCH("charter_est_units",'Dens-A-CvC'!$A$4:$P$4,0))),"")</f>
        <v/>
      </c>
      <c r="C3" s="43">
        <f>IFERROR(IF(ISBLANK(INDEX('Dens-A-CvC'!$A$5:$P$55,MATCH($A3,'Dens-A-CvC'!$B$5:$B$55,0),MATCH("comcast_est_units",'Dens-A-CvC'!$A$4:$P$4,0))),"",INDEX('Dens-A-CvC'!$A$5:$P$55,MATCH($A3,'Dens-A-CvC'!$B$5:$B$55,0),MATCH("comcast_est_units",'Dens-A-CvC'!$A$4:$P$4,0))),"")</f>
        <v/>
      </c>
      <c r="D3" s="43">
        <f>IFERROR(IF(ISBLANK(INDEX('Dens-A-CvC'!$A$5:$P$55,MATCH($A3,'Dens-A-CvC'!$B$5:$B$55,0),MATCH("total_residential_units",'Dens-A-CvC'!$A$4:$P$4,0))),"",INDEX('Dens-A-CvC'!$A$5:$P$55,MATCH($A3,'Dens-A-CvC'!$B$5:$B$55,0),MATCH("total_residential_units",'Dens-A-CvC'!$A$4:$P$4,0))),"")</f>
        <v/>
      </c>
      <c r="E3" s="43">
        <f>IFERROR(IF(ISBLANK(INDEX('Dens-B-WFH'!$A$5:$L$55,MATCH($A3,'Dens-B-WFH'!$B$5:$B$55,0),MATCH("acs_worked_from_home",'Dens-B-WFH'!$A$4:$L$4,0))),"",INDEX('Dens-B-WFH'!$A$5:$L$55,MATCH($A3,'Dens-B-WFH'!$B$5:$B$55,0),MATCH("acs_worked_from_home",'Dens-B-WFH'!$A$4:$L$4,0))),"")</f>
        <v/>
      </c>
      <c r="F3" s="43">
        <f>IFERROR(IF(ISBLANK(INDEX('Dens-C-Large'!$A$5:$M$55,MATCH($A3,'Dens-C-Large'!$B$5:$B$55,0),MATCH("susb_employment_ge500",'Dens-C-Large'!$A$4:$M$4,0))),"",INDEX('Dens-C-Large'!$A$5:$M$55,MATCH($A3,'Dens-C-Large'!$B$5:$B$55,0),MATCH("susb_employment_ge500",'Dens-C-Large'!$A$4:$M$4,0))),"")</f>
        <v/>
      </c>
      <c r="G3" s="43">
        <f>IFERROR(IF(ISBLANK(INDEX('Dens-C-Large'!$A$5:$M$55,MATCH($A3,'Dens-C-Large'!$B$5:$B$55,0),MATCH("susb_employment_total",'Dens-C-Large'!$A$4:$M$4,0))),"",INDEX('Dens-C-Large'!$A$5:$M$55,MATCH($A3,'Dens-C-Large'!$B$5:$B$55,0),MATCH("susb_employment_total",'Dens-C-Large'!$A$4:$M$4,0))),"")</f>
        <v/>
      </c>
      <c r="H3" s="55">
        <f>IF(Table2[[#This Row],[Charter Units]]&lt;&gt;"N/A", Table2[[#This Row],[Charter Units]]/Table2[[#This Row],[Total Residential Units]], "")</f>
        <v/>
      </c>
      <c r="I3" s="44">
        <f>IFERROR(IF(ISBLANK(INDEX('Dens-B-WFH'!$A$5:$L$55,MATCH($A3,'Dens-B-WFH'!$B$5:$B$55,0),MATCH("acs_wfh_rate_pct",'Dens-B-WFH'!$A$4:$L$4,0))),"",INDEX('Dens-B-WFH'!$A$5:$L$55,MATCH($A3,'Dens-B-WFH'!$B$5:$B$55,0),MATCH("acs_wfh_rate_pct",'Dens-B-WFH'!$A$4:$L$4,0))/100),"")</f>
        <v/>
      </c>
      <c r="J3" s="47">
        <f>IFERROR(IF(ISBLANK(INDEX('Dens-C-Large'!$A$5:$M$55,MATCH($A3,'Dens-C-Large'!$B$5:$B$55,0),MATCH("susb_share_ge500_pct",'Dens-C-Large'!$A$4:$M$4,0))),"",INDEX('Dens-C-Large'!$A$5:$M$55,MATCH($A3,'Dens-C-Large'!$B$5:$B$55,0),MATCH("susb_share_ge500_pct",'Dens-C-Large'!$A$4:$M$4,0))/100),"")</f>
        <v/>
      </c>
    </row>
    <row r="4" ht="18" customHeight="1" s="34">
      <c r="A4" s="46" t="inlineStr">
        <is>
          <t>Arizona</t>
        </is>
      </c>
      <c r="B4" s="43">
        <f>IFERROR(IF(ISBLANK(INDEX('Dens-A-CvC'!$A$5:$P$55,MATCH($A4,'Dens-A-CvC'!$B$5:$B$55,0),MATCH("charter_est_units",'Dens-A-CvC'!$A$4:$P$4,0))),"",INDEX('Dens-A-CvC'!$A$5:$P$55,MATCH($A4,'Dens-A-CvC'!$B$5:$B$55,0),MATCH("charter_est_units",'Dens-A-CvC'!$A$4:$P$4,0))),"")</f>
        <v/>
      </c>
      <c r="C4" s="43">
        <f>IFERROR(IF(ISBLANK(INDEX('Dens-A-CvC'!$A$5:$P$55,MATCH($A4,'Dens-A-CvC'!$B$5:$B$55,0),MATCH("comcast_est_units",'Dens-A-CvC'!$A$4:$P$4,0))),"",INDEX('Dens-A-CvC'!$A$5:$P$55,MATCH($A4,'Dens-A-CvC'!$B$5:$B$55,0),MATCH("comcast_est_units",'Dens-A-CvC'!$A$4:$P$4,0))),"")</f>
        <v/>
      </c>
      <c r="D4" s="43">
        <f>IFERROR(IF(ISBLANK(INDEX('Dens-A-CvC'!$A$5:$P$55,MATCH($A4,'Dens-A-CvC'!$B$5:$B$55,0),MATCH("total_residential_units",'Dens-A-CvC'!$A$4:$P$4,0))),"",INDEX('Dens-A-CvC'!$A$5:$P$55,MATCH($A4,'Dens-A-CvC'!$B$5:$B$55,0),MATCH("total_residential_units",'Dens-A-CvC'!$A$4:$P$4,0))),"")</f>
        <v/>
      </c>
      <c r="E4" s="43">
        <f>IFERROR(IF(ISBLANK(INDEX('Dens-B-WFH'!$A$5:$L$55,MATCH($A4,'Dens-B-WFH'!$B$5:$B$55,0),MATCH("acs_worked_from_home",'Dens-B-WFH'!$A$4:$L$4,0))),"",INDEX('Dens-B-WFH'!$A$5:$L$55,MATCH($A4,'Dens-B-WFH'!$B$5:$B$55,0),MATCH("acs_worked_from_home",'Dens-B-WFH'!$A$4:$L$4,0))),"")</f>
        <v/>
      </c>
      <c r="F4" s="43">
        <f>IFERROR(IF(ISBLANK(INDEX('Dens-C-Large'!$A$5:$M$55,MATCH($A4,'Dens-C-Large'!$B$5:$B$55,0),MATCH("susb_employment_ge500",'Dens-C-Large'!$A$4:$M$4,0))),"",INDEX('Dens-C-Large'!$A$5:$M$55,MATCH($A4,'Dens-C-Large'!$B$5:$B$55,0),MATCH("susb_employment_ge500",'Dens-C-Large'!$A$4:$M$4,0))),"")</f>
        <v/>
      </c>
      <c r="G4" s="43">
        <f>IFERROR(IF(ISBLANK(INDEX('Dens-C-Large'!$A$5:$M$55,MATCH($A4,'Dens-C-Large'!$B$5:$B$55,0),MATCH("susb_employment_total",'Dens-C-Large'!$A$4:$M$4,0))),"",INDEX('Dens-C-Large'!$A$5:$M$55,MATCH($A4,'Dens-C-Large'!$B$5:$B$55,0),MATCH("susb_employment_total",'Dens-C-Large'!$A$4:$M$4,0))),"")</f>
        <v/>
      </c>
      <c r="H4" s="55">
        <f>IF(Table2[[#This Row],[Charter Units]]&lt;&gt;"", Table2[[#This Row],[Charter Units]]/Table2[[#This Row],[Total Residential Units]], "")</f>
        <v/>
      </c>
      <c r="I4" s="44">
        <f>IFERROR(IF(ISBLANK(INDEX('Dens-B-WFH'!$A$5:$L$55,MATCH($A4,'Dens-B-WFH'!$B$5:$B$55,0),MATCH("acs_wfh_rate_pct",'Dens-B-WFH'!$A$4:$L$4,0))),"",INDEX('Dens-B-WFH'!$A$5:$L$55,MATCH($A4,'Dens-B-WFH'!$B$5:$B$55,0),MATCH("acs_wfh_rate_pct",'Dens-B-WFH'!$A$4:$L$4,0))/100),"")</f>
        <v/>
      </c>
      <c r="J4" s="47">
        <f>IFERROR(IF(ISBLANK(INDEX('Dens-C-Large'!$A$5:$M$55,MATCH($A4,'Dens-C-Large'!$B$5:$B$55,0),MATCH("susb_share_ge500_pct",'Dens-C-Large'!$A$4:$M$4,0))),"",INDEX('Dens-C-Large'!$A$5:$M$55,MATCH($A4,'Dens-C-Large'!$B$5:$B$55,0),MATCH("susb_share_ge500_pct",'Dens-C-Large'!$A$4:$M$4,0))/100),"")</f>
        <v/>
      </c>
    </row>
    <row r="5" ht="18" customHeight="1" s="34">
      <c r="A5" s="46" t="inlineStr">
        <is>
          <t>Arkansas</t>
        </is>
      </c>
      <c r="B5" s="43">
        <f>IFERROR(IF(ISBLANK(INDEX('Dens-A-CvC'!$A$5:$P$55,MATCH($A5,'Dens-A-CvC'!$B$5:$B$55,0),MATCH("charter_est_units",'Dens-A-CvC'!$A$4:$P$4,0))),"",INDEX('Dens-A-CvC'!$A$5:$P$55,MATCH($A5,'Dens-A-CvC'!$B$5:$B$55,0),MATCH("charter_est_units",'Dens-A-CvC'!$A$4:$P$4,0))),"")</f>
        <v/>
      </c>
      <c r="C5" s="43">
        <f>IFERROR(IF(ISBLANK(INDEX('Dens-A-CvC'!$A$5:$P$55,MATCH($A5,'Dens-A-CvC'!$B$5:$B$55,0),MATCH("comcast_est_units",'Dens-A-CvC'!$A$4:$P$4,0))),"",INDEX('Dens-A-CvC'!$A$5:$P$55,MATCH($A5,'Dens-A-CvC'!$B$5:$B$55,0),MATCH("comcast_est_units",'Dens-A-CvC'!$A$4:$P$4,0))),"")</f>
        <v/>
      </c>
      <c r="D5" s="43">
        <f>IFERROR(IF(ISBLANK(INDEX('Dens-A-CvC'!$A$5:$P$55,MATCH($A5,'Dens-A-CvC'!$B$5:$B$55,0),MATCH("total_residential_units",'Dens-A-CvC'!$A$4:$P$4,0))),"",INDEX('Dens-A-CvC'!$A$5:$P$55,MATCH($A5,'Dens-A-CvC'!$B$5:$B$55,0),MATCH("total_residential_units",'Dens-A-CvC'!$A$4:$P$4,0))),"")</f>
        <v/>
      </c>
      <c r="E5" s="43">
        <f>IFERROR(IF(ISBLANK(INDEX('Dens-B-WFH'!$A$5:$L$55,MATCH($A5,'Dens-B-WFH'!$B$5:$B$55,0),MATCH("acs_worked_from_home",'Dens-B-WFH'!$A$4:$L$4,0))),"",INDEX('Dens-B-WFH'!$A$5:$L$55,MATCH($A5,'Dens-B-WFH'!$B$5:$B$55,0),MATCH("acs_worked_from_home",'Dens-B-WFH'!$A$4:$L$4,0))),"")</f>
        <v/>
      </c>
      <c r="F5" s="43">
        <f>IFERROR(IF(ISBLANK(INDEX('Dens-C-Large'!$A$5:$M$55,MATCH($A5,'Dens-C-Large'!$B$5:$B$55,0),MATCH("susb_employment_ge500",'Dens-C-Large'!$A$4:$M$4,0))),"",INDEX('Dens-C-Large'!$A$5:$M$55,MATCH($A5,'Dens-C-Large'!$B$5:$B$55,0),MATCH("susb_employment_ge500",'Dens-C-Large'!$A$4:$M$4,0))),"")</f>
        <v/>
      </c>
      <c r="G5" s="43">
        <f>IFERROR(IF(ISBLANK(INDEX('Dens-C-Large'!$A$5:$M$55,MATCH($A5,'Dens-C-Large'!$B$5:$B$55,0),MATCH("susb_employment_total",'Dens-C-Large'!$A$4:$M$4,0))),"",INDEX('Dens-C-Large'!$A$5:$M$55,MATCH($A5,'Dens-C-Large'!$B$5:$B$55,0),MATCH("susb_employment_total",'Dens-C-Large'!$A$4:$M$4,0))),"")</f>
        <v/>
      </c>
      <c r="H5" s="55">
        <f>IF(Table2[[#This Row],[Charter Units]]&lt;&gt;"", Table2[[#This Row],[Charter Units]]/Table2[[#This Row],[Total Residential Units]], "")</f>
        <v/>
      </c>
      <c r="I5" s="44">
        <f>IFERROR(IF(ISBLANK(INDEX('Dens-B-WFH'!$A$5:$L$55,MATCH($A5,'Dens-B-WFH'!$B$5:$B$55,0),MATCH("acs_wfh_rate_pct",'Dens-B-WFH'!$A$4:$L$4,0))),"",INDEX('Dens-B-WFH'!$A$5:$L$55,MATCH($A5,'Dens-B-WFH'!$B$5:$B$55,0),MATCH("acs_wfh_rate_pct",'Dens-B-WFH'!$A$4:$L$4,0))/100),"")</f>
        <v/>
      </c>
      <c r="J5" s="47">
        <f>IFERROR(IF(ISBLANK(INDEX('Dens-C-Large'!$A$5:$M$55,MATCH($A5,'Dens-C-Large'!$B$5:$B$55,0),MATCH("susb_share_ge500_pct",'Dens-C-Large'!$A$4:$M$4,0))),"",INDEX('Dens-C-Large'!$A$5:$M$55,MATCH($A5,'Dens-C-Large'!$B$5:$B$55,0),MATCH("susb_share_ge500_pct",'Dens-C-Large'!$A$4:$M$4,0))/100),"")</f>
        <v/>
      </c>
    </row>
    <row r="6" ht="18" customHeight="1" s="34">
      <c r="A6" s="46" t="inlineStr">
        <is>
          <t>California</t>
        </is>
      </c>
      <c r="B6" s="43">
        <f>IFERROR(IF(ISBLANK(INDEX('Dens-A-CvC'!$A$5:$P$55,MATCH($A6,'Dens-A-CvC'!$B$5:$B$55,0),MATCH("charter_est_units",'Dens-A-CvC'!$A$4:$P$4,0))),"",INDEX('Dens-A-CvC'!$A$5:$P$55,MATCH($A6,'Dens-A-CvC'!$B$5:$B$55,0),MATCH("charter_est_units",'Dens-A-CvC'!$A$4:$P$4,0))),"")</f>
        <v/>
      </c>
      <c r="C6" s="43">
        <f>IFERROR(IF(ISBLANK(INDEX('Dens-A-CvC'!$A$5:$P$55,MATCH($A6,'Dens-A-CvC'!$B$5:$B$55,0),MATCH("comcast_est_units",'Dens-A-CvC'!$A$4:$P$4,0))),"",INDEX('Dens-A-CvC'!$A$5:$P$55,MATCH($A6,'Dens-A-CvC'!$B$5:$B$55,0),MATCH("comcast_est_units",'Dens-A-CvC'!$A$4:$P$4,0))),"")</f>
        <v/>
      </c>
      <c r="D6" s="43">
        <f>IFERROR(IF(ISBLANK(INDEX('Dens-A-CvC'!$A$5:$P$55,MATCH($A6,'Dens-A-CvC'!$B$5:$B$55,0),MATCH("total_residential_units",'Dens-A-CvC'!$A$4:$P$4,0))),"",INDEX('Dens-A-CvC'!$A$5:$P$55,MATCH($A6,'Dens-A-CvC'!$B$5:$B$55,0),MATCH("total_residential_units",'Dens-A-CvC'!$A$4:$P$4,0))),"")</f>
        <v/>
      </c>
      <c r="E6" s="43">
        <f>IFERROR(IF(ISBLANK(INDEX('Dens-B-WFH'!$A$5:$L$55,MATCH($A6,'Dens-B-WFH'!$B$5:$B$55,0),MATCH("acs_worked_from_home",'Dens-B-WFH'!$A$4:$L$4,0))),"",INDEX('Dens-B-WFH'!$A$5:$L$55,MATCH($A6,'Dens-B-WFH'!$B$5:$B$55,0),MATCH("acs_worked_from_home",'Dens-B-WFH'!$A$4:$L$4,0))),"")</f>
        <v/>
      </c>
      <c r="F6" s="43">
        <f>IFERROR(IF(ISBLANK(INDEX('Dens-C-Large'!$A$5:$M$55,MATCH($A6,'Dens-C-Large'!$B$5:$B$55,0),MATCH("susb_employment_ge500",'Dens-C-Large'!$A$4:$M$4,0))),"",INDEX('Dens-C-Large'!$A$5:$M$55,MATCH($A6,'Dens-C-Large'!$B$5:$B$55,0),MATCH("susb_employment_ge500",'Dens-C-Large'!$A$4:$M$4,0))),"")</f>
        <v/>
      </c>
      <c r="G6" s="43">
        <f>IFERROR(IF(ISBLANK(INDEX('Dens-C-Large'!$A$5:$M$55,MATCH($A6,'Dens-C-Large'!$B$5:$B$55,0),MATCH("susb_employment_total",'Dens-C-Large'!$A$4:$M$4,0))),"",INDEX('Dens-C-Large'!$A$5:$M$55,MATCH($A6,'Dens-C-Large'!$B$5:$B$55,0),MATCH("susb_employment_total",'Dens-C-Large'!$A$4:$M$4,0))),"")</f>
        <v/>
      </c>
      <c r="H6" s="55">
        <f>IF(Table2[[#This Row],[Charter Units]]&lt;&gt;"", Table2[[#This Row],[Charter Units]]/Table2[[#This Row],[Total Residential Units]], "")</f>
        <v/>
      </c>
      <c r="I6" s="44">
        <f>IFERROR(IF(ISBLANK(INDEX('Dens-B-WFH'!$A$5:$L$55,MATCH($A6,'Dens-B-WFH'!$B$5:$B$55,0),MATCH("acs_wfh_rate_pct",'Dens-B-WFH'!$A$4:$L$4,0))),"",INDEX('Dens-B-WFH'!$A$5:$L$55,MATCH($A6,'Dens-B-WFH'!$B$5:$B$55,0),MATCH("acs_wfh_rate_pct",'Dens-B-WFH'!$A$4:$L$4,0))/100),"")</f>
        <v/>
      </c>
      <c r="J6" s="47">
        <f>IFERROR(IF(ISBLANK(INDEX('Dens-C-Large'!$A$5:$M$55,MATCH($A6,'Dens-C-Large'!$B$5:$B$55,0),MATCH("susb_share_ge500_pct",'Dens-C-Large'!$A$4:$M$4,0))),"",INDEX('Dens-C-Large'!$A$5:$M$55,MATCH($A6,'Dens-C-Large'!$B$5:$B$55,0),MATCH("susb_share_ge500_pct",'Dens-C-Large'!$A$4:$M$4,0))/100),"")</f>
        <v/>
      </c>
    </row>
    <row r="7" ht="18" customHeight="1" s="34">
      <c r="A7" s="46" t="inlineStr">
        <is>
          <t>Colorado</t>
        </is>
      </c>
      <c r="B7" s="43">
        <f>IFERROR(IF(ISBLANK(INDEX('Dens-A-CvC'!$A$5:$P$55,MATCH($A7,'Dens-A-CvC'!$B$5:$B$55,0),MATCH("charter_est_units",'Dens-A-CvC'!$A$4:$P$4,0))),"",INDEX('Dens-A-CvC'!$A$5:$P$55,MATCH($A7,'Dens-A-CvC'!$B$5:$B$55,0),MATCH("charter_est_units",'Dens-A-CvC'!$A$4:$P$4,0))),"")</f>
        <v/>
      </c>
      <c r="C7" s="43">
        <f>IFERROR(IF(ISBLANK(INDEX('Dens-A-CvC'!$A$5:$P$55,MATCH($A7,'Dens-A-CvC'!$B$5:$B$55,0),MATCH("comcast_est_units",'Dens-A-CvC'!$A$4:$P$4,0))),"",INDEX('Dens-A-CvC'!$A$5:$P$55,MATCH($A7,'Dens-A-CvC'!$B$5:$B$55,0),MATCH("comcast_est_units",'Dens-A-CvC'!$A$4:$P$4,0))),"")</f>
        <v/>
      </c>
      <c r="D7" s="43">
        <f>IFERROR(IF(ISBLANK(INDEX('Dens-A-CvC'!$A$5:$P$55,MATCH($A7,'Dens-A-CvC'!$B$5:$B$55,0),MATCH("total_residential_units",'Dens-A-CvC'!$A$4:$P$4,0))),"",INDEX('Dens-A-CvC'!$A$5:$P$55,MATCH($A7,'Dens-A-CvC'!$B$5:$B$55,0),MATCH("total_residential_units",'Dens-A-CvC'!$A$4:$P$4,0))),"")</f>
        <v/>
      </c>
      <c r="E7" s="43">
        <f>IFERROR(IF(ISBLANK(INDEX('Dens-B-WFH'!$A$5:$L$55,MATCH($A7,'Dens-B-WFH'!$B$5:$B$55,0),MATCH("acs_worked_from_home",'Dens-B-WFH'!$A$4:$L$4,0))),"",INDEX('Dens-B-WFH'!$A$5:$L$55,MATCH($A7,'Dens-B-WFH'!$B$5:$B$55,0),MATCH("acs_worked_from_home",'Dens-B-WFH'!$A$4:$L$4,0))),"")</f>
        <v/>
      </c>
      <c r="F7" s="43">
        <f>IFERROR(IF(ISBLANK(INDEX('Dens-C-Large'!$A$5:$M$55,MATCH($A7,'Dens-C-Large'!$B$5:$B$55,0),MATCH("susb_employment_ge500",'Dens-C-Large'!$A$4:$M$4,0))),"",INDEX('Dens-C-Large'!$A$5:$M$55,MATCH($A7,'Dens-C-Large'!$B$5:$B$55,0),MATCH("susb_employment_ge500",'Dens-C-Large'!$A$4:$M$4,0))),"")</f>
        <v/>
      </c>
      <c r="G7" s="43">
        <f>IFERROR(IF(ISBLANK(INDEX('Dens-C-Large'!$A$5:$M$55,MATCH($A7,'Dens-C-Large'!$B$5:$B$55,0),MATCH("susb_employment_total",'Dens-C-Large'!$A$4:$M$4,0))),"",INDEX('Dens-C-Large'!$A$5:$M$55,MATCH($A7,'Dens-C-Large'!$B$5:$B$55,0),MATCH("susb_employment_total",'Dens-C-Large'!$A$4:$M$4,0))),"")</f>
        <v/>
      </c>
      <c r="H7" s="55">
        <f>IF(Table2[[#This Row],[Charter Units]]&lt;&gt;"", Table2[[#This Row],[Charter Units]]/Table2[[#This Row],[Total Residential Units]], "")</f>
        <v/>
      </c>
      <c r="I7" s="44">
        <f>IFERROR(IF(ISBLANK(INDEX('Dens-B-WFH'!$A$5:$L$55,MATCH($A7,'Dens-B-WFH'!$B$5:$B$55,0),MATCH("acs_wfh_rate_pct",'Dens-B-WFH'!$A$4:$L$4,0))),"",INDEX('Dens-B-WFH'!$A$5:$L$55,MATCH($A7,'Dens-B-WFH'!$B$5:$B$55,0),MATCH("acs_wfh_rate_pct",'Dens-B-WFH'!$A$4:$L$4,0))/100),"")</f>
        <v/>
      </c>
      <c r="J7" s="47">
        <f>IFERROR(IF(ISBLANK(INDEX('Dens-C-Large'!$A$5:$M$55,MATCH($A7,'Dens-C-Large'!$B$5:$B$55,0),MATCH("susb_share_ge500_pct",'Dens-C-Large'!$A$4:$M$4,0))),"",INDEX('Dens-C-Large'!$A$5:$M$55,MATCH($A7,'Dens-C-Large'!$B$5:$B$55,0),MATCH("susb_share_ge500_pct",'Dens-C-Large'!$A$4:$M$4,0))/100),"")</f>
        <v/>
      </c>
    </row>
    <row r="8" ht="18" customHeight="1" s="34">
      <c r="A8" s="46" t="inlineStr">
        <is>
          <t>Connecticut</t>
        </is>
      </c>
      <c r="B8" s="43">
        <f>IFERROR(IF(ISBLANK(INDEX('Dens-A-CvC'!$A$5:$P$55,MATCH($A8,'Dens-A-CvC'!$B$5:$B$55,0),MATCH("charter_est_units",'Dens-A-CvC'!$A$4:$P$4,0))),"",INDEX('Dens-A-CvC'!$A$5:$P$55,MATCH($A8,'Dens-A-CvC'!$B$5:$B$55,0),MATCH("charter_est_units",'Dens-A-CvC'!$A$4:$P$4,0))),"")</f>
        <v/>
      </c>
      <c r="C8" s="43">
        <f>IFERROR(IF(ISBLANK(INDEX('Dens-A-CvC'!$A$5:$P$55,MATCH($A8,'Dens-A-CvC'!$B$5:$B$55,0),MATCH("comcast_est_units",'Dens-A-CvC'!$A$4:$P$4,0))),"",INDEX('Dens-A-CvC'!$A$5:$P$55,MATCH($A8,'Dens-A-CvC'!$B$5:$B$55,0),MATCH("comcast_est_units",'Dens-A-CvC'!$A$4:$P$4,0))),"")</f>
        <v/>
      </c>
      <c r="D8" s="43">
        <f>IFERROR(IF(ISBLANK(INDEX('Dens-A-CvC'!$A$5:$P$55,MATCH($A8,'Dens-A-CvC'!$B$5:$B$55,0),MATCH("total_residential_units",'Dens-A-CvC'!$A$4:$P$4,0))),"",INDEX('Dens-A-CvC'!$A$5:$P$55,MATCH($A8,'Dens-A-CvC'!$B$5:$B$55,0),MATCH("total_residential_units",'Dens-A-CvC'!$A$4:$P$4,0))),"")</f>
        <v/>
      </c>
      <c r="E8" s="43">
        <f>IFERROR(IF(ISBLANK(INDEX('Dens-B-WFH'!$A$5:$L$55,MATCH($A8,'Dens-B-WFH'!$B$5:$B$55,0),MATCH("acs_worked_from_home",'Dens-B-WFH'!$A$4:$L$4,0))),"",INDEX('Dens-B-WFH'!$A$5:$L$55,MATCH($A8,'Dens-B-WFH'!$B$5:$B$55,0),MATCH("acs_worked_from_home",'Dens-B-WFH'!$A$4:$L$4,0))),"")</f>
        <v/>
      </c>
      <c r="F8" s="43">
        <f>IFERROR(IF(ISBLANK(INDEX('Dens-C-Large'!$A$5:$M$55,MATCH($A8,'Dens-C-Large'!$B$5:$B$55,0),MATCH("susb_employment_ge500",'Dens-C-Large'!$A$4:$M$4,0))),"",INDEX('Dens-C-Large'!$A$5:$M$55,MATCH($A8,'Dens-C-Large'!$B$5:$B$55,0),MATCH("susb_employment_ge500",'Dens-C-Large'!$A$4:$M$4,0))),"")</f>
        <v/>
      </c>
      <c r="G8" s="43">
        <f>IFERROR(IF(ISBLANK(INDEX('Dens-C-Large'!$A$5:$M$55,MATCH($A8,'Dens-C-Large'!$B$5:$B$55,0),MATCH("susb_employment_total",'Dens-C-Large'!$A$4:$M$4,0))),"",INDEX('Dens-C-Large'!$A$5:$M$55,MATCH($A8,'Dens-C-Large'!$B$5:$B$55,0),MATCH("susb_employment_total",'Dens-C-Large'!$A$4:$M$4,0))),"")</f>
        <v/>
      </c>
      <c r="H8" s="55">
        <f>IF(Table2[[#This Row],[Charter Units]]&lt;&gt;"", Table2[[#This Row],[Charter Units]]/Table2[[#This Row],[Total Residential Units]], "")</f>
        <v/>
      </c>
      <c r="I8" s="44">
        <f>IFERROR(IF(ISBLANK(INDEX('Dens-B-WFH'!$A$5:$L$55,MATCH($A8,'Dens-B-WFH'!$B$5:$B$55,0),MATCH("acs_wfh_rate_pct",'Dens-B-WFH'!$A$4:$L$4,0))),"",INDEX('Dens-B-WFH'!$A$5:$L$55,MATCH($A8,'Dens-B-WFH'!$B$5:$B$55,0),MATCH("acs_wfh_rate_pct",'Dens-B-WFH'!$A$4:$L$4,0))/100),"")</f>
        <v/>
      </c>
      <c r="J8" s="47">
        <f>IFERROR(IF(ISBLANK(INDEX('Dens-C-Large'!$A$5:$M$55,MATCH($A8,'Dens-C-Large'!$B$5:$B$55,0),MATCH("susb_share_ge500_pct",'Dens-C-Large'!$A$4:$M$4,0))),"",INDEX('Dens-C-Large'!$A$5:$M$55,MATCH($A8,'Dens-C-Large'!$B$5:$B$55,0),MATCH("susb_share_ge500_pct",'Dens-C-Large'!$A$4:$M$4,0))/100),"")</f>
        <v/>
      </c>
    </row>
    <row r="9" ht="18" customHeight="1" s="34">
      <c r="A9" s="46" t="inlineStr">
        <is>
          <t>Delaware</t>
        </is>
      </c>
      <c r="B9" s="43">
        <f>IFERROR(IF(ISBLANK(INDEX('Dens-A-CvC'!$A$5:$P$55,MATCH($A9,'Dens-A-CvC'!$B$5:$B$55,0),MATCH("charter_est_units",'Dens-A-CvC'!$A$4:$P$4,0))),"",INDEX('Dens-A-CvC'!$A$5:$P$55,MATCH($A9,'Dens-A-CvC'!$B$5:$B$55,0),MATCH("charter_est_units",'Dens-A-CvC'!$A$4:$P$4,0))),"")</f>
        <v/>
      </c>
      <c r="C9" s="43">
        <f>IFERROR(IF(ISBLANK(INDEX('Dens-A-CvC'!$A$5:$P$55,MATCH($A9,'Dens-A-CvC'!$B$5:$B$55,0),MATCH("comcast_est_units",'Dens-A-CvC'!$A$4:$P$4,0))),"",INDEX('Dens-A-CvC'!$A$5:$P$55,MATCH($A9,'Dens-A-CvC'!$B$5:$B$55,0),MATCH("comcast_est_units",'Dens-A-CvC'!$A$4:$P$4,0))),"")</f>
        <v/>
      </c>
      <c r="D9" s="43">
        <f>IFERROR(IF(ISBLANK(INDEX('Dens-A-CvC'!$A$5:$P$55,MATCH($A9,'Dens-A-CvC'!$B$5:$B$55,0),MATCH("total_residential_units",'Dens-A-CvC'!$A$4:$P$4,0))),"",INDEX('Dens-A-CvC'!$A$5:$P$55,MATCH($A9,'Dens-A-CvC'!$B$5:$B$55,0),MATCH("total_residential_units",'Dens-A-CvC'!$A$4:$P$4,0))),"")</f>
        <v/>
      </c>
      <c r="E9" s="43">
        <f>IFERROR(IF(ISBLANK(INDEX('Dens-B-WFH'!$A$5:$L$55,MATCH($A9,'Dens-B-WFH'!$B$5:$B$55,0),MATCH("acs_worked_from_home",'Dens-B-WFH'!$A$4:$L$4,0))),"",INDEX('Dens-B-WFH'!$A$5:$L$55,MATCH($A9,'Dens-B-WFH'!$B$5:$B$55,0),MATCH("acs_worked_from_home",'Dens-B-WFH'!$A$4:$L$4,0))),"")</f>
        <v/>
      </c>
      <c r="F9" s="43">
        <f>IFERROR(IF(ISBLANK(INDEX('Dens-C-Large'!$A$5:$M$55,MATCH($A9,'Dens-C-Large'!$B$5:$B$55,0),MATCH("susb_employment_ge500",'Dens-C-Large'!$A$4:$M$4,0))),"",INDEX('Dens-C-Large'!$A$5:$M$55,MATCH($A9,'Dens-C-Large'!$B$5:$B$55,0),MATCH("susb_employment_ge500",'Dens-C-Large'!$A$4:$M$4,0))),"")</f>
        <v/>
      </c>
      <c r="G9" s="43">
        <f>IFERROR(IF(ISBLANK(INDEX('Dens-C-Large'!$A$5:$M$55,MATCH($A9,'Dens-C-Large'!$B$5:$B$55,0),MATCH("susb_employment_total",'Dens-C-Large'!$A$4:$M$4,0))),"",INDEX('Dens-C-Large'!$A$5:$M$55,MATCH($A9,'Dens-C-Large'!$B$5:$B$55,0),MATCH("susb_employment_total",'Dens-C-Large'!$A$4:$M$4,0))),"")</f>
        <v/>
      </c>
      <c r="H9" s="55">
        <f>IF(Table2[[#This Row],[Charter Units]]&lt;&gt;"", Table2[[#This Row],[Charter Units]]/Table2[[#This Row],[Total Residential Units]], "")</f>
        <v/>
      </c>
      <c r="I9" s="44">
        <f>IFERROR(IF(ISBLANK(INDEX('Dens-B-WFH'!$A$5:$L$55,MATCH($A9,'Dens-B-WFH'!$B$5:$B$55,0),MATCH("acs_wfh_rate_pct",'Dens-B-WFH'!$A$4:$L$4,0))),"",INDEX('Dens-B-WFH'!$A$5:$L$55,MATCH($A9,'Dens-B-WFH'!$B$5:$B$55,0),MATCH("acs_wfh_rate_pct",'Dens-B-WFH'!$A$4:$L$4,0))/100),"")</f>
        <v/>
      </c>
      <c r="J9" s="47">
        <f>IFERROR(IF(ISBLANK(INDEX('Dens-C-Large'!$A$5:$M$55,MATCH($A9,'Dens-C-Large'!$B$5:$B$55,0),MATCH("susb_share_ge500_pct",'Dens-C-Large'!$A$4:$M$4,0))),"",INDEX('Dens-C-Large'!$A$5:$M$55,MATCH($A9,'Dens-C-Large'!$B$5:$B$55,0),MATCH("susb_share_ge500_pct",'Dens-C-Large'!$A$4:$M$4,0))/100),"")</f>
        <v/>
      </c>
    </row>
    <row r="10" ht="18" customHeight="1" s="34">
      <c r="A10" s="46" t="inlineStr">
        <is>
          <t>District of Columbia</t>
        </is>
      </c>
      <c r="B10" s="43">
        <f>IFERROR(IF(ISBLANK(INDEX('Dens-A-CvC'!$A$5:$P$55,MATCH($A10,'Dens-A-CvC'!$B$5:$B$55,0),MATCH("charter_est_units",'Dens-A-CvC'!$A$4:$P$4,0))),"",INDEX('Dens-A-CvC'!$A$5:$P$55,MATCH($A10,'Dens-A-CvC'!$B$5:$B$55,0),MATCH("charter_est_units",'Dens-A-CvC'!$A$4:$P$4,0))),"")</f>
        <v/>
      </c>
      <c r="C10" s="43">
        <f>IFERROR(IF(ISBLANK(INDEX('Dens-A-CvC'!$A$5:$P$55,MATCH($A10,'Dens-A-CvC'!$B$5:$B$55,0),MATCH("comcast_est_units",'Dens-A-CvC'!$A$4:$P$4,0))),"",INDEX('Dens-A-CvC'!$A$5:$P$55,MATCH($A10,'Dens-A-CvC'!$B$5:$B$55,0),MATCH("comcast_est_units",'Dens-A-CvC'!$A$4:$P$4,0))),"")</f>
        <v/>
      </c>
      <c r="D10" s="43">
        <f>IFERROR(IF(ISBLANK(INDEX('Dens-A-CvC'!$A$5:$P$55,MATCH($A10,'Dens-A-CvC'!$B$5:$B$55,0),MATCH("total_residential_units",'Dens-A-CvC'!$A$4:$P$4,0))),"",INDEX('Dens-A-CvC'!$A$5:$P$55,MATCH($A10,'Dens-A-CvC'!$B$5:$B$55,0),MATCH("total_residential_units",'Dens-A-CvC'!$A$4:$P$4,0))),"")</f>
        <v/>
      </c>
      <c r="E10" s="43">
        <f>IFERROR(IF(ISBLANK(INDEX('Dens-B-WFH'!$A$5:$L$55,MATCH($A10,'Dens-B-WFH'!$B$5:$B$55,0),MATCH("acs_worked_from_home",'Dens-B-WFH'!$A$4:$L$4,0))),"",INDEX('Dens-B-WFH'!$A$5:$L$55,MATCH($A10,'Dens-B-WFH'!$B$5:$B$55,0),MATCH("acs_worked_from_home",'Dens-B-WFH'!$A$4:$L$4,0))),"")</f>
        <v/>
      </c>
      <c r="F10" s="43">
        <f>IFERROR(IF(ISBLANK(INDEX('Dens-C-Large'!$A$5:$M$55,MATCH($A10,'Dens-C-Large'!$B$5:$B$55,0),MATCH("susb_employment_ge500",'Dens-C-Large'!$A$4:$M$4,0))),"",INDEX('Dens-C-Large'!$A$5:$M$55,MATCH($A10,'Dens-C-Large'!$B$5:$B$55,0),MATCH("susb_employment_ge500",'Dens-C-Large'!$A$4:$M$4,0))),"")</f>
        <v/>
      </c>
      <c r="G10" s="43">
        <f>IFERROR(IF(ISBLANK(INDEX('Dens-C-Large'!$A$5:$M$55,MATCH($A10,'Dens-C-Large'!$B$5:$B$55,0),MATCH("susb_employment_total",'Dens-C-Large'!$A$4:$M$4,0))),"",INDEX('Dens-C-Large'!$A$5:$M$55,MATCH($A10,'Dens-C-Large'!$B$5:$B$55,0),MATCH("susb_employment_total",'Dens-C-Large'!$A$4:$M$4,0))),"")</f>
        <v/>
      </c>
      <c r="H10" s="55">
        <f>IF(Table2[[#This Row],[Charter Units]]&lt;&gt;"", Table2[[#This Row],[Charter Units]]/Table2[[#This Row],[Total Residential Units]], "")</f>
        <v/>
      </c>
      <c r="I10" s="44">
        <f>IFERROR(IF(ISBLANK(INDEX('Dens-B-WFH'!$A$5:$L$55,MATCH($A10,'Dens-B-WFH'!$B$5:$B$55,0),MATCH("acs_wfh_rate_pct",'Dens-B-WFH'!$A$4:$L$4,0))),"",INDEX('Dens-B-WFH'!$A$5:$L$55,MATCH($A10,'Dens-B-WFH'!$B$5:$B$55,0),MATCH("acs_wfh_rate_pct",'Dens-B-WFH'!$A$4:$L$4,0))/100),"")</f>
        <v/>
      </c>
      <c r="J10" s="47">
        <f>IFERROR(IF(ISBLANK(INDEX('Dens-C-Large'!$A$5:$M$55,MATCH($A10,'Dens-C-Large'!$B$5:$B$55,0),MATCH("susb_share_ge500_pct",'Dens-C-Large'!$A$4:$M$4,0))),"",INDEX('Dens-C-Large'!$A$5:$M$55,MATCH($A10,'Dens-C-Large'!$B$5:$B$55,0),MATCH("susb_share_ge500_pct",'Dens-C-Large'!$A$4:$M$4,0))/100),"")</f>
        <v/>
      </c>
    </row>
    <row r="11" ht="18" customHeight="1" s="34">
      <c r="A11" s="46" t="inlineStr">
        <is>
          <t>Florida</t>
        </is>
      </c>
      <c r="B11" s="43">
        <f>IFERROR(IF(ISBLANK(INDEX('Dens-A-CvC'!$A$5:$P$55,MATCH($A11,'Dens-A-CvC'!$B$5:$B$55,0),MATCH("charter_est_units",'Dens-A-CvC'!$A$4:$P$4,0))),"",INDEX('Dens-A-CvC'!$A$5:$P$55,MATCH($A11,'Dens-A-CvC'!$B$5:$B$55,0),MATCH("charter_est_units",'Dens-A-CvC'!$A$4:$P$4,0))),"")</f>
        <v/>
      </c>
      <c r="C11" s="43">
        <f>IFERROR(IF(ISBLANK(INDEX('Dens-A-CvC'!$A$5:$P$55,MATCH($A11,'Dens-A-CvC'!$B$5:$B$55,0),MATCH("comcast_est_units",'Dens-A-CvC'!$A$4:$P$4,0))),"",INDEX('Dens-A-CvC'!$A$5:$P$55,MATCH($A11,'Dens-A-CvC'!$B$5:$B$55,0),MATCH("comcast_est_units",'Dens-A-CvC'!$A$4:$P$4,0))),"")</f>
        <v/>
      </c>
      <c r="D11" s="43">
        <f>IFERROR(IF(ISBLANK(INDEX('Dens-A-CvC'!$A$5:$P$55,MATCH($A11,'Dens-A-CvC'!$B$5:$B$55,0),MATCH("total_residential_units",'Dens-A-CvC'!$A$4:$P$4,0))),"",INDEX('Dens-A-CvC'!$A$5:$P$55,MATCH($A11,'Dens-A-CvC'!$B$5:$B$55,0),MATCH("total_residential_units",'Dens-A-CvC'!$A$4:$P$4,0))),"")</f>
        <v/>
      </c>
      <c r="E11" s="43">
        <f>IFERROR(IF(ISBLANK(INDEX('Dens-B-WFH'!$A$5:$L$55,MATCH($A11,'Dens-B-WFH'!$B$5:$B$55,0),MATCH("acs_worked_from_home",'Dens-B-WFH'!$A$4:$L$4,0))),"",INDEX('Dens-B-WFH'!$A$5:$L$55,MATCH($A11,'Dens-B-WFH'!$B$5:$B$55,0),MATCH("acs_worked_from_home",'Dens-B-WFH'!$A$4:$L$4,0))),"")</f>
        <v/>
      </c>
      <c r="F11" s="43">
        <f>IFERROR(IF(ISBLANK(INDEX('Dens-C-Large'!$A$5:$M$55,MATCH($A11,'Dens-C-Large'!$B$5:$B$55,0),MATCH("susb_employment_ge500",'Dens-C-Large'!$A$4:$M$4,0))),"",INDEX('Dens-C-Large'!$A$5:$M$55,MATCH($A11,'Dens-C-Large'!$B$5:$B$55,0),MATCH("susb_employment_ge500",'Dens-C-Large'!$A$4:$M$4,0))),"")</f>
        <v/>
      </c>
      <c r="G11" s="43">
        <f>IFERROR(IF(ISBLANK(INDEX('Dens-C-Large'!$A$5:$M$55,MATCH($A11,'Dens-C-Large'!$B$5:$B$55,0),MATCH("susb_employment_total",'Dens-C-Large'!$A$4:$M$4,0))),"",INDEX('Dens-C-Large'!$A$5:$M$55,MATCH($A11,'Dens-C-Large'!$B$5:$B$55,0),MATCH("susb_employment_total",'Dens-C-Large'!$A$4:$M$4,0))),"")</f>
        <v/>
      </c>
      <c r="H11" s="55">
        <f>IF(Table2[[#This Row],[Charter Units]]&lt;&gt;"", Table2[[#This Row],[Charter Units]]/Table2[[#This Row],[Total Residential Units]], "")</f>
        <v/>
      </c>
      <c r="I11" s="44">
        <f>IFERROR(IF(ISBLANK(INDEX('Dens-B-WFH'!$A$5:$L$55,MATCH($A11,'Dens-B-WFH'!$B$5:$B$55,0),MATCH("acs_wfh_rate_pct",'Dens-B-WFH'!$A$4:$L$4,0))),"",INDEX('Dens-B-WFH'!$A$5:$L$55,MATCH($A11,'Dens-B-WFH'!$B$5:$B$55,0),MATCH("acs_wfh_rate_pct",'Dens-B-WFH'!$A$4:$L$4,0))/100),"")</f>
        <v/>
      </c>
      <c r="J11" s="47">
        <f>IFERROR(IF(ISBLANK(INDEX('Dens-C-Large'!$A$5:$M$55,MATCH($A11,'Dens-C-Large'!$B$5:$B$55,0),MATCH("susb_share_ge500_pct",'Dens-C-Large'!$A$4:$M$4,0))),"",INDEX('Dens-C-Large'!$A$5:$M$55,MATCH($A11,'Dens-C-Large'!$B$5:$B$55,0),MATCH("susb_share_ge500_pct",'Dens-C-Large'!$A$4:$M$4,0))/100),"")</f>
        <v/>
      </c>
    </row>
    <row r="12" ht="18" customHeight="1" s="34">
      <c r="A12" s="46" t="inlineStr">
        <is>
          <t>Georgia</t>
        </is>
      </c>
      <c r="B12" s="43">
        <f>IFERROR(IF(ISBLANK(INDEX('Dens-A-CvC'!$A$5:$P$55,MATCH($A12,'Dens-A-CvC'!$B$5:$B$55,0),MATCH("charter_est_units",'Dens-A-CvC'!$A$4:$P$4,0))),"",INDEX('Dens-A-CvC'!$A$5:$P$55,MATCH($A12,'Dens-A-CvC'!$B$5:$B$55,0),MATCH("charter_est_units",'Dens-A-CvC'!$A$4:$P$4,0))),"")</f>
        <v/>
      </c>
      <c r="C12" s="43">
        <f>IFERROR(IF(ISBLANK(INDEX('Dens-A-CvC'!$A$5:$P$55,MATCH($A12,'Dens-A-CvC'!$B$5:$B$55,0),MATCH("comcast_est_units",'Dens-A-CvC'!$A$4:$P$4,0))),"",INDEX('Dens-A-CvC'!$A$5:$P$55,MATCH($A12,'Dens-A-CvC'!$B$5:$B$55,0),MATCH("comcast_est_units",'Dens-A-CvC'!$A$4:$P$4,0))),"")</f>
        <v/>
      </c>
      <c r="D12" s="43">
        <f>IFERROR(IF(ISBLANK(INDEX('Dens-A-CvC'!$A$5:$P$55,MATCH($A12,'Dens-A-CvC'!$B$5:$B$55,0),MATCH("total_residential_units",'Dens-A-CvC'!$A$4:$P$4,0))),"",INDEX('Dens-A-CvC'!$A$5:$P$55,MATCH($A12,'Dens-A-CvC'!$B$5:$B$55,0),MATCH("total_residential_units",'Dens-A-CvC'!$A$4:$P$4,0))),"")</f>
        <v/>
      </c>
      <c r="E12" s="43">
        <f>IFERROR(IF(ISBLANK(INDEX('Dens-B-WFH'!$A$5:$L$55,MATCH($A12,'Dens-B-WFH'!$B$5:$B$55,0),MATCH("acs_worked_from_home",'Dens-B-WFH'!$A$4:$L$4,0))),"",INDEX('Dens-B-WFH'!$A$5:$L$55,MATCH($A12,'Dens-B-WFH'!$B$5:$B$55,0),MATCH("acs_worked_from_home",'Dens-B-WFH'!$A$4:$L$4,0))),"")</f>
        <v/>
      </c>
      <c r="F12" s="43">
        <f>IFERROR(IF(ISBLANK(INDEX('Dens-C-Large'!$A$5:$M$55,MATCH($A12,'Dens-C-Large'!$B$5:$B$55,0),MATCH("susb_employment_ge500",'Dens-C-Large'!$A$4:$M$4,0))),"",INDEX('Dens-C-Large'!$A$5:$M$55,MATCH($A12,'Dens-C-Large'!$B$5:$B$55,0),MATCH("susb_employment_ge500",'Dens-C-Large'!$A$4:$M$4,0))),"")</f>
        <v/>
      </c>
      <c r="G12" s="43">
        <f>IFERROR(IF(ISBLANK(INDEX('Dens-C-Large'!$A$5:$M$55,MATCH($A12,'Dens-C-Large'!$B$5:$B$55,0),MATCH("susb_employment_total",'Dens-C-Large'!$A$4:$M$4,0))),"",INDEX('Dens-C-Large'!$A$5:$M$55,MATCH($A12,'Dens-C-Large'!$B$5:$B$55,0),MATCH("susb_employment_total",'Dens-C-Large'!$A$4:$M$4,0))),"")</f>
        <v/>
      </c>
      <c r="H12" s="55">
        <f>IF(Table2[[#This Row],[Charter Units]]&lt;&gt;"", Table2[[#This Row],[Charter Units]]/Table2[[#This Row],[Total Residential Units]], "")</f>
        <v/>
      </c>
      <c r="I12" s="44">
        <f>IFERROR(IF(ISBLANK(INDEX('Dens-B-WFH'!$A$5:$L$55,MATCH($A12,'Dens-B-WFH'!$B$5:$B$55,0),MATCH("acs_wfh_rate_pct",'Dens-B-WFH'!$A$4:$L$4,0))),"",INDEX('Dens-B-WFH'!$A$5:$L$55,MATCH($A12,'Dens-B-WFH'!$B$5:$B$55,0),MATCH("acs_wfh_rate_pct",'Dens-B-WFH'!$A$4:$L$4,0))/100),"")</f>
        <v/>
      </c>
      <c r="J12" s="47">
        <f>IFERROR(IF(ISBLANK(INDEX('Dens-C-Large'!$A$5:$M$55,MATCH($A12,'Dens-C-Large'!$B$5:$B$55,0),MATCH("susb_share_ge500_pct",'Dens-C-Large'!$A$4:$M$4,0))),"",INDEX('Dens-C-Large'!$A$5:$M$55,MATCH($A12,'Dens-C-Large'!$B$5:$B$55,0),MATCH("susb_share_ge500_pct",'Dens-C-Large'!$A$4:$M$4,0))/100),"")</f>
        <v/>
      </c>
    </row>
    <row r="13" ht="18" customHeight="1" s="34">
      <c r="A13" s="46" t="inlineStr">
        <is>
          <t>Hawaii</t>
        </is>
      </c>
      <c r="B13" s="43">
        <f>IFERROR(IF(ISBLANK(INDEX('Dens-A-CvC'!$A$5:$P$55,MATCH($A13,'Dens-A-CvC'!$B$5:$B$55,0),MATCH("charter_est_units",'Dens-A-CvC'!$A$4:$P$4,0))),"",INDEX('Dens-A-CvC'!$A$5:$P$55,MATCH($A13,'Dens-A-CvC'!$B$5:$B$55,0),MATCH("charter_est_units",'Dens-A-CvC'!$A$4:$P$4,0))),"")</f>
        <v/>
      </c>
      <c r="C13" s="43">
        <f>IFERROR(IF(ISBLANK(INDEX('Dens-A-CvC'!$A$5:$P$55,MATCH($A13,'Dens-A-CvC'!$B$5:$B$55,0),MATCH("comcast_est_units",'Dens-A-CvC'!$A$4:$P$4,0))),"",INDEX('Dens-A-CvC'!$A$5:$P$55,MATCH($A13,'Dens-A-CvC'!$B$5:$B$55,0),MATCH("comcast_est_units",'Dens-A-CvC'!$A$4:$P$4,0))),"")</f>
        <v/>
      </c>
      <c r="D13" s="43">
        <f>IFERROR(IF(ISBLANK(INDEX('Dens-A-CvC'!$A$5:$P$55,MATCH($A13,'Dens-A-CvC'!$B$5:$B$55,0),MATCH("total_residential_units",'Dens-A-CvC'!$A$4:$P$4,0))),"",INDEX('Dens-A-CvC'!$A$5:$P$55,MATCH($A13,'Dens-A-CvC'!$B$5:$B$55,0),MATCH("total_residential_units",'Dens-A-CvC'!$A$4:$P$4,0))),"")</f>
        <v/>
      </c>
      <c r="E13" s="43">
        <f>IFERROR(IF(ISBLANK(INDEX('Dens-B-WFH'!$A$5:$L$55,MATCH($A13,'Dens-B-WFH'!$B$5:$B$55,0),MATCH("acs_worked_from_home",'Dens-B-WFH'!$A$4:$L$4,0))),"",INDEX('Dens-B-WFH'!$A$5:$L$55,MATCH($A13,'Dens-B-WFH'!$B$5:$B$55,0),MATCH("acs_worked_from_home",'Dens-B-WFH'!$A$4:$L$4,0))),"")</f>
        <v/>
      </c>
      <c r="F13" s="43">
        <f>IFERROR(IF(ISBLANK(INDEX('Dens-C-Large'!$A$5:$M$55,MATCH($A13,'Dens-C-Large'!$B$5:$B$55,0),MATCH("susb_employment_ge500",'Dens-C-Large'!$A$4:$M$4,0))),"",INDEX('Dens-C-Large'!$A$5:$M$55,MATCH($A13,'Dens-C-Large'!$B$5:$B$55,0),MATCH("susb_employment_ge500",'Dens-C-Large'!$A$4:$M$4,0))),"")</f>
        <v/>
      </c>
      <c r="G13" s="43">
        <f>IFERROR(IF(ISBLANK(INDEX('Dens-C-Large'!$A$5:$M$55,MATCH($A13,'Dens-C-Large'!$B$5:$B$55,0),MATCH("susb_employment_total",'Dens-C-Large'!$A$4:$M$4,0))),"",INDEX('Dens-C-Large'!$A$5:$M$55,MATCH($A13,'Dens-C-Large'!$B$5:$B$55,0),MATCH("susb_employment_total",'Dens-C-Large'!$A$4:$M$4,0))),"")</f>
        <v/>
      </c>
      <c r="H13" s="55">
        <f>IF(Table2[[#This Row],[Charter Units]]&lt;&gt;"", Table2[[#This Row],[Charter Units]]/Table2[[#This Row],[Total Residential Units]], "")</f>
        <v/>
      </c>
      <c r="I13" s="44">
        <f>IFERROR(IF(ISBLANK(INDEX('Dens-B-WFH'!$A$5:$L$55,MATCH($A13,'Dens-B-WFH'!$B$5:$B$55,0),MATCH("acs_wfh_rate_pct",'Dens-B-WFH'!$A$4:$L$4,0))),"",INDEX('Dens-B-WFH'!$A$5:$L$55,MATCH($A13,'Dens-B-WFH'!$B$5:$B$55,0),MATCH("acs_wfh_rate_pct",'Dens-B-WFH'!$A$4:$L$4,0))/100),"")</f>
        <v/>
      </c>
      <c r="J13" s="47">
        <f>IFERROR(IF(ISBLANK(INDEX('Dens-C-Large'!$A$5:$M$55,MATCH($A13,'Dens-C-Large'!$B$5:$B$55,0),MATCH("susb_share_ge500_pct",'Dens-C-Large'!$A$4:$M$4,0))),"",INDEX('Dens-C-Large'!$A$5:$M$55,MATCH($A13,'Dens-C-Large'!$B$5:$B$55,0),MATCH("susb_share_ge500_pct",'Dens-C-Large'!$A$4:$M$4,0))/100),"")</f>
        <v/>
      </c>
    </row>
    <row r="14" ht="18" customHeight="1" s="34">
      <c r="A14" s="46" t="inlineStr">
        <is>
          <t>Idaho</t>
        </is>
      </c>
      <c r="B14" s="43">
        <f>IFERROR(IF(ISBLANK(INDEX('Dens-A-CvC'!$A$5:$P$55,MATCH($A14,'Dens-A-CvC'!$B$5:$B$55,0),MATCH("charter_est_units",'Dens-A-CvC'!$A$4:$P$4,0))),"",INDEX('Dens-A-CvC'!$A$5:$P$55,MATCH($A14,'Dens-A-CvC'!$B$5:$B$55,0),MATCH("charter_est_units",'Dens-A-CvC'!$A$4:$P$4,0))),"")</f>
        <v/>
      </c>
      <c r="C14" s="43">
        <f>IFERROR(IF(ISBLANK(INDEX('Dens-A-CvC'!$A$5:$P$55,MATCH($A14,'Dens-A-CvC'!$B$5:$B$55,0),MATCH("comcast_est_units",'Dens-A-CvC'!$A$4:$P$4,0))),"",INDEX('Dens-A-CvC'!$A$5:$P$55,MATCH($A14,'Dens-A-CvC'!$B$5:$B$55,0),MATCH("comcast_est_units",'Dens-A-CvC'!$A$4:$P$4,0))),"")</f>
        <v/>
      </c>
      <c r="D14" s="43">
        <f>IFERROR(IF(ISBLANK(INDEX('Dens-A-CvC'!$A$5:$P$55,MATCH($A14,'Dens-A-CvC'!$B$5:$B$55,0),MATCH("total_residential_units",'Dens-A-CvC'!$A$4:$P$4,0))),"",INDEX('Dens-A-CvC'!$A$5:$P$55,MATCH($A14,'Dens-A-CvC'!$B$5:$B$55,0),MATCH("total_residential_units",'Dens-A-CvC'!$A$4:$P$4,0))),"")</f>
        <v/>
      </c>
      <c r="E14" s="43">
        <f>IFERROR(IF(ISBLANK(INDEX('Dens-B-WFH'!$A$5:$L$55,MATCH($A14,'Dens-B-WFH'!$B$5:$B$55,0),MATCH("acs_worked_from_home",'Dens-B-WFH'!$A$4:$L$4,0))),"",INDEX('Dens-B-WFH'!$A$5:$L$55,MATCH($A14,'Dens-B-WFH'!$B$5:$B$55,0),MATCH("acs_worked_from_home",'Dens-B-WFH'!$A$4:$L$4,0))),"")</f>
        <v/>
      </c>
      <c r="F14" s="43">
        <f>IFERROR(IF(ISBLANK(INDEX('Dens-C-Large'!$A$5:$M$55,MATCH($A14,'Dens-C-Large'!$B$5:$B$55,0),MATCH("susb_employment_ge500",'Dens-C-Large'!$A$4:$M$4,0))),"",INDEX('Dens-C-Large'!$A$5:$M$55,MATCH($A14,'Dens-C-Large'!$B$5:$B$55,0),MATCH("susb_employment_ge500",'Dens-C-Large'!$A$4:$M$4,0))),"")</f>
        <v/>
      </c>
      <c r="G14" s="43">
        <f>IFERROR(IF(ISBLANK(INDEX('Dens-C-Large'!$A$5:$M$55,MATCH($A14,'Dens-C-Large'!$B$5:$B$55,0),MATCH("susb_employment_total",'Dens-C-Large'!$A$4:$M$4,0))),"",INDEX('Dens-C-Large'!$A$5:$M$55,MATCH($A14,'Dens-C-Large'!$B$5:$B$55,0),MATCH("susb_employment_total",'Dens-C-Large'!$A$4:$M$4,0))),"")</f>
        <v/>
      </c>
      <c r="H14" s="55">
        <f>IF(Table2[[#This Row],[Charter Units]]&lt;&gt;"", Table2[[#This Row],[Charter Units]]/Table2[[#This Row],[Total Residential Units]], "")</f>
        <v/>
      </c>
      <c r="I14" s="44">
        <f>IFERROR(IF(ISBLANK(INDEX('Dens-B-WFH'!$A$5:$L$55,MATCH($A14,'Dens-B-WFH'!$B$5:$B$55,0),MATCH("acs_wfh_rate_pct",'Dens-B-WFH'!$A$4:$L$4,0))),"",INDEX('Dens-B-WFH'!$A$5:$L$55,MATCH($A14,'Dens-B-WFH'!$B$5:$B$55,0),MATCH("acs_wfh_rate_pct",'Dens-B-WFH'!$A$4:$L$4,0))/100),"")</f>
        <v/>
      </c>
      <c r="J14" s="47">
        <f>IFERROR(IF(ISBLANK(INDEX('Dens-C-Large'!$A$5:$M$55,MATCH($A14,'Dens-C-Large'!$B$5:$B$55,0),MATCH("susb_share_ge500_pct",'Dens-C-Large'!$A$4:$M$4,0))),"",INDEX('Dens-C-Large'!$A$5:$M$55,MATCH($A14,'Dens-C-Large'!$B$5:$B$55,0),MATCH("susb_share_ge500_pct",'Dens-C-Large'!$A$4:$M$4,0))/100),"")</f>
        <v/>
      </c>
    </row>
    <row r="15" ht="18" customHeight="1" s="34">
      <c r="A15" s="46" t="inlineStr">
        <is>
          <t>Illinois</t>
        </is>
      </c>
      <c r="B15" s="43">
        <f>IFERROR(IF(ISBLANK(INDEX('Dens-A-CvC'!$A$5:$P$55,MATCH($A15,'Dens-A-CvC'!$B$5:$B$55,0),MATCH("charter_est_units",'Dens-A-CvC'!$A$4:$P$4,0))),"",INDEX('Dens-A-CvC'!$A$5:$P$55,MATCH($A15,'Dens-A-CvC'!$B$5:$B$55,0),MATCH("charter_est_units",'Dens-A-CvC'!$A$4:$P$4,0))),"")</f>
        <v/>
      </c>
      <c r="C15" s="43">
        <f>IFERROR(IF(ISBLANK(INDEX('Dens-A-CvC'!$A$5:$P$55,MATCH($A15,'Dens-A-CvC'!$B$5:$B$55,0),MATCH("comcast_est_units",'Dens-A-CvC'!$A$4:$P$4,0))),"",INDEX('Dens-A-CvC'!$A$5:$P$55,MATCH($A15,'Dens-A-CvC'!$B$5:$B$55,0),MATCH("comcast_est_units",'Dens-A-CvC'!$A$4:$P$4,0))),"")</f>
        <v/>
      </c>
      <c r="D15" s="43">
        <f>IFERROR(IF(ISBLANK(INDEX('Dens-A-CvC'!$A$5:$P$55,MATCH($A15,'Dens-A-CvC'!$B$5:$B$55,0),MATCH("total_residential_units",'Dens-A-CvC'!$A$4:$P$4,0))),"",INDEX('Dens-A-CvC'!$A$5:$P$55,MATCH($A15,'Dens-A-CvC'!$B$5:$B$55,0),MATCH("total_residential_units",'Dens-A-CvC'!$A$4:$P$4,0))),"")</f>
        <v/>
      </c>
      <c r="E15" s="43">
        <f>IFERROR(IF(ISBLANK(INDEX('Dens-B-WFH'!$A$5:$L$55,MATCH($A15,'Dens-B-WFH'!$B$5:$B$55,0),MATCH("acs_worked_from_home",'Dens-B-WFH'!$A$4:$L$4,0))),"",INDEX('Dens-B-WFH'!$A$5:$L$55,MATCH($A15,'Dens-B-WFH'!$B$5:$B$55,0),MATCH("acs_worked_from_home",'Dens-B-WFH'!$A$4:$L$4,0))),"")</f>
        <v/>
      </c>
      <c r="F15" s="43">
        <f>IFERROR(IF(ISBLANK(INDEX('Dens-C-Large'!$A$5:$M$55,MATCH($A15,'Dens-C-Large'!$B$5:$B$55,0),MATCH("susb_employment_ge500",'Dens-C-Large'!$A$4:$M$4,0))),"",INDEX('Dens-C-Large'!$A$5:$M$55,MATCH($A15,'Dens-C-Large'!$B$5:$B$55,0),MATCH("susb_employment_ge500",'Dens-C-Large'!$A$4:$M$4,0))),"")</f>
        <v/>
      </c>
      <c r="G15" s="43">
        <f>IFERROR(IF(ISBLANK(INDEX('Dens-C-Large'!$A$5:$M$55,MATCH($A15,'Dens-C-Large'!$B$5:$B$55,0),MATCH("susb_employment_total",'Dens-C-Large'!$A$4:$M$4,0))),"",INDEX('Dens-C-Large'!$A$5:$M$55,MATCH($A15,'Dens-C-Large'!$B$5:$B$55,0),MATCH("susb_employment_total",'Dens-C-Large'!$A$4:$M$4,0))),"")</f>
        <v/>
      </c>
      <c r="H15" s="55">
        <f>IF(Table2[[#This Row],[Charter Units]]&lt;&gt;"", Table2[[#This Row],[Charter Units]]/Table2[[#This Row],[Total Residential Units]], "")</f>
        <v/>
      </c>
      <c r="I15" s="44">
        <f>IFERROR(IF(ISBLANK(INDEX('Dens-B-WFH'!$A$5:$L$55,MATCH($A15,'Dens-B-WFH'!$B$5:$B$55,0),MATCH("acs_wfh_rate_pct",'Dens-B-WFH'!$A$4:$L$4,0))),"",INDEX('Dens-B-WFH'!$A$5:$L$55,MATCH($A15,'Dens-B-WFH'!$B$5:$B$55,0),MATCH("acs_wfh_rate_pct",'Dens-B-WFH'!$A$4:$L$4,0))/100),"")</f>
        <v/>
      </c>
      <c r="J15" s="47">
        <f>IFERROR(IF(ISBLANK(INDEX('Dens-C-Large'!$A$5:$M$55,MATCH($A15,'Dens-C-Large'!$B$5:$B$55,0),MATCH("susb_share_ge500_pct",'Dens-C-Large'!$A$4:$M$4,0))),"",INDEX('Dens-C-Large'!$A$5:$M$55,MATCH($A15,'Dens-C-Large'!$B$5:$B$55,0),MATCH("susb_share_ge500_pct",'Dens-C-Large'!$A$4:$M$4,0))/100),"")</f>
        <v/>
      </c>
    </row>
    <row r="16" ht="18" customHeight="1" s="34">
      <c r="A16" s="46" t="inlineStr">
        <is>
          <t>Indiana</t>
        </is>
      </c>
      <c r="B16" s="43">
        <f>IFERROR(IF(ISBLANK(INDEX('Dens-A-CvC'!$A$5:$P$55,MATCH($A16,'Dens-A-CvC'!$B$5:$B$55,0),MATCH("charter_est_units",'Dens-A-CvC'!$A$4:$P$4,0))),"",INDEX('Dens-A-CvC'!$A$5:$P$55,MATCH($A16,'Dens-A-CvC'!$B$5:$B$55,0),MATCH("charter_est_units",'Dens-A-CvC'!$A$4:$P$4,0))),"")</f>
        <v/>
      </c>
      <c r="C16" s="43">
        <f>IFERROR(IF(ISBLANK(INDEX('Dens-A-CvC'!$A$5:$P$55,MATCH($A16,'Dens-A-CvC'!$B$5:$B$55,0),MATCH("comcast_est_units",'Dens-A-CvC'!$A$4:$P$4,0))),"",INDEX('Dens-A-CvC'!$A$5:$P$55,MATCH($A16,'Dens-A-CvC'!$B$5:$B$55,0),MATCH("comcast_est_units",'Dens-A-CvC'!$A$4:$P$4,0))),"")</f>
        <v/>
      </c>
      <c r="D16" s="43">
        <f>IFERROR(IF(ISBLANK(INDEX('Dens-A-CvC'!$A$5:$P$55,MATCH($A16,'Dens-A-CvC'!$B$5:$B$55,0),MATCH("total_residential_units",'Dens-A-CvC'!$A$4:$P$4,0))),"",INDEX('Dens-A-CvC'!$A$5:$P$55,MATCH($A16,'Dens-A-CvC'!$B$5:$B$55,0),MATCH("total_residential_units",'Dens-A-CvC'!$A$4:$P$4,0))),"")</f>
        <v/>
      </c>
      <c r="E16" s="43">
        <f>IFERROR(IF(ISBLANK(INDEX('Dens-B-WFH'!$A$5:$L$55,MATCH($A16,'Dens-B-WFH'!$B$5:$B$55,0),MATCH("acs_worked_from_home",'Dens-B-WFH'!$A$4:$L$4,0))),"",INDEX('Dens-B-WFH'!$A$5:$L$55,MATCH($A16,'Dens-B-WFH'!$B$5:$B$55,0),MATCH("acs_worked_from_home",'Dens-B-WFH'!$A$4:$L$4,0))),"")</f>
        <v/>
      </c>
      <c r="F16" s="43">
        <f>IFERROR(IF(ISBLANK(INDEX('Dens-C-Large'!$A$5:$M$55,MATCH($A16,'Dens-C-Large'!$B$5:$B$55,0),MATCH("susb_employment_ge500",'Dens-C-Large'!$A$4:$M$4,0))),"",INDEX('Dens-C-Large'!$A$5:$M$55,MATCH($A16,'Dens-C-Large'!$B$5:$B$55,0),MATCH("susb_employment_ge500",'Dens-C-Large'!$A$4:$M$4,0))),"")</f>
        <v/>
      </c>
      <c r="G16" s="43">
        <f>IFERROR(IF(ISBLANK(INDEX('Dens-C-Large'!$A$5:$M$55,MATCH($A16,'Dens-C-Large'!$B$5:$B$55,0),MATCH("susb_employment_total",'Dens-C-Large'!$A$4:$M$4,0))),"",INDEX('Dens-C-Large'!$A$5:$M$55,MATCH($A16,'Dens-C-Large'!$B$5:$B$55,0),MATCH("susb_employment_total",'Dens-C-Large'!$A$4:$M$4,0))),"")</f>
        <v/>
      </c>
      <c r="H16" s="55">
        <f>IF(Table2[[#This Row],[Charter Units]]&lt;&gt;"", Table2[[#This Row],[Charter Units]]/Table2[[#This Row],[Total Residential Units]], "")</f>
        <v/>
      </c>
      <c r="I16" s="44">
        <f>IFERROR(IF(ISBLANK(INDEX('Dens-B-WFH'!$A$5:$L$55,MATCH($A16,'Dens-B-WFH'!$B$5:$B$55,0),MATCH("acs_wfh_rate_pct",'Dens-B-WFH'!$A$4:$L$4,0))),"",INDEX('Dens-B-WFH'!$A$5:$L$55,MATCH($A16,'Dens-B-WFH'!$B$5:$B$55,0),MATCH("acs_wfh_rate_pct",'Dens-B-WFH'!$A$4:$L$4,0))/100),"")</f>
        <v/>
      </c>
      <c r="J16" s="47">
        <f>IFERROR(IF(ISBLANK(INDEX('Dens-C-Large'!$A$5:$M$55,MATCH($A16,'Dens-C-Large'!$B$5:$B$55,0),MATCH("susb_share_ge500_pct",'Dens-C-Large'!$A$4:$M$4,0))),"",INDEX('Dens-C-Large'!$A$5:$M$55,MATCH($A16,'Dens-C-Large'!$B$5:$B$55,0),MATCH("susb_share_ge500_pct",'Dens-C-Large'!$A$4:$M$4,0))/100),"")</f>
        <v/>
      </c>
    </row>
    <row r="17" ht="18" customHeight="1" s="34">
      <c r="A17" s="46" t="inlineStr">
        <is>
          <t>Iowa</t>
        </is>
      </c>
      <c r="B17" s="43">
        <f>IFERROR(IF(ISBLANK(INDEX('Dens-A-CvC'!$A$5:$P$55,MATCH($A17,'Dens-A-CvC'!$B$5:$B$55,0),MATCH("charter_est_units",'Dens-A-CvC'!$A$4:$P$4,0))),"",INDEX('Dens-A-CvC'!$A$5:$P$55,MATCH($A17,'Dens-A-CvC'!$B$5:$B$55,0),MATCH("charter_est_units",'Dens-A-CvC'!$A$4:$P$4,0))),"")</f>
        <v/>
      </c>
      <c r="C17" s="43">
        <f>IFERROR(IF(ISBLANK(INDEX('Dens-A-CvC'!$A$5:$P$55,MATCH($A17,'Dens-A-CvC'!$B$5:$B$55,0),MATCH("comcast_est_units",'Dens-A-CvC'!$A$4:$P$4,0))),"",INDEX('Dens-A-CvC'!$A$5:$P$55,MATCH($A17,'Dens-A-CvC'!$B$5:$B$55,0),MATCH("comcast_est_units",'Dens-A-CvC'!$A$4:$P$4,0))),"")</f>
        <v/>
      </c>
      <c r="D17" s="43">
        <f>IFERROR(IF(ISBLANK(INDEX('Dens-A-CvC'!$A$5:$P$55,MATCH($A17,'Dens-A-CvC'!$B$5:$B$55,0),MATCH("total_residential_units",'Dens-A-CvC'!$A$4:$P$4,0))),"",INDEX('Dens-A-CvC'!$A$5:$P$55,MATCH($A17,'Dens-A-CvC'!$B$5:$B$55,0),MATCH("total_residential_units",'Dens-A-CvC'!$A$4:$P$4,0))),"")</f>
        <v/>
      </c>
      <c r="E17" s="43">
        <f>IFERROR(IF(ISBLANK(INDEX('Dens-B-WFH'!$A$5:$L$55,MATCH($A17,'Dens-B-WFH'!$B$5:$B$55,0),MATCH("acs_worked_from_home",'Dens-B-WFH'!$A$4:$L$4,0))),"",INDEX('Dens-B-WFH'!$A$5:$L$55,MATCH($A17,'Dens-B-WFH'!$B$5:$B$55,0),MATCH("acs_worked_from_home",'Dens-B-WFH'!$A$4:$L$4,0))),"")</f>
        <v/>
      </c>
      <c r="F17" s="43">
        <f>IFERROR(IF(ISBLANK(INDEX('Dens-C-Large'!$A$5:$M$55,MATCH($A17,'Dens-C-Large'!$B$5:$B$55,0),MATCH("susb_employment_ge500",'Dens-C-Large'!$A$4:$M$4,0))),"",INDEX('Dens-C-Large'!$A$5:$M$55,MATCH($A17,'Dens-C-Large'!$B$5:$B$55,0),MATCH("susb_employment_ge500",'Dens-C-Large'!$A$4:$M$4,0))),"")</f>
        <v/>
      </c>
      <c r="G17" s="43">
        <f>IFERROR(IF(ISBLANK(INDEX('Dens-C-Large'!$A$5:$M$55,MATCH($A17,'Dens-C-Large'!$B$5:$B$55,0),MATCH("susb_employment_total",'Dens-C-Large'!$A$4:$M$4,0))),"",INDEX('Dens-C-Large'!$A$5:$M$55,MATCH($A17,'Dens-C-Large'!$B$5:$B$55,0),MATCH("susb_employment_total",'Dens-C-Large'!$A$4:$M$4,0))),"")</f>
        <v/>
      </c>
      <c r="H17" s="55">
        <f>IF(Table2[[#This Row],[Charter Units]]&lt;&gt;"", Table2[[#This Row],[Charter Units]]/Table2[[#This Row],[Total Residential Units]], "")</f>
        <v/>
      </c>
      <c r="I17" s="44">
        <f>IFERROR(IF(ISBLANK(INDEX('Dens-B-WFH'!$A$5:$L$55,MATCH($A17,'Dens-B-WFH'!$B$5:$B$55,0),MATCH("acs_wfh_rate_pct",'Dens-B-WFH'!$A$4:$L$4,0))),"",INDEX('Dens-B-WFH'!$A$5:$L$55,MATCH($A17,'Dens-B-WFH'!$B$5:$B$55,0),MATCH("acs_wfh_rate_pct",'Dens-B-WFH'!$A$4:$L$4,0))/100),"")</f>
        <v/>
      </c>
      <c r="J17" s="47">
        <f>IFERROR(IF(ISBLANK(INDEX('Dens-C-Large'!$A$5:$M$55,MATCH($A17,'Dens-C-Large'!$B$5:$B$55,0),MATCH("susb_share_ge500_pct",'Dens-C-Large'!$A$4:$M$4,0))),"",INDEX('Dens-C-Large'!$A$5:$M$55,MATCH($A17,'Dens-C-Large'!$B$5:$B$55,0),MATCH("susb_share_ge500_pct",'Dens-C-Large'!$A$4:$M$4,0))/100),"")</f>
        <v/>
      </c>
    </row>
    <row r="18" ht="18" customHeight="1" s="34">
      <c r="A18" s="46" t="inlineStr">
        <is>
          <t>Kansas</t>
        </is>
      </c>
      <c r="B18" s="43">
        <f>IFERROR(IF(ISBLANK(INDEX('Dens-A-CvC'!$A$5:$P$55,MATCH($A18,'Dens-A-CvC'!$B$5:$B$55,0),MATCH("charter_est_units",'Dens-A-CvC'!$A$4:$P$4,0))),"",INDEX('Dens-A-CvC'!$A$5:$P$55,MATCH($A18,'Dens-A-CvC'!$B$5:$B$55,0),MATCH("charter_est_units",'Dens-A-CvC'!$A$4:$P$4,0))),"")</f>
        <v/>
      </c>
      <c r="C18" s="43">
        <f>IFERROR(IF(ISBLANK(INDEX('Dens-A-CvC'!$A$5:$P$55,MATCH($A18,'Dens-A-CvC'!$B$5:$B$55,0),MATCH("comcast_est_units",'Dens-A-CvC'!$A$4:$P$4,0))),"",INDEX('Dens-A-CvC'!$A$5:$P$55,MATCH($A18,'Dens-A-CvC'!$B$5:$B$55,0),MATCH("comcast_est_units",'Dens-A-CvC'!$A$4:$P$4,0))),"")</f>
        <v/>
      </c>
      <c r="D18" s="43">
        <f>IFERROR(IF(ISBLANK(INDEX('Dens-A-CvC'!$A$5:$P$55,MATCH($A18,'Dens-A-CvC'!$B$5:$B$55,0),MATCH("total_residential_units",'Dens-A-CvC'!$A$4:$P$4,0))),"",INDEX('Dens-A-CvC'!$A$5:$P$55,MATCH($A18,'Dens-A-CvC'!$B$5:$B$55,0),MATCH("total_residential_units",'Dens-A-CvC'!$A$4:$P$4,0))),"")</f>
        <v/>
      </c>
      <c r="E18" s="43">
        <f>IFERROR(IF(ISBLANK(INDEX('Dens-B-WFH'!$A$5:$L$55,MATCH($A18,'Dens-B-WFH'!$B$5:$B$55,0),MATCH("acs_worked_from_home",'Dens-B-WFH'!$A$4:$L$4,0))),"",INDEX('Dens-B-WFH'!$A$5:$L$55,MATCH($A18,'Dens-B-WFH'!$B$5:$B$55,0),MATCH("acs_worked_from_home",'Dens-B-WFH'!$A$4:$L$4,0))),"")</f>
        <v/>
      </c>
      <c r="F18" s="43">
        <f>IFERROR(IF(ISBLANK(INDEX('Dens-C-Large'!$A$5:$M$55,MATCH($A18,'Dens-C-Large'!$B$5:$B$55,0),MATCH("susb_employment_ge500",'Dens-C-Large'!$A$4:$M$4,0))),"",INDEX('Dens-C-Large'!$A$5:$M$55,MATCH($A18,'Dens-C-Large'!$B$5:$B$55,0),MATCH("susb_employment_ge500",'Dens-C-Large'!$A$4:$M$4,0))),"")</f>
        <v/>
      </c>
      <c r="G18" s="43">
        <f>IFERROR(IF(ISBLANK(INDEX('Dens-C-Large'!$A$5:$M$55,MATCH($A18,'Dens-C-Large'!$B$5:$B$55,0),MATCH("susb_employment_total",'Dens-C-Large'!$A$4:$M$4,0))),"",INDEX('Dens-C-Large'!$A$5:$M$55,MATCH($A18,'Dens-C-Large'!$B$5:$B$55,0),MATCH("susb_employment_total",'Dens-C-Large'!$A$4:$M$4,0))),"")</f>
        <v/>
      </c>
      <c r="H18" s="55">
        <f>IF(Table2[[#This Row],[Charter Units]]&lt;&gt;"", Table2[[#This Row],[Charter Units]]/Table2[[#This Row],[Total Residential Units]], "")</f>
        <v/>
      </c>
      <c r="I18" s="44">
        <f>IFERROR(IF(ISBLANK(INDEX('Dens-B-WFH'!$A$5:$L$55,MATCH($A18,'Dens-B-WFH'!$B$5:$B$55,0),MATCH("acs_wfh_rate_pct",'Dens-B-WFH'!$A$4:$L$4,0))),"",INDEX('Dens-B-WFH'!$A$5:$L$55,MATCH($A18,'Dens-B-WFH'!$B$5:$B$55,0),MATCH("acs_wfh_rate_pct",'Dens-B-WFH'!$A$4:$L$4,0))/100),"")</f>
        <v/>
      </c>
      <c r="J18" s="47">
        <f>IFERROR(IF(ISBLANK(INDEX('Dens-C-Large'!$A$5:$M$55,MATCH($A18,'Dens-C-Large'!$B$5:$B$55,0),MATCH("susb_share_ge500_pct",'Dens-C-Large'!$A$4:$M$4,0))),"",INDEX('Dens-C-Large'!$A$5:$M$55,MATCH($A18,'Dens-C-Large'!$B$5:$B$55,0),MATCH("susb_share_ge500_pct",'Dens-C-Large'!$A$4:$M$4,0))/100),"")</f>
        <v/>
      </c>
    </row>
    <row r="19" ht="18" customHeight="1" s="34">
      <c r="A19" s="46" t="inlineStr">
        <is>
          <t>Kentucky</t>
        </is>
      </c>
      <c r="B19" s="43">
        <f>IFERROR(IF(ISBLANK(INDEX('Dens-A-CvC'!$A$5:$P$55,MATCH($A19,'Dens-A-CvC'!$B$5:$B$55,0),MATCH("charter_est_units",'Dens-A-CvC'!$A$4:$P$4,0))),"",INDEX('Dens-A-CvC'!$A$5:$P$55,MATCH($A19,'Dens-A-CvC'!$B$5:$B$55,0),MATCH("charter_est_units",'Dens-A-CvC'!$A$4:$P$4,0))),"")</f>
        <v/>
      </c>
      <c r="C19" s="43">
        <f>IFERROR(IF(ISBLANK(INDEX('Dens-A-CvC'!$A$5:$P$55,MATCH($A19,'Dens-A-CvC'!$B$5:$B$55,0),MATCH("comcast_est_units",'Dens-A-CvC'!$A$4:$P$4,0))),"",INDEX('Dens-A-CvC'!$A$5:$P$55,MATCH($A19,'Dens-A-CvC'!$B$5:$B$55,0),MATCH("comcast_est_units",'Dens-A-CvC'!$A$4:$P$4,0))),"")</f>
        <v/>
      </c>
      <c r="D19" s="43">
        <f>IFERROR(IF(ISBLANK(INDEX('Dens-A-CvC'!$A$5:$P$55,MATCH($A19,'Dens-A-CvC'!$B$5:$B$55,0),MATCH("total_residential_units",'Dens-A-CvC'!$A$4:$P$4,0))),"",INDEX('Dens-A-CvC'!$A$5:$P$55,MATCH($A19,'Dens-A-CvC'!$B$5:$B$55,0),MATCH("total_residential_units",'Dens-A-CvC'!$A$4:$P$4,0))),"")</f>
        <v/>
      </c>
      <c r="E19" s="43">
        <f>IFERROR(IF(ISBLANK(INDEX('Dens-B-WFH'!$A$5:$L$55,MATCH($A19,'Dens-B-WFH'!$B$5:$B$55,0),MATCH("acs_worked_from_home",'Dens-B-WFH'!$A$4:$L$4,0))),"",INDEX('Dens-B-WFH'!$A$5:$L$55,MATCH($A19,'Dens-B-WFH'!$B$5:$B$55,0),MATCH("acs_worked_from_home",'Dens-B-WFH'!$A$4:$L$4,0))),"")</f>
        <v/>
      </c>
      <c r="F19" s="43">
        <f>IFERROR(IF(ISBLANK(INDEX('Dens-C-Large'!$A$5:$M$55,MATCH($A19,'Dens-C-Large'!$B$5:$B$55,0),MATCH("susb_employment_ge500",'Dens-C-Large'!$A$4:$M$4,0))),"",INDEX('Dens-C-Large'!$A$5:$M$55,MATCH($A19,'Dens-C-Large'!$B$5:$B$55,0),MATCH("susb_employment_ge500",'Dens-C-Large'!$A$4:$M$4,0))),"")</f>
        <v/>
      </c>
      <c r="G19" s="43">
        <f>IFERROR(IF(ISBLANK(INDEX('Dens-C-Large'!$A$5:$M$55,MATCH($A19,'Dens-C-Large'!$B$5:$B$55,0),MATCH("susb_employment_total",'Dens-C-Large'!$A$4:$M$4,0))),"",INDEX('Dens-C-Large'!$A$5:$M$55,MATCH($A19,'Dens-C-Large'!$B$5:$B$55,0),MATCH("susb_employment_total",'Dens-C-Large'!$A$4:$M$4,0))),"")</f>
        <v/>
      </c>
      <c r="H19" s="55">
        <f>IF(Table2[[#This Row],[Charter Units]]&lt;&gt;"", Table2[[#This Row],[Charter Units]]/Table2[[#This Row],[Total Residential Units]], "")</f>
        <v/>
      </c>
      <c r="I19" s="44">
        <f>IFERROR(IF(ISBLANK(INDEX('Dens-B-WFH'!$A$5:$L$55,MATCH($A19,'Dens-B-WFH'!$B$5:$B$55,0),MATCH("acs_wfh_rate_pct",'Dens-B-WFH'!$A$4:$L$4,0))),"",INDEX('Dens-B-WFH'!$A$5:$L$55,MATCH($A19,'Dens-B-WFH'!$B$5:$B$55,0),MATCH("acs_wfh_rate_pct",'Dens-B-WFH'!$A$4:$L$4,0))/100),"")</f>
        <v/>
      </c>
      <c r="J19" s="47">
        <f>IFERROR(IF(ISBLANK(INDEX('Dens-C-Large'!$A$5:$M$55,MATCH($A19,'Dens-C-Large'!$B$5:$B$55,0),MATCH("susb_share_ge500_pct",'Dens-C-Large'!$A$4:$M$4,0))),"",INDEX('Dens-C-Large'!$A$5:$M$55,MATCH($A19,'Dens-C-Large'!$B$5:$B$55,0),MATCH("susb_share_ge500_pct",'Dens-C-Large'!$A$4:$M$4,0))/100),"")</f>
        <v/>
      </c>
    </row>
    <row r="20" ht="18" customHeight="1" s="34">
      <c r="A20" s="46" t="inlineStr">
        <is>
          <t>Louisiana</t>
        </is>
      </c>
      <c r="B20" s="43">
        <f>IFERROR(IF(ISBLANK(INDEX('Dens-A-CvC'!$A$5:$P$55,MATCH($A20,'Dens-A-CvC'!$B$5:$B$55,0),MATCH("charter_est_units",'Dens-A-CvC'!$A$4:$P$4,0))),"",INDEX('Dens-A-CvC'!$A$5:$P$55,MATCH($A20,'Dens-A-CvC'!$B$5:$B$55,0),MATCH("charter_est_units",'Dens-A-CvC'!$A$4:$P$4,0))),"")</f>
        <v/>
      </c>
      <c r="C20" s="43">
        <f>IFERROR(IF(ISBLANK(INDEX('Dens-A-CvC'!$A$5:$P$55,MATCH($A20,'Dens-A-CvC'!$B$5:$B$55,0),MATCH("comcast_est_units",'Dens-A-CvC'!$A$4:$P$4,0))),"",INDEX('Dens-A-CvC'!$A$5:$P$55,MATCH($A20,'Dens-A-CvC'!$B$5:$B$55,0),MATCH("comcast_est_units",'Dens-A-CvC'!$A$4:$P$4,0))),"")</f>
        <v/>
      </c>
      <c r="D20" s="43">
        <f>IFERROR(IF(ISBLANK(INDEX('Dens-A-CvC'!$A$5:$P$55,MATCH($A20,'Dens-A-CvC'!$B$5:$B$55,0),MATCH("total_residential_units",'Dens-A-CvC'!$A$4:$P$4,0))),"",INDEX('Dens-A-CvC'!$A$5:$P$55,MATCH($A20,'Dens-A-CvC'!$B$5:$B$55,0),MATCH("total_residential_units",'Dens-A-CvC'!$A$4:$P$4,0))),"")</f>
        <v/>
      </c>
      <c r="E20" s="43">
        <f>IFERROR(IF(ISBLANK(INDEX('Dens-B-WFH'!$A$5:$L$55,MATCH($A20,'Dens-B-WFH'!$B$5:$B$55,0),MATCH("acs_worked_from_home",'Dens-B-WFH'!$A$4:$L$4,0))),"",INDEX('Dens-B-WFH'!$A$5:$L$55,MATCH($A20,'Dens-B-WFH'!$B$5:$B$55,0),MATCH("acs_worked_from_home",'Dens-B-WFH'!$A$4:$L$4,0))),"")</f>
        <v/>
      </c>
      <c r="F20" s="43">
        <f>IFERROR(IF(ISBLANK(INDEX('Dens-C-Large'!$A$5:$M$55,MATCH($A20,'Dens-C-Large'!$B$5:$B$55,0),MATCH("susb_employment_ge500",'Dens-C-Large'!$A$4:$M$4,0))),"",INDEX('Dens-C-Large'!$A$5:$M$55,MATCH($A20,'Dens-C-Large'!$B$5:$B$55,0),MATCH("susb_employment_ge500",'Dens-C-Large'!$A$4:$M$4,0))),"")</f>
        <v/>
      </c>
      <c r="G20" s="43">
        <f>IFERROR(IF(ISBLANK(INDEX('Dens-C-Large'!$A$5:$M$55,MATCH($A20,'Dens-C-Large'!$B$5:$B$55,0),MATCH("susb_employment_total",'Dens-C-Large'!$A$4:$M$4,0))),"",INDEX('Dens-C-Large'!$A$5:$M$55,MATCH($A20,'Dens-C-Large'!$B$5:$B$55,0),MATCH("susb_employment_total",'Dens-C-Large'!$A$4:$M$4,0))),"")</f>
        <v/>
      </c>
      <c r="H20" s="55">
        <f>IF(Table2[[#This Row],[Charter Units]]&lt;&gt;"", Table2[[#This Row],[Charter Units]]/Table2[[#This Row],[Total Residential Units]], "")</f>
        <v/>
      </c>
      <c r="I20" s="44">
        <f>IFERROR(IF(ISBLANK(INDEX('Dens-B-WFH'!$A$5:$L$55,MATCH($A20,'Dens-B-WFH'!$B$5:$B$55,0),MATCH("acs_wfh_rate_pct",'Dens-B-WFH'!$A$4:$L$4,0))),"",INDEX('Dens-B-WFH'!$A$5:$L$55,MATCH($A20,'Dens-B-WFH'!$B$5:$B$55,0),MATCH("acs_wfh_rate_pct",'Dens-B-WFH'!$A$4:$L$4,0))/100),"")</f>
        <v/>
      </c>
      <c r="J20" s="47">
        <f>IFERROR(IF(ISBLANK(INDEX('Dens-C-Large'!$A$5:$M$55,MATCH($A20,'Dens-C-Large'!$B$5:$B$55,0),MATCH("susb_share_ge500_pct",'Dens-C-Large'!$A$4:$M$4,0))),"",INDEX('Dens-C-Large'!$A$5:$M$55,MATCH($A20,'Dens-C-Large'!$B$5:$B$55,0),MATCH("susb_share_ge500_pct",'Dens-C-Large'!$A$4:$M$4,0))/100),"")</f>
        <v/>
      </c>
    </row>
    <row r="21" ht="18" customHeight="1" s="34">
      <c r="A21" s="46" t="inlineStr">
        <is>
          <t>Maine</t>
        </is>
      </c>
      <c r="B21" s="43">
        <f>IFERROR(IF(ISBLANK(INDEX('Dens-A-CvC'!$A$5:$P$55,MATCH($A21,'Dens-A-CvC'!$B$5:$B$55,0),MATCH("charter_est_units",'Dens-A-CvC'!$A$4:$P$4,0))),"",INDEX('Dens-A-CvC'!$A$5:$P$55,MATCH($A21,'Dens-A-CvC'!$B$5:$B$55,0),MATCH("charter_est_units",'Dens-A-CvC'!$A$4:$P$4,0))),"")</f>
        <v/>
      </c>
      <c r="C21" s="43">
        <f>IFERROR(IF(ISBLANK(INDEX('Dens-A-CvC'!$A$5:$P$55,MATCH($A21,'Dens-A-CvC'!$B$5:$B$55,0),MATCH("comcast_est_units",'Dens-A-CvC'!$A$4:$P$4,0))),"",INDEX('Dens-A-CvC'!$A$5:$P$55,MATCH($A21,'Dens-A-CvC'!$B$5:$B$55,0),MATCH("comcast_est_units",'Dens-A-CvC'!$A$4:$P$4,0))),"")</f>
        <v/>
      </c>
      <c r="D21" s="43">
        <f>IFERROR(IF(ISBLANK(INDEX('Dens-A-CvC'!$A$5:$P$55,MATCH($A21,'Dens-A-CvC'!$B$5:$B$55,0),MATCH("total_residential_units",'Dens-A-CvC'!$A$4:$P$4,0))),"",INDEX('Dens-A-CvC'!$A$5:$P$55,MATCH($A21,'Dens-A-CvC'!$B$5:$B$55,0),MATCH("total_residential_units",'Dens-A-CvC'!$A$4:$P$4,0))),"")</f>
        <v/>
      </c>
      <c r="E21" s="43">
        <f>IFERROR(IF(ISBLANK(INDEX('Dens-B-WFH'!$A$5:$L$55,MATCH($A21,'Dens-B-WFH'!$B$5:$B$55,0),MATCH("acs_worked_from_home",'Dens-B-WFH'!$A$4:$L$4,0))),"",INDEX('Dens-B-WFH'!$A$5:$L$55,MATCH($A21,'Dens-B-WFH'!$B$5:$B$55,0),MATCH("acs_worked_from_home",'Dens-B-WFH'!$A$4:$L$4,0))),"")</f>
        <v/>
      </c>
      <c r="F21" s="43">
        <f>IFERROR(IF(ISBLANK(INDEX('Dens-C-Large'!$A$5:$M$55,MATCH($A21,'Dens-C-Large'!$B$5:$B$55,0),MATCH("susb_employment_ge500",'Dens-C-Large'!$A$4:$M$4,0))),"",INDEX('Dens-C-Large'!$A$5:$M$55,MATCH($A21,'Dens-C-Large'!$B$5:$B$55,0),MATCH("susb_employment_ge500",'Dens-C-Large'!$A$4:$M$4,0))),"")</f>
        <v/>
      </c>
      <c r="G21" s="43">
        <f>IFERROR(IF(ISBLANK(INDEX('Dens-C-Large'!$A$5:$M$55,MATCH($A21,'Dens-C-Large'!$B$5:$B$55,0),MATCH("susb_employment_total",'Dens-C-Large'!$A$4:$M$4,0))),"",INDEX('Dens-C-Large'!$A$5:$M$55,MATCH($A21,'Dens-C-Large'!$B$5:$B$55,0),MATCH("susb_employment_total",'Dens-C-Large'!$A$4:$M$4,0))),"")</f>
        <v/>
      </c>
      <c r="H21" s="55">
        <f>IF(Table2[[#This Row],[Charter Units]]&lt;&gt;"", Table2[[#This Row],[Charter Units]]/Table2[[#This Row],[Total Residential Units]], "")</f>
        <v/>
      </c>
      <c r="I21" s="44">
        <f>IFERROR(IF(ISBLANK(INDEX('Dens-B-WFH'!$A$5:$L$55,MATCH($A21,'Dens-B-WFH'!$B$5:$B$55,0),MATCH("acs_wfh_rate_pct",'Dens-B-WFH'!$A$4:$L$4,0))),"",INDEX('Dens-B-WFH'!$A$5:$L$55,MATCH($A21,'Dens-B-WFH'!$B$5:$B$55,0),MATCH("acs_wfh_rate_pct",'Dens-B-WFH'!$A$4:$L$4,0))/100),"")</f>
        <v/>
      </c>
      <c r="J21" s="47">
        <f>IFERROR(IF(ISBLANK(INDEX('Dens-C-Large'!$A$5:$M$55,MATCH($A21,'Dens-C-Large'!$B$5:$B$55,0),MATCH("susb_share_ge500_pct",'Dens-C-Large'!$A$4:$M$4,0))),"",INDEX('Dens-C-Large'!$A$5:$M$55,MATCH($A21,'Dens-C-Large'!$B$5:$B$55,0),MATCH("susb_share_ge500_pct",'Dens-C-Large'!$A$4:$M$4,0))/100),"")</f>
        <v/>
      </c>
    </row>
    <row r="22" ht="18" customHeight="1" s="34">
      <c r="A22" s="46" t="inlineStr">
        <is>
          <t>Maryland</t>
        </is>
      </c>
      <c r="B22" s="43">
        <f>IFERROR(IF(ISBLANK(INDEX('Dens-A-CvC'!$A$5:$P$55,MATCH($A22,'Dens-A-CvC'!$B$5:$B$55,0),MATCH("charter_est_units",'Dens-A-CvC'!$A$4:$P$4,0))),"",INDEX('Dens-A-CvC'!$A$5:$P$55,MATCH($A22,'Dens-A-CvC'!$B$5:$B$55,0),MATCH("charter_est_units",'Dens-A-CvC'!$A$4:$P$4,0))),"")</f>
        <v/>
      </c>
      <c r="C22" s="43">
        <f>IFERROR(IF(ISBLANK(INDEX('Dens-A-CvC'!$A$5:$P$55,MATCH($A22,'Dens-A-CvC'!$B$5:$B$55,0),MATCH("comcast_est_units",'Dens-A-CvC'!$A$4:$P$4,0))),"",INDEX('Dens-A-CvC'!$A$5:$P$55,MATCH($A22,'Dens-A-CvC'!$B$5:$B$55,0),MATCH("comcast_est_units",'Dens-A-CvC'!$A$4:$P$4,0))),"")</f>
        <v/>
      </c>
      <c r="D22" s="43">
        <f>IFERROR(IF(ISBLANK(INDEX('Dens-A-CvC'!$A$5:$P$55,MATCH($A22,'Dens-A-CvC'!$B$5:$B$55,0),MATCH("total_residential_units",'Dens-A-CvC'!$A$4:$P$4,0))),"",INDEX('Dens-A-CvC'!$A$5:$P$55,MATCH($A22,'Dens-A-CvC'!$B$5:$B$55,0),MATCH("total_residential_units",'Dens-A-CvC'!$A$4:$P$4,0))),"")</f>
        <v/>
      </c>
      <c r="E22" s="43">
        <f>IFERROR(IF(ISBLANK(INDEX('Dens-B-WFH'!$A$5:$L$55,MATCH($A22,'Dens-B-WFH'!$B$5:$B$55,0),MATCH("acs_worked_from_home",'Dens-B-WFH'!$A$4:$L$4,0))),"",INDEX('Dens-B-WFH'!$A$5:$L$55,MATCH($A22,'Dens-B-WFH'!$B$5:$B$55,0),MATCH("acs_worked_from_home",'Dens-B-WFH'!$A$4:$L$4,0))),"")</f>
        <v/>
      </c>
      <c r="F22" s="43">
        <f>IFERROR(IF(ISBLANK(INDEX('Dens-C-Large'!$A$5:$M$55,MATCH($A22,'Dens-C-Large'!$B$5:$B$55,0),MATCH("susb_employment_ge500",'Dens-C-Large'!$A$4:$M$4,0))),"",INDEX('Dens-C-Large'!$A$5:$M$55,MATCH($A22,'Dens-C-Large'!$B$5:$B$55,0),MATCH("susb_employment_ge500",'Dens-C-Large'!$A$4:$M$4,0))),"")</f>
        <v/>
      </c>
      <c r="G22" s="43">
        <f>IFERROR(IF(ISBLANK(INDEX('Dens-C-Large'!$A$5:$M$55,MATCH($A22,'Dens-C-Large'!$B$5:$B$55,0),MATCH("susb_employment_total",'Dens-C-Large'!$A$4:$M$4,0))),"",INDEX('Dens-C-Large'!$A$5:$M$55,MATCH($A22,'Dens-C-Large'!$B$5:$B$55,0),MATCH("susb_employment_total",'Dens-C-Large'!$A$4:$M$4,0))),"")</f>
        <v/>
      </c>
      <c r="H22" s="55">
        <f>IF(Table2[[#This Row],[Charter Units]]&lt;&gt;"", Table2[[#This Row],[Charter Units]]/Table2[[#This Row],[Total Residential Units]], "")</f>
        <v/>
      </c>
      <c r="I22" s="44">
        <f>IFERROR(IF(ISBLANK(INDEX('Dens-B-WFH'!$A$5:$L$55,MATCH($A22,'Dens-B-WFH'!$B$5:$B$55,0),MATCH("acs_wfh_rate_pct",'Dens-B-WFH'!$A$4:$L$4,0))),"",INDEX('Dens-B-WFH'!$A$5:$L$55,MATCH($A22,'Dens-B-WFH'!$B$5:$B$55,0),MATCH("acs_wfh_rate_pct",'Dens-B-WFH'!$A$4:$L$4,0))/100),"")</f>
        <v/>
      </c>
      <c r="J22" s="47">
        <f>IFERROR(IF(ISBLANK(INDEX('Dens-C-Large'!$A$5:$M$55,MATCH($A22,'Dens-C-Large'!$B$5:$B$55,0),MATCH("susb_share_ge500_pct",'Dens-C-Large'!$A$4:$M$4,0))),"",INDEX('Dens-C-Large'!$A$5:$M$55,MATCH($A22,'Dens-C-Large'!$B$5:$B$55,0),MATCH("susb_share_ge500_pct",'Dens-C-Large'!$A$4:$M$4,0))/100),"")</f>
        <v/>
      </c>
    </row>
    <row r="23" ht="18" customHeight="1" s="34">
      <c r="A23" s="46" t="inlineStr">
        <is>
          <t>Massachusetts</t>
        </is>
      </c>
      <c r="B23" s="43">
        <f>IFERROR(IF(ISBLANK(INDEX('Dens-A-CvC'!$A$5:$P$55,MATCH($A23,'Dens-A-CvC'!$B$5:$B$55,0),MATCH("charter_est_units",'Dens-A-CvC'!$A$4:$P$4,0))),"",INDEX('Dens-A-CvC'!$A$5:$P$55,MATCH($A23,'Dens-A-CvC'!$B$5:$B$55,0),MATCH("charter_est_units",'Dens-A-CvC'!$A$4:$P$4,0))),"")</f>
        <v/>
      </c>
      <c r="C23" s="43">
        <f>IFERROR(IF(ISBLANK(INDEX('Dens-A-CvC'!$A$5:$P$55,MATCH($A23,'Dens-A-CvC'!$B$5:$B$55,0),MATCH("comcast_est_units",'Dens-A-CvC'!$A$4:$P$4,0))),"",INDEX('Dens-A-CvC'!$A$5:$P$55,MATCH($A23,'Dens-A-CvC'!$B$5:$B$55,0),MATCH("comcast_est_units",'Dens-A-CvC'!$A$4:$P$4,0))),"")</f>
        <v/>
      </c>
      <c r="D23" s="43">
        <f>IFERROR(IF(ISBLANK(INDEX('Dens-A-CvC'!$A$5:$P$55,MATCH($A23,'Dens-A-CvC'!$B$5:$B$55,0),MATCH("total_residential_units",'Dens-A-CvC'!$A$4:$P$4,0))),"",INDEX('Dens-A-CvC'!$A$5:$P$55,MATCH($A23,'Dens-A-CvC'!$B$5:$B$55,0),MATCH("total_residential_units",'Dens-A-CvC'!$A$4:$P$4,0))),"")</f>
        <v/>
      </c>
      <c r="E23" s="43">
        <f>IFERROR(IF(ISBLANK(INDEX('Dens-B-WFH'!$A$5:$L$55,MATCH($A23,'Dens-B-WFH'!$B$5:$B$55,0),MATCH("acs_worked_from_home",'Dens-B-WFH'!$A$4:$L$4,0))),"",INDEX('Dens-B-WFH'!$A$5:$L$55,MATCH($A23,'Dens-B-WFH'!$B$5:$B$55,0),MATCH("acs_worked_from_home",'Dens-B-WFH'!$A$4:$L$4,0))),"")</f>
        <v/>
      </c>
      <c r="F23" s="43">
        <f>IFERROR(IF(ISBLANK(INDEX('Dens-C-Large'!$A$5:$M$55,MATCH($A23,'Dens-C-Large'!$B$5:$B$55,0),MATCH("susb_employment_ge500",'Dens-C-Large'!$A$4:$M$4,0))),"",INDEX('Dens-C-Large'!$A$5:$M$55,MATCH($A23,'Dens-C-Large'!$B$5:$B$55,0),MATCH("susb_employment_ge500",'Dens-C-Large'!$A$4:$M$4,0))),"")</f>
        <v/>
      </c>
      <c r="G23" s="43">
        <f>IFERROR(IF(ISBLANK(INDEX('Dens-C-Large'!$A$5:$M$55,MATCH($A23,'Dens-C-Large'!$B$5:$B$55,0),MATCH("susb_employment_total",'Dens-C-Large'!$A$4:$M$4,0))),"",INDEX('Dens-C-Large'!$A$5:$M$55,MATCH($A23,'Dens-C-Large'!$B$5:$B$55,0),MATCH("susb_employment_total",'Dens-C-Large'!$A$4:$M$4,0))),"")</f>
        <v/>
      </c>
      <c r="H23" s="55">
        <f>IF(Table2[[#This Row],[Charter Units]]&lt;&gt;"", Table2[[#This Row],[Charter Units]]/Table2[[#This Row],[Total Residential Units]], "")</f>
        <v/>
      </c>
      <c r="I23" s="44">
        <f>IFERROR(IF(ISBLANK(INDEX('Dens-B-WFH'!$A$5:$L$55,MATCH($A23,'Dens-B-WFH'!$B$5:$B$55,0),MATCH("acs_wfh_rate_pct",'Dens-B-WFH'!$A$4:$L$4,0))),"",INDEX('Dens-B-WFH'!$A$5:$L$55,MATCH($A23,'Dens-B-WFH'!$B$5:$B$55,0),MATCH("acs_wfh_rate_pct",'Dens-B-WFH'!$A$4:$L$4,0))/100),"")</f>
        <v/>
      </c>
      <c r="J23" s="47">
        <f>IFERROR(IF(ISBLANK(INDEX('Dens-C-Large'!$A$5:$M$55,MATCH($A23,'Dens-C-Large'!$B$5:$B$55,0),MATCH("susb_share_ge500_pct",'Dens-C-Large'!$A$4:$M$4,0))),"",INDEX('Dens-C-Large'!$A$5:$M$55,MATCH($A23,'Dens-C-Large'!$B$5:$B$55,0),MATCH("susb_share_ge500_pct",'Dens-C-Large'!$A$4:$M$4,0))/100),"")</f>
        <v/>
      </c>
    </row>
    <row r="24" ht="18" customHeight="1" s="34">
      <c r="A24" s="46" t="inlineStr">
        <is>
          <t>Michigan</t>
        </is>
      </c>
      <c r="B24" s="43">
        <f>IFERROR(IF(ISBLANK(INDEX('Dens-A-CvC'!$A$5:$P$55,MATCH($A24,'Dens-A-CvC'!$B$5:$B$55,0),MATCH("charter_est_units",'Dens-A-CvC'!$A$4:$P$4,0))),"",INDEX('Dens-A-CvC'!$A$5:$P$55,MATCH($A24,'Dens-A-CvC'!$B$5:$B$55,0),MATCH("charter_est_units",'Dens-A-CvC'!$A$4:$P$4,0))),"")</f>
        <v/>
      </c>
      <c r="C24" s="43">
        <f>IFERROR(IF(ISBLANK(INDEX('Dens-A-CvC'!$A$5:$P$55,MATCH($A24,'Dens-A-CvC'!$B$5:$B$55,0),MATCH("comcast_est_units",'Dens-A-CvC'!$A$4:$P$4,0))),"",INDEX('Dens-A-CvC'!$A$5:$P$55,MATCH($A24,'Dens-A-CvC'!$B$5:$B$55,0),MATCH("comcast_est_units",'Dens-A-CvC'!$A$4:$P$4,0))),"")</f>
        <v/>
      </c>
      <c r="D24" s="43">
        <f>IFERROR(IF(ISBLANK(INDEX('Dens-A-CvC'!$A$5:$P$55,MATCH($A24,'Dens-A-CvC'!$B$5:$B$55,0),MATCH("total_residential_units",'Dens-A-CvC'!$A$4:$P$4,0))),"",INDEX('Dens-A-CvC'!$A$5:$P$55,MATCH($A24,'Dens-A-CvC'!$B$5:$B$55,0),MATCH("total_residential_units",'Dens-A-CvC'!$A$4:$P$4,0))),"")</f>
        <v/>
      </c>
      <c r="E24" s="43">
        <f>IFERROR(IF(ISBLANK(INDEX('Dens-B-WFH'!$A$5:$L$55,MATCH($A24,'Dens-B-WFH'!$B$5:$B$55,0),MATCH("acs_worked_from_home",'Dens-B-WFH'!$A$4:$L$4,0))),"",INDEX('Dens-B-WFH'!$A$5:$L$55,MATCH($A24,'Dens-B-WFH'!$B$5:$B$55,0),MATCH("acs_worked_from_home",'Dens-B-WFH'!$A$4:$L$4,0))),"")</f>
        <v/>
      </c>
      <c r="F24" s="43">
        <f>IFERROR(IF(ISBLANK(INDEX('Dens-C-Large'!$A$5:$M$55,MATCH($A24,'Dens-C-Large'!$B$5:$B$55,0),MATCH("susb_employment_ge500",'Dens-C-Large'!$A$4:$M$4,0))),"",INDEX('Dens-C-Large'!$A$5:$M$55,MATCH($A24,'Dens-C-Large'!$B$5:$B$55,0),MATCH("susb_employment_ge500",'Dens-C-Large'!$A$4:$M$4,0))),"")</f>
        <v/>
      </c>
      <c r="G24" s="43">
        <f>IFERROR(IF(ISBLANK(INDEX('Dens-C-Large'!$A$5:$M$55,MATCH($A24,'Dens-C-Large'!$B$5:$B$55,0),MATCH("susb_employment_total",'Dens-C-Large'!$A$4:$M$4,0))),"",INDEX('Dens-C-Large'!$A$5:$M$55,MATCH($A24,'Dens-C-Large'!$B$5:$B$55,0),MATCH("susb_employment_total",'Dens-C-Large'!$A$4:$M$4,0))),"")</f>
        <v/>
      </c>
      <c r="H24" s="55">
        <f>IF(Table2[[#This Row],[Charter Units]]&lt;&gt;"", Table2[[#This Row],[Charter Units]]/Table2[[#This Row],[Total Residential Units]], "")</f>
        <v/>
      </c>
      <c r="I24" s="44">
        <f>IFERROR(IF(ISBLANK(INDEX('Dens-B-WFH'!$A$5:$L$55,MATCH($A24,'Dens-B-WFH'!$B$5:$B$55,0),MATCH("acs_wfh_rate_pct",'Dens-B-WFH'!$A$4:$L$4,0))),"",INDEX('Dens-B-WFH'!$A$5:$L$55,MATCH($A24,'Dens-B-WFH'!$B$5:$B$55,0),MATCH("acs_wfh_rate_pct",'Dens-B-WFH'!$A$4:$L$4,0))/100),"")</f>
        <v/>
      </c>
      <c r="J24" s="47">
        <f>IFERROR(IF(ISBLANK(INDEX('Dens-C-Large'!$A$5:$M$55,MATCH($A24,'Dens-C-Large'!$B$5:$B$55,0),MATCH("susb_share_ge500_pct",'Dens-C-Large'!$A$4:$M$4,0))),"",INDEX('Dens-C-Large'!$A$5:$M$55,MATCH($A24,'Dens-C-Large'!$B$5:$B$55,0),MATCH("susb_share_ge500_pct",'Dens-C-Large'!$A$4:$M$4,0))/100),"")</f>
        <v/>
      </c>
    </row>
    <row r="25" ht="18" customHeight="1" s="34">
      <c r="A25" s="46" t="inlineStr">
        <is>
          <t>Minnesota</t>
        </is>
      </c>
      <c r="B25" s="43">
        <f>IFERROR(IF(ISBLANK(INDEX('Dens-A-CvC'!$A$5:$P$55,MATCH($A25,'Dens-A-CvC'!$B$5:$B$55,0),MATCH("charter_est_units",'Dens-A-CvC'!$A$4:$P$4,0))),"",INDEX('Dens-A-CvC'!$A$5:$P$55,MATCH($A25,'Dens-A-CvC'!$B$5:$B$55,0),MATCH("charter_est_units",'Dens-A-CvC'!$A$4:$P$4,0))),"")</f>
        <v/>
      </c>
      <c r="C25" s="43">
        <f>IFERROR(IF(ISBLANK(INDEX('Dens-A-CvC'!$A$5:$P$55,MATCH($A25,'Dens-A-CvC'!$B$5:$B$55,0),MATCH("comcast_est_units",'Dens-A-CvC'!$A$4:$P$4,0))),"",INDEX('Dens-A-CvC'!$A$5:$P$55,MATCH($A25,'Dens-A-CvC'!$B$5:$B$55,0),MATCH("comcast_est_units",'Dens-A-CvC'!$A$4:$P$4,0))),"")</f>
        <v/>
      </c>
      <c r="D25" s="43">
        <f>IFERROR(IF(ISBLANK(INDEX('Dens-A-CvC'!$A$5:$P$55,MATCH($A25,'Dens-A-CvC'!$B$5:$B$55,0),MATCH("total_residential_units",'Dens-A-CvC'!$A$4:$P$4,0))),"",INDEX('Dens-A-CvC'!$A$5:$P$55,MATCH($A25,'Dens-A-CvC'!$B$5:$B$55,0),MATCH("total_residential_units",'Dens-A-CvC'!$A$4:$P$4,0))),"")</f>
        <v/>
      </c>
      <c r="E25" s="43">
        <f>IFERROR(IF(ISBLANK(INDEX('Dens-B-WFH'!$A$5:$L$55,MATCH($A25,'Dens-B-WFH'!$B$5:$B$55,0),MATCH("acs_worked_from_home",'Dens-B-WFH'!$A$4:$L$4,0))),"",INDEX('Dens-B-WFH'!$A$5:$L$55,MATCH($A25,'Dens-B-WFH'!$B$5:$B$55,0),MATCH("acs_worked_from_home",'Dens-B-WFH'!$A$4:$L$4,0))),"")</f>
        <v/>
      </c>
      <c r="F25" s="43">
        <f>IFERROR(IF(ISBLANK(INDEX('Dens-C-Large'!$A$5:$M$55,MATCH($A25,'Dens-C-Large'!$B$5:$B$55,0),MATCH("susb_employment_ge500",'Dens-C-Large'!$A$4:$M$4,0))),"",INDEX('Dens-C-Large'!$A$5:$M$55,MATCH($A25,'Dens-C-Large'!$B$5:$B$55,0),MATCH("susb_employment_ge500",'Dens-C-Large'!$A$4:$M$4,0))),"")</f>
        <v/>
      </c>
      <c r="G25" s="43">
        <f>IFERROR(IF(ISBLANK(INDEX('Dens-C-Large'!$A$5:$M$55,MATCH($A25,'Dens-C-Large'!$B$5:$B$55,0),MATCH("susb_employment_total",'Dens-C-Large'!$A$4:$M$4,0))),"",INDEX('Dens-C-Large'!$A$5:$M$55,MATCH($A25,'Dens-C-Large'!$B$5:$B$55,0),MATCH("susb_employment_total",'Dens-C-Large'!$A$4:$M$4,0))),"")</f>
        <v/>
      </c>
      <c r="H25" s="55">
        <f>IF(Table2[[#This Row],[Charter Units]]&lt;&gt;"", Table2[[#This Row],[Charter Units]]/Table2[[#This Row],[Total Residential Units]], "")</f>
        <v/>
      </c>
      <c r="I25" s="44">
        <f>IFERROR(IF(ISBLANK(INDEX('Dens-B-WFH'!$A$5:$L$55,MATCH($A25,'Dens-B-WFH'!$B$5:$B$55,0),MATCH("acs_wfh_rate_pct",'Dens-B-WFH'!$A$4:$L$4,0))),"",INDEX('Dens-B-WFH'!$A$5:$L$55,MATCH($A25,'Dens-B-WFH'!$B$5:$B$55,0),MATCH("acs_wfh_rate_pct",'Dens-B-WFH'!$A$4:$L$4,0))/100),"")</f>
        <v/>
      </c>
      <c r="J25" s="47">
        <f>IFERROR(IF(ISBLANK(INDEX('Dens-C-Large'!$A$5:$M$55,MATCH($A25,'Dens-C-Large'!$B$5:$B$55,0),MATCH("susb_share_ge500_pct",'Dens-C-Large'!$A$4:$M$4,0))),"",INDEX('Dens-C-Large'!$A$5:$M$55,MATCH($A25,'Dens-C-Large'!$B$5:$B$55,0),MATCH("susb_share_ge500_pct",'Dens-C-Large'!$A$4:$M$4,0))/100),"")</f>
        <v/>
      </c>
    </row>
    <row r="26" ht="18" customHeight="1" s="34">
      <c r="A26" s="46" t="inlineStr">
        <is>
          <t>Mississippi</t>
        </is>
      </c>
      <c r="B26" s="43">
        <f>IFERROR(IF(ISBLANK(INDEX('Dens-A-CvC'!$A$5:$P$55,MATCH($A26,'Dens-A-CvC'!$B$5:$B$55,0),MATCH("charter_est_units",'Dens-A-CvC'!$A$4:$P$4,0))),"",INDEX('Dens-A-CvC'!$A$5:$P$55,MATCH($A26,'Dens-A-CvC'!$B$5:$B$55,0),MATCH("charter_est_units",'Dens-A-CvC'!$A$4:$P$4,0))),"")</f>
        <v/>
      </c>
      <c r="C26" s="43">
        <f>IFERROR(IF(ISBLANK(INDEX('Dens-A-CvC'!$A$5:$P$55,MATCH($A26,'Dens-A-CvC'!$B$5:$B$55,0),MATCH("comcast_est_units",'Dens-A-CvC'!$A$4:$P$4,0))),"",INDEX('Dens-A-CvC'!$A$5:$P$55,MATCH($A26,'Dens-A-CvC'!$B$5:$B$55,0),MATCH("comcast_est_units",'Dens-A-CvC'!$A$4:$P$4,0))),"")</f>
        <v/>
      </c>
      <c r="D26" s="43">
        <f>IFERROR(IF(ISBLANK(INDEX('Dens-A-CvC'!$A$5:$P$55,MATCH($A26,'Dens-A-CvC'!$B$5:$B$55,0),MATCH("total_residential_units",'Dens-A-CvC'!$A$4:$P$4,0))),"",INDEX('Dens-A-CvC'!$A$5:$P$55,MATCH($A26,'Dens-A-CvC'!$B$5:$B$55,0),MATCH("total_residential_units",'Dens-A-CvC'!$A$4:$P$4,0))),"")</f>
        <v/>
      </c>
      <c r="E26" s="43">
        <f>IFERROR(IF(ISBLANK(INDEX('Dens-B-WFH'!$A$5:$L$55,MATCH($A26,'Dens-B-WFH'!$B$5:$B$55,0),MATCH("acs_worked_from_home",'Dens-B-WFH'!$A$4:$L$4,0))),"",INDEX('Dens-B-WFH'!$A$5:$L$55,MATCH($A26,'Dens-B-WFH'!$B$5:$B$55,0),MATCH("acs_worked_from_home",'Dens-B-WFH'!$A$4:$L$4,0))),"")</f>
        <v/>
      </c>
      <c r="F26" s="43">
        <f>IFERROR(IF(ISBLANK(INDEX('Dens-C-Large'!$A$5:$M$55,MATCH($A26,'Dens-C-Large'!$B$5:$B$55,0),MATCH("susb_employment_ge500",'Dens-C-Large'!$A$4:$M$4,0))),"",INDEX('Dens-C-Large'!$A$5:$M$55,MATCH($A26,'Dens-C-Large'!$B$5:$B$55,0),MATCH("susb_employment_ge500",'Dens-C-Large'!$A$4:$M$4,0))),"")</f>
        <v/>
      </c>
      <c r="G26" s="43">
        <f>IFERROR(IF(ISBLANK(INDEX('Dens-C-Large'!$A$5:$M$55,MATCH($A26,'Dens-C-Large'!$B$5:$B$55,0),MATCH("susb_employment_total",'Dens-C-Large'!$A$4:$M$4,0))),"",INDEX('Dens-C-Large'!$A$5:$M$55,MATCH($A26,'Dens-C-Large'!$B$5:$B$55,0),MATCH("susb_employment_total",'Dens-C-Large'!$A$4:$M$4,0))),"")</f>
        <v/>
      </c>
      <c r="H26" s="55">
        <f>IF(Table2[[#This Row],[Charter Units]]&lt;&gt;"", Table2[[#This Row],[Charter Units]]/Table2[[#This Row],[Total Residential Units]], "")</f>
        <v/>
      </c>
      <c r="I26" s="44">
        <f>IFERROR(IF(ISBLANK(INDEX('Dens-B-WFH'!$A$5:$L$55,MATCH($A26,'Dens-B-WFH'!$B$5:$B$55,0),MATCH("acs_wfh_rate_pct",'Dens-B-WFH'!$A$4:$L$4,0))),"",INDEX('Dens-B-WFH'!$A$5:$L$55,MATCH($A26,'Dens-B-WFH'!$B$5:$B$55,0),MATCH("acs_wfh_rate_pct",'Dens-B-WFH'!$A$4:$L$4,0))/100),"")</f>
        <v/>
      </c>
      <c r="J26" s="47">
        <f>IFERROR(IF(ISBLANK(INDEX('Dens-C-Large'!$A$5:$M$55,MATCH($A26,'Dens-C-Large'!$B$5:$B$55,0),MATCH("susb_share_ge500_pct",'Dens-C-Large'!$A$4:$M$4,0))),"",INDEX('Dens-C-Large'!$A$5:$M$55,MATCH($A26,'Dens-C-Large'!$B$5:$B$55,0),MATCH("susb_share_ge500_pct",'Dens-C-Large'!$A$4:$M$4,0))/100),"")</f>
        <v/>
      </c>
    </row>
    <row r="27" ht="18" customHeight="1" s="34">
      <c r="A27" s="46" t="inlineStr">
        <is>
          <t>Missouri</t>
        </is>
      </c>
      <c r="B27" s="43">
        <f>IFERROR(IF(ISBLANK(INDEX('Dens-A-CvC'!$A$5:$P$55,MATCH($A27,'Dens-A-CvC'!$B$5:$B$55,0),MATCH("charter_est_units",'Dens-A-CvC'!$A$4:$P$4,0))),"",INDEX('Dens-A-CvC'!$A$5:$P$55,MATCH($A27,'Dens-A-CvC'!$B$5:$B$55,0),MATCH("charter_est_units",'Dens-A-CvC'!$A$4:$P$4,0))),"")</f>
        <v/>
      </c>
      <c r="C27" s="43">
        <f>IFERROR(IF(ISBLANK(INDEX('Dens-A-CvC'!$A$5:$P$55,MATCH($A27,'Dens-A-CvC'!$B$5:$B$55,0),MATCH("comcast_est_units",'Dens-A-CvC'!$A$4:$P$4,0))),"",INDEX('Dens-A-CvC'!$A$5:$P$55,MATCH($A27,'Dens-A-CvC'!$B$5:$B$55,0),MATCH("comcast_est_units",'Dens-A-CvC'!$A$4:$P$4,0))),"")</f>
        <v/>
      </c>
      <c r="D27" s="43">
        <f>IFERROR(IF(ISBLANK(INDEX('Dens-A-CvC'!$A$5:$P$55,MATCH($A27,'Dens-A-CvC'!$B$5:$B$55,0),MATCH("total_residential_units",'Dens-A-CvC'!$A$4:$P$4,0))),"",INDEX('Dens-A-CvC'!$A$5:$P$55,MATCH($A27,'Dens-A-CvC'!$B$5:$B$55,0),MATCH("total_residential_units",'Dens-A-CvC'!$A$4:$P$4,0))),"")</f>
        <v/>
      </c>
      <c r="E27" s="43">
        <f>IFERROR(IF(ISBLANK(INDEX('Dens-B-WFH'!$A$5:$L$55,MATCH($A27,'Dens-B-WFH'!$B$5:$B$55,0),MATCH("acs_worked_from_home",'Dens-B-WFH'!$A$4:$L$4,0))),"",INDEX('Dens-B-WFH'!$A$5:$L$55,MATCH($A27,'Dens-B-WFH'!$B$5:$B$55,0),MATCH("acs_worked_from_home",'Dens-B-WFH'!$A$4:$L$4,0))),"")</f>
        <v/>
      </c>
      <c r="F27" s="43">
        <f>IFERROR(IF(ISBLANK(INDEX('Dens-C-Large'!$A$5:$M$55,MATCH($A27,'Dens-C-Large'!$B$5:$B$55,0),MATCH("susb_employment_ge500",'Dens-C-Large'!$A$4:$M$4,0))),"",INDEX('Dens-C-Large'!$A$5:$M$55,MATCH($A27,'Dens-C-Large'!$B$5:$B$55,0),MATCH("susb_employment_ge500",'Dens-C-Large'!$A$4:$M$4,0))),"")</f>
        <v/>
      </c>
      <c r="G27" s="43">
        <f>IFERROR(IF(ISBLANK(INDEX('Dens-C-Large'!$A$5:$M$55,MATCH($A27,'Dens-C-Large'!$B$5:$B$55,0),MATCH("susb_employment_total",'Dens-C-Large'!$A$4:$M$4,0))),"",INDEX('Dens-C-Large'!$A$5:$M$55,MATCH($A27,'Dens-C-Large'!$B$5:$B$55,0),MATCH("susb_employment_total",'Dens-C-Large'!$A$4:$M$4,0))),"")</f>
        <v/>
      </c>
      <c r="H27" s="55">
        <f>IF(Table2[[#This Row],[Charter Units]]&lt;&gt;"", Table2[[#This Row],[Charter Units]]/Table2[[#This Row],[Total Residential Units]], "")</f>
        <v/>
      </c>
      <c r="I27" s="44">
        <f>IFERROR(IF(ISBLANK(INDEX('Dens-B-WFH'!$A$5:$L$55,MATCH($A27,'Dens-B-WFH'!$B$5:$B$55,0),MATCH("acs_wfh_rate_pct",'Dens-B-WFH'!$A$4:$L$4,0))),"",INDEX('Dens-B-WFH'!$A$5:$L$55,MATCH($A27,'Dens-B-WFH'!$B$5:$B$55,0),MATCH("acs_wfh_rate_pct",'Dens-B-WFH'!$A$4:$L$4,0))/100),"")</f>
        <v/>
      </c>
      <c r="J27" s="47">
        <f>IFERROR(IF(ISBLANK(INDEX('Dens-C-Large'!$A$5:$M$55,MATCH($A27,'Dens-C-Large'!$B$5:$B$55,0),MATCH("susb_share_ge500_pct",'Dens-C-Large'!$A$4:$M$4,0))),"",INDEX('Dens-C-Large'!$A$5:$M$55,MATCH($A27,'Dens-C-Large'!$B$5:$B$55,0),MATCH("susb_share_ge500_pct",'Dens-C-Large'!$A$4:$M$4,0))/100),"")</f>
        <v/>
      </c>
    </row>
    <row r="28" ht="18" customHeight="1" s="34">
      <c r="A28" s="46" t="inlineStr">
        <is>
          <t>Montana</t>
        </is>
      </c>
      <c r="B28" s="43">
        <f>IFERROR(IF(ISBLANK(INDEX('Dens-A-CvC'!$A$5:$P$55,MATCH($A28,'Dens-A-CvC'!$B$5:$B$55,0),MATCH("charter_est_units",'Dens-A-CvC'!$A$4:$P$4,0))),"",INDEX('Dens-A-CvC'!$A$5:$P$55,MATCH($A28,'Dens-A-CvC'!$B$5:$B$55,0),MATCH("charter_est_units",'Dens-A-CvC'!$A$4:$P$4,0))),"")</f>
        <v/>
      </c>
      <c r="C28" s="43">
        <f>IFERROR(IF(ISBLANK(INDEX('Dens-A-CvC'!$A$5:$P$55,MATCH($A28,'Dens-A-CvC'!$B$5:$B$55,0),MATCH("comcast_est_units",'Dens-A-CvC'!$A$4:$P$4,0))),"",INDEX('Dens-A-CvC'!$A$5:$P$55,MATCH($A28,'Dens-A-CvC'!$B$5:$B$55,0),MATCH("comcast_est_units",'Dens-A-CvC'!$A$4:$P$4,0))),"")</f>
        <v/>
      </c>
      <c r="D28" s="43">
        <f>IFERROR(IF(ISBLANK(INDEX('Dens-A-CvC'!$A$5:$P$55,MATCH($A28,'Dens-A-CvC'!$B$5:$B$55,0),MATCH("total_residential_units",'Dens-A-CvC'!$A$4:$P$4,0))),"",INDEX('Dens-A-CvC'!$A$5:$P$55,MATCH($A28,'Dens-A-CvC'!$B$5:$B$55,0),MATCH("total_residential_units",'Dens-A-CvC'!$A$4:$P$4,0))),"")</f>
        <v/>
      </c>
      <c r="E28" s="43">
        <f>IFERROR(IF(ISBLANK(INDEX('Dens-B-WFH'!$A$5:$L$55,MATCH($A28,'Dens-B-WFH'!$B$5:$B$55,0),MATCH("acs_worked_from_home",'Dens-B-WFH'!$A$4:$L$4,0))),"",INDEX('Dens-B-WFH'!$A$5:$L$55,MATCH($A28,'Dens-B-WFH'!$B$5:$B$55,0),MATCH("acs_worked_from_home",'Dens-B-WFH'!$A$4:$L$4,0))),"")</f>
        <v/>
      </c>
      <c r="F28" s="43">
        <f>IFERROR(IF(ISBLANK(INDEX('Dens-C-Large'!$A$5:$M$55,MATCH($A28,'Dens-C-Large'!$B$5:$B$55,0),MATCH("susb_employment_ge500",'Dens-C-Large'!$A$4:$M$4,0))),"",INDEX('Dens-C-Large'!$A$5:$M$55,MATCH($A28,'Dens-C-Large'!$B$5:$B$55,0),MATCH("susb_employment_ge500",'Dens-C-Large'!$A$4:$M$4,0))),"")</f>
        <v/>
      </c>
      <c r="G28" s="43">
        <f>IFERROR(IF(ISBLANK(INDEX('Dens-C-Large'!$A$5:$M$55,MATCH($A28,'Dens-C-Large'!$B$5:$B$55,0),MATCH("susb_employment_total",'Dens-C-Large'!$A$4:$M$4,0))),"",INDEX('Dens-C-Large'!$A$5:$M$55,MATCH($A28,'Dens-C-Large'!$B$5:$B$55,0),MATCH("susb_employment_total",'Dens-C-Large'!$A$4:$M$4,0))),"")</f>
        <v/>
      </c>
      <c r="H28" s="55">
        <f>IF(Table2[[#This Row],[Charter Units]]&lt;&gt;"", Table2[[#This Row],[Charter Units]]/Table2[[#This Row],[Total Residential Units]], "")</f>
        <v/>
      </c>
      <c r="I28" s="44">
        <f>IFERROR(IF(ISBLANK(INDEX('Dens-B-WFH'!$A$5:$L$55,MATCH($A28,'Dens-B-WFH'!$B$5:$B$55,0),MATCH("acs_wfh_rate_pct",'Dens-B-WFH'!$A$4:$L$4,0))),"",INDEX('Dens-B-WFH'!$A$5:$L$55,MATCH($A28,'Dens-B-WFH'!$B$5:$B$55,0),MATCH("acs_wfh_rate_pct",'Dens-B-WFH'!$A$4:$L$4,0))/100),"")</f>
        <v/>
      </c>
      <c r="J28" s="47">
        <f>IFERROR(IF(ISBLANK(INDEX('Dens-C-Large'!$A$5:$M$55,MATCH($A28,'Dens-C-Large'!$B$5:$B$55,0),MATCH("susb_share_ge500_pct",'Dens-C-Large'!$A$4:$M$4,0))),"",INDEX('Dens-C-Large'!$A$5:$M$55,MATCH($A28,'Dens-C-Large'!$B$5:$B$55,0),MATCH("susb_share_ge500_pct",'Dens-C-Large'!$A$4:$M$4,0))/100),"")</f>
        <v/>
      </c>
    </row>
    <row r="29" ht="18" customHeight="1" s="34">
      <c r="A29" s="46" t="inlineStr">
        <is>
          <t>Nebraska</t>
        </is>
      </c>
      <c r="B29" s="43">
        <f>IFERROR(IF(ISBLANK(INDEX('Dens-A-CvC'!$A$5:$P$55,MATCH($A29,'Dens-A-CvC'!$B$5:$B$55,0),MATCH("charter_est_units",'Dens-A-CvC'!$A$4:$P$4,0))),"",INDEX('Dens-A-CvC'!$A$5:$P$55,MATCH($A29,'Dens-A-CvC'!$B$5:$B$55,0),MATCH("charter_est_units",'Dens-A-CvC'!$A$4:$P$4,0))),"")</f>
        <v/>
      </c>
      <c r="C29" s="43">
        <f>IFERROR(IF(ISBLANK(INDEX('Dens-A-CvC'!$A$5:$P$55,MATCH($A29,'Dens-A-CvC'!$B$5:$B$55,0),MATCH("comcast_est_units",'Dens-A-CvC'!$A$4:$P$4,0))),"",INDEX('Dens-A-CvC'!$A$5:$P$55,MATCH($A29,'Dens-A-CvC'!$B$5:$B$55,0),MATCH("comcast_est_units",'Dens-A-CvC'!$A$4:$P$4,0))),"")</f>
        <v/>
      </c>
      <c r="D29" s="43">
        <f>IFERROR(IF(ISBLANK(INDEX('Dens-A-CvC'!$A$5:$P$55,MATCH($A29,'Dens-A-CvC'!$B$5:$B$55,0),MATCH("total_residential_units",'Dens-A-CvC'!$A$4:$P$4,0))),"",INDEX('Dens-A-CvC'!$A$5:$P$55,MATCH($A29,'Dens-A-CvC'!$B$5:$B$55,0),MATCH("total_residential_units",'Dens-A-CvC'!$A$4:$P$4,0))),"")</f>
        <v/>
      </c>
      <c r="E29" s="43">
        <f>IFERROR(IF(ISBLANK(INDEX('Dens-B-WFH'!$A$5:$L$55,MATCH($A29,'Dens-B-WFH'!$B$5:$B$55,0),MATCH("acs_worked_from_home",'Dens-B-WFH'!$A$4:$L$4,0))),"",INDEX('Dens-B-WFH'!$A$5:$L$55,MATCH($A29,'Dens-B-WFH'!$B$5:$B$55,0),MATCH("acs_worked_from_home",'Dens-B-WFH'!$A$4:$L$4,0))),"")</f>
        <v/>
      </c>
      <c r="F29" s="43">
        <f>IFERROR(IF(ISBLANK(INDEX('Dens-C-Large'!$A$5:$M$55,MATCH($A29,'Dens-C-Large'!$B$5:$B$55,0),MATCH("susb_employment_ge500",'Dens-C-Large'!$A$4:$M$4,0))),"",INDEX('Dens-C-Large'!$A$5:$M$55,MATCH($A29,'Dens-C-Large'!$B$5:$B$55,0),MATCH("susb_employment_ge500",'Dens-C-Large'!$A$4:$M$4,0))),"")</f>
        <v/>
      </c>
      <c r="G29" s="43">
        <f>IFERROR(IF(ISBLANK(INDEX('Dens-C-Large'!$A$5:$M$55,MATCH($A29,'Dens-C-Large'!$B$5:$B$55,0),MATCH("susb_employment_total",'Dens-C-Large'!$A$4:$M$4,0))),"",INDEX('Dens-C-Large'!$A$5:$M$55,MATCH($A29,'Dens-C-Large'!$B$5:$B$55,0),MATCH("susb_employment_total",'Dens-C-Large'!$A$4:$M$4,0))),"")</f>
        <v/>
      </c>
      <c r="H29" s="55">
        <f>IF(Table2[[#This Row],[Charter Units]]&lt;&gt;"", Table2[[#This Row],[Charter Units]]/Table2[[#This Row],[Total Residential Units]], "")</f>
        <v/>
      </c>
      <c r="I29" s="44">
        <f>IFERROR(IF(ISBLANK(INDEX('Dens-B-WFH'!$A$5:$L$55,MATCH($A29,'Dens-B-WFH'!$B$5:$B$55,0),MATCH("acs_wfh_rate_pct",'Dens-B-WFH'!$A$4:$L$4,0))),"",INDEX('Dens-B-WFH'!$A$5:$L$55,MATCH($A29,'Dens-B-WFH'!$B$5:$B$55,0),MATCH("acs_wfh_rate_pct",'Dens-B-WFH'!$A$4:$L$4,0))/100),"")</f>
        <v/>
      </c>
      <c r="J29" s="47">
        <f>IFERROR(IF(ISBLANK(INDEX('Dens-C-Large'!$A$5:$M$55,MATCH($A29,'Dens-C-Large'!$B$5:$B$55,0),MATCH("susb_share_ge500_pct",'Dens-C-Large'!$A$4:$M$4,0))),"",INDEX('Dens-C-Large'!$A$5:$M$55,MATCH($A29,'Dens-C-Large'!$B$5:$B$55,0),MATCH("susb_share_ge500_pct",'Dens-C-Large'!$A$4:$M$4,0))/100),"")</f>
        <v/>
      </c>
    </row>
    <row r="30" ht="18" customHeight="1" s="34">
      <c r="A30" s="46" t="inlineStr">
        <is>
          <t>Nevada</t>
        </is>
      </c>
      <c r="B30" s="43">
        <f>IFERROR(IF(ISBLANK(INDEX('Dens-A-CvC'!$A$5:$P$55,MATCH($A30,'Dens-A-CvC'!$B$5:$B$55,0),MATCH("charter_est_units",'Dens-A-CvC'!$A$4:$P$4,0))),"",INDEX('Dens-A-CvC'!$A$5:$P$55,MATCH($A30,'Dens-A-CvC'!$B$5:$B$55,0),MATCH("charter_est_units",'Dens-A-CvC'!$A$4:$P$4,0))),"")</f>
        <v/>
      </c>
      <c r="C30" s="43">
        <f>IFERROR(IF(ISBLANK(INDEX('Dens-A-CvC'!$A$5:$P$55,MATCH($A30,'Dens-A-CvC'!$B$5:$B$55,0),MATCH("comcast_est_units",'Dens-A-CvC'!$A$4:$P$4,0))),"",INDEX('Dens-A-CvC'!$A$5:$P$55,MATCH($A30,'Dens-A-CvC'!$B$5:$B$55,0),MATCH("comcast_est_units",'Dens-A-CvC'!$A$4:$P$4,0))),"")</f>
        <v/>
      </c>
      <c r="D30" s="43">
        <f>IFERROR(IF(ISBLANK(INDEX('Dens-A-CvC'!$A$5:$P$55,MATCH($A30,'Dens-A-CvC'!$B$5:$B$55,0),MATCH("total_residential_units",'Dens-A-CvC'!$A$4:$P$4,0))),"",INDEX('Dens-A-CvC'!$A$5:$P$55,MATCH($A30,'Dens-A-CvC'!$B$5:$B$55,0),MATCH("total_residential_units",'Dens-A-CvC'!$A$4:$P$4,0))),"")</f>
        <v/>
      </c>
      <c r="E30" s="43">
        <f>IFERROR(IF(ISBLANK(INDEX('Dens-B-WFH'!$A$5:$L$55,MATCH($A30,'Dens-B-WFH'!$B$5:$B$55,0),MATCH("acs_worked_from_home",'Dens-B-WFH'!$A$4:$L$4,0))),"",INDEX('Dens-B-WFH'!$A$5:$L$55,MATCH($A30,'Dens-B-WFH'!$B$5:$B$55,0),MATCH("acs_worked_from_home",'Dens-B-WFH'!$A$4:$L$4,0))),"")</f>
        <v/>
      </c>
      <c r="F30" s="43">
        <f>IFERROR(IF(ISBLANK(INDEX('Dens-C-Large'!$A$5:$M$55,MATCH($A30,'Dens-C-Large'!$B$5:$B$55,0),MATCH("susb_employment_ge500",'Dens-C-Large'!$A$4:$M$4,0))),"",INDEX('Dens-C-Large'!$A$5:$M$55,MATCH($A30,'Dens-C-Large'!$B$5:$B$55,0),MATCH("susb_employment_ge500",'Dens-C-Large'!$A$4:$M$4,0))),"")</f>
        <v/>
      </c>
      <c r="G30" s="43">
        <f>IFERROR(IF(ISBLANK(INDEX('Dens-C-Large'!$A$5:$M$55,MATCH($A30,'Dens-C-Large'!$B$5:$B$55,0),MATCH("susb_employment_total",'Dens-C-Large'!$A$4:$M$4,0))),"",INDEX('Dens-C-Large'!$A$5:$M$55,MATCH($A30,'Dens-C-Large'!$B$5:$B$55,0),MATCH("susb_employment_total",'Dens-C-Large'!$A$4:$M$4,0))),"")</f>
        <v/>
      </c>
      <c r="H30" s="55">
        <f>IF(Table2[[#This Row],[Charter Units]]&lt;&gt;"", Table2[[#This Row],[Charter Units]]/Table2[[#This Row],[Total Residential Units]], "")</f>
        <v/>
      </c>
      <c r="I30" s="44">
        <f>IFERROR(IF(ISBLANK(INDEX('Dens-B-WFH'!$A$5:$L$55,MATCH($A30,'Dens-B-WFH'!$B$5:$B$55,0),MATCH("acs_wfh_rate_pct",'Dens-B-WFH'!$A$4:$L$4,0))),"",INDEX('Dens-B-WFH'!$A$5:$L$55,MATCH($A30,'Dens-B-WFH'!$B$5:$B$55,0),MATCH("acs_wfh_rate_pct",'Dens-B-WFH'!$A$4:$L$4,0))/100),"")</f>
        <v/>
      </c>
      <c r="J30" s="47">
        <f>IFERROR(IF(ISBLANK(INDEX('Dens-C-Large'!$A$5:$M$55,MATCH($A30,'Dens-C-Large'!$B$5:$B$55,0),MATCH("susb_share_ge500_pct",'Dens-C-Large'!$A$4:$M$4,0))),"",INDEX('Dens-C-Large'!$A$5:$M$55,MATCH($A30,'Dens-C-Large'!$B$5:$B$55,0),MATCH("susb_share_ge500_pct",'Dens-C-Large'!$A$4:$M$4,0))/100),"")</f>
        <v/>
      </c>
    </row>
    <row r="31" ht="18" customHeight="1" s="34">
      <c r="A31" s="46" t="inlineStr">
        <is>
          <t>New Hampshire</t>
        </is>
      </c>
      <c r="B31" s="43">
        <f>IFERROR(IF(ISBLANK(INDEX('Dens-A-CvC'!$A$5:$P$55,MATCH($A31,'Dens-A-CvC'!$B$5:$B$55,0),MATCH("charter_est_units",'Dens-A-CvC'!$A$4:$P$4,0))),"",INDEX('Dens-A-CvC'!$A$5:$P$55,MATCH($A31,'Dens-A-CvC'!$B$5:$B$55,0),MATCH("charter_est_units",'Dens-A-CvC'!$A$4:$P$4,0))),"")</f>
        <v/>
      </c>
      <c r="C31" s="43">
        <f>IFERROR(IF(ISBLANK(INDEX('Dens-A-CvC'!$A$5:$P$55,MATCH($A31,'Dens-A-CvC'!$B$5:$B$55,0),MATCH("comcast_est_units",'Dens-A-CvC'!$A$4:$P$4,0))),"",INDEX('Dens-A-CvC'!$A$5:$P$55,MATCH($A31,'Dens-A-CvC'!$B$5:$B$55,0),MATCH("comcast_est_units",'Dens-A-CvC'!$A$4:$P$4,0))),"")</f>
        <v/>
      </c>
      <c r="D31" s="43">
        <f>IFERROR(IF(ISBLANK(INDEX('Dens-A-CvC'!$A$5:$P$55,MATCH($A31,'Dens-A-CvC'!$B$5:$B$55,0),MATCH("total_residential_units",'Dens-A-CvC'!$A$4:$P$4,0))),"",INDEX('Dens-A-CvC'!$A$5:$P$55,MATCH($A31,'Dens-A-CvC'!$B$5:$B$55,0),MATCH("total_residential_units",'Dens-A-CvC'!$A$4:$P$4,0))),"")</f>
        <v/>
      </c>
      <c r="E31" s="43">
        <f>IFERROR(IF(ISBLANK(INDEX('Dens-B-WFH'!$A$5:$L$55,MATCH($A31,'Dens-B-WFH'!$B$5:$B$55,0),MATCH("acs_worked_from_home",'Dens-B-WFH'!$A$4:$L$4,0))),"",INDEX('Dens-B-WFH'!$A$5:$L$55,MATCH($A31,'Dens-B-WFH'!$B$5:$B$55,0),MATCH("acs_worked_from_home",'Dens-B-WFH'!$A$4:$L$4,0))),"")</f>
        <v/>
      </c>
      <c r="F31" s="43">
        <f>IFERROR(IF(ISBLANK(INDEX('Dens-C-Large'!$A$5:$M$55,MATCH($A31,'Dens-C-Large'!$B$5:$B$55,0),MATCH("susb_employment_ge500",'Dens-C-Large'!$A$4:$M$4,0))),"",INDEX('Dens-C-Large'!$A$5:$M$55,MATCH($A31,'Dens-C-Large'!$B$5:$B$55,0),MATCH("susb_employment_ge500",'Dens-C-Large'!$A$4:$M$4,0))),"")</f>
        <v/>
      </c>
      <c r="G31" s="43">
        <f>IFERROR(IF(ISBLANK(INDEX('Dens-C-Large'!$A$5:$M$55,MATCH($A31,'Dens-C-Large'!$B$5:$B$55,0),MATCH("susb_employment_total",'Dens-C-Large'!$A$4:$M$4,0))),"",INDEX('Dens-C-Large'!$A$5:$M$55,MATCH($A31,'Dens-C-Large'!$B$5:$B$55,0),MATCH("susb_employment_total",'Dens-C-Large'!$A$4:$M$4,0))),"")</f>
        <v/>
      </c>
      <c r="H31" s="55">
        <f>IF(Table2[[#This Row],[Charter Units]]&lt;&gt;"", Table2[[#This Row],[Charter Units]]/Table2[[#This Row],[Total Residential Units]], "")</f>
        <v/>
      </c>
      <c r="I31" s="44">
        <f>IFERROR(IF(ISBLANK(INDEX('Dens-B-WFH'!$A$5:$L$55,MATCH($A31,'Dens-B-WFH'!$B$5:$B$55,0),MATCH("acs_wfh_rate_pct",'Dens-B-WFH'!$A$4:$L$4,0))),"",INDEX('Dens-B-WFH'!$A$5:$L$55,MATCH($A31,'Dens-B-WFH'!$B$5:$B$55,0),MATCH("acs_wfh_rate_pct",'Dens-B-WFH'!$A$4:$L$4,0))/100),"")</f>
        <v/>
      </c>
      <c r="J31" s="47">
        <f>IFERROR(IF(ISBLANK(INDEX('Dens-C-Large'!$A$5:$M$55,MATCH($A31,'Dens-C-Large'!$B$5:$B$55,0),MATCH("susb_share_ge500_pct",'Dens-C-Large'!$A$4:$M$4,0))),"",INDEX('Dens-C-Large'!$A$5:$M$55,MATCH($A31,'Dens-C-Large'!$B$5:$B$55,0),MATCH("susb_share_ge500_pct",'Dens-C-Large'!$A$4:$M$4,0))/100),"")</f>
        <v/>
      </c>
    </row>
    <row r="32" ht="18" customHeight="1" s="34">
      <c r="A32" s="46" t="inlineStr">
        <is>
          <t>New Jersey</t>
        </is>
      </c>
      <c r="B32" s="43">
        <f>IFERROR(IF(ISBLANK(INDEX('Dens-A-CvC'!$A$5:$P$55,MATCH($A32,'Dens-A-CvC'!$B$5:$B$55,0),MATCH("charter_est_units",'Dens-A-CvC'!$A$4:$P$4,0))),"",INDEX('Dens-A-CvC'!$A$5:$P$55,MATCH($A32,'Dens-A-CvC'!$B$5:$B$55,0),MATCH("charter_est_units",'Dens-A-CvC'!$A$4:$P$4,0))),"")</f>
        <v/>
      </c>
      <c r="C32" s="43">
        <f>IFERROR(IF(ISBLANK(INDEX('Dens-A-CvC'!$A$5:$P$55,MATCH($A32,'Dens-A-CvC'!$B$5:$B$55,0),MATCH("comcast_est_units",'Dens-A-CvC'!$A$4:$P$4,0))),"",INDEX('Dens-A-CvC'!$A$5:$P$55,MATCH($A32,'Dens-A-CvC'!$B$5:$B$55,0),MATCH("comcast_est_units",'Dens-A-CvC'!$A$4:$P$4,0))),"")</f>
        <v/>
      </c>
      <c r="D32" s="43">
        <f>IFERROR(IF(ISBLANK(INDEX('Dens-A-CvC'!$A$5:$P$55,MATCH($A32,'Dens-A-CvC'!$B$5:$B$55,0),MATCH("total_residential_units",'Dens-A-CvC'!$A$4:$P$4,0))),"",INDEX('Dens-A-CvC'!$A$5:$P$55,MATCH($A32,'Dens-A-CvC'!$B$5:$B$55,0),MATCH("total_residential_units",'Dens-A-CvC'!$A$4:$P$4,0))),"")</f>
        <v/>
      </c>
      <c r="E32" s="43">
        <f>IFERROR(IF(ISBLANK(INDEX('Dens-B-WFH'!$A$5:$L$55,MATCH($A32,'Dens-B-WFH'!$B$5:$B$55,0),MATCH("acs_worked_from_home",'Dens-B-WFH'!$A$4:$L$4,0))),"",INDEX('Dens-B-WFH'!$A$5:$L$55,MATCH($A32,'Dens-B-WFH'!$B$5:$B$55,0),MATCH("acs_worked_from_home",'Dens-B-WFH'!$A$4:$L$4,0))),"")</f>
        <v/>
      </c>
      <c r="F32" s="43">
        <f>IFERROR(IF(ISBLANK(INDEX('Dens-C-Large'!$A$5:$M$55,MATCH($A32,'Dens-C-Large'!$B$5:$B$55,0),MATCH("susb_employment_ge500",'Dens-C-Large'!$A$4:$M$4,0))),"",INDEX('Dens-C-Large'!$A$5:$M$55,MATCH($A32,'Dens-C-Large'!$B$5:$B$55,0),MATCH("susb_employment_ge500",'Dens-C-Large'!$A$4:$M$4,0))),"")</f>
        <v/>
      </c>
      <c r="G32" s="43">
        <f>IFERROR(IF(ISBLANK(INDEX('Dens-C-Large'!$A$5:$M$55,MATCH($A32,'Dens-C-Large'!$B$5:$B$55,0),MATCH("susb_employment_total",'Dens-C-Large'!$A$4:$M$4,0))),"",INDEX('Dens-C-Large'!$A$5:$M$55,MATCH($A32,'Dens-C-Large'!$B$5:$B$55,0),MATCH("susb_employment_total",'Dens-C-Large'!$A$4:$M$4,0))),"")</f>
        <v/>
      </c>
      <c r="H32" s="55">
        <f>IF(Table2[[#This Row],[Charter Units]]&lt;&gt;"", Table2[[#This Row],[Charter Units]]/Table2[[#This Row],[Total Residential Units]], "")</f>
        <v/>
      </c>
      <c r="I32" s="44">
        <f>IFERROR(IF(ISBLANK(INDEX('Dens-B-WFH'!$A$5:$L$55,MATCH($A32,'Dens-B-WFH'!$B$5:$B$55,0),MATCH("acs_wfh_rate_pct",'Dens-B-WFH'!$A$4:$L$4,0))),"",INDEX('Dens-B-WFH'!$A$5:$L$55,MATCH($A32,'Dens-B-WFH'!$B$5:$B$55,0),MATCH("acs_wfh_rate_pct",'Dens-B-WFH'!$A$4:$L$4,0))/100),"")</f>
        <v/>
      </c>
      <c r="J32" s="47">
        <f>IFERROR(IF(ISBLANK(INDEX('Dens-C-Large'!$A$5:$M$55,MATCH($A32,'Dens-C-Large'!$B$5:$B$55,0),MATCH("susb_share_ge500_pct",'Dens-C-Large'!$A$4:$M$4,0))),"",INDEX('Dens-C-Large'!$A$5:$M$55,MATCH($A32,'Dens-C-Large'!$B$5:$B$55,0),MATCH("susb_share_ge500_pct",'Dens-C-Large'!$A$4:$M$4,0))/100),"")</f>
        <v/>
      </c>
    </row>
    <row r="33" ht="18" customHeight="1" s="34">
      <c r="A33" s="46" t="inlineStr">
        <is>
          <t>New Mexico</t>
        </is>
      </c>
      <c r="B33" s="43">
        <f>IFERROR(IF(ISBLANK(INDEX('Dens-A-CvC'!$A$5:$P$55,MATCH($A33,'Dens-A-CvC'!$B$5:$B$55,0),MATCH("charter_est_units",'Dens-A-CvC'!$A$4:$P$4,0))),"",INDEX('Dens-A-CvC'!$A$5:$P$55,MATCH($A33,'Dens-A-CvC'!$B$5:$B$55,0),MATCH("charter_est_units",'Dens-A-CvC'!$A$4:$P$4,0))),"")</f>
        <v/>
      </c>
      <c r="C33" s="43">
        <f>IFERROR(IF(ISBLANK(INDEX('Dens-A-CvC'!$A$5:$P$55,MATCH($A33,'Dens-A-CvC'!$B$5:$B$55,0),MATCH("comcast_est_units",'Dens-A-CvC'!$A$4:$P$4,0))),"",INDEX('Dens-A-CvC'!$A$5:$P$55,MATCH($A33,'Dens-A-CvC'!$B$5:$B$55,0),MATCH("comcast_est_units",'Dens-A-CvC'!$A$4:$P$4,0))),"")</f>
        <v/>
      </c>
      <c r="D33" s="43">
        <f>IFERROR(IF(ISBLANK(INDEX('Dens-A-CvC'!$A$5:$P$55,MATCH($A33,'Dens-A-CvC'!$B$5:$B$55,0),MATCH("total_residential_units",'Dens-A-CvC'!$A$4:$P$4,0))),"",INDEX('Dens-A-CvC'!$A$5:$P$55,MATCH($A33,'Dens-A-CvC'!$B$5:$B$55,0),MATCH("total_residential_units",'Dens-A-CvC'!$A$4:$P$4,0))),"")</f>
        <v/>
      </c>
      <c r="E33" s="43">
        <f>IFERROR(IF(ISBLANK(INDEX('Dens-B-WFH'!$A$5:$L$55,MATCH($A33,'Dens-B-WFH'!$B$5:$B$55,0),MATCH("acs_worked_from_home",'Dens-B-WFH'!$A$4:$L$4,0))),"",INDEX('Dens-B-WFH'!$A$5:$L$55,MATCH($A33,'Dens-B-WFH'!$B$5:$B$55,0),MATCH("acs_worked_from_home",'Dens-B-WFH'!$A$4:$L$4,0))),"")</f>
        <v/>
      </c>
      <c r="F33" s="43">
        <f>IFERROR(IF(ISBLANK(INDEX('Dens-C-Large'!$A$5:$M$55,MATCH($A33,'Dens-C-Large'!$B$5:$B$55,0),MATCH("susb_employment_ge500",'Dens-C-Large'!$A$4:$M$4,0))),"",INDEX('Dens-C-Large'!$A$5:$M$55,MATCH($A33,'Dens-C-Large'!$B$5:$B$55,0),MATCH("susb_employment_ge500",'Dens-C-Large'!$A$4:$M$4,0))),"")</f>
        <v/>
      </c>
      <c r="G33" s="43">
        <f>IFERROR(IF(ISBLANK(INDEX('Dens-C-Large'!$A$5:$M$55,MATCH($A33,'Dens-C-Large'!$B$5:$B$55,0),MATCH("susb_employment_total",'Dens-C-Large'!$A$4:$M$4,0))),"",INDEX('Dens-C-Large'!$A$5:$M$55,MATCH($A33,'Dens-C-Large'!$B$5:$B$55,0),MATCH("susb_employment_total",'Dens-C-Large'!$A$4:$M$4,0))),"")</f>
        <v/>
      </c>
      <c r="H33" s="55">
        <f>IF(Table2[[#This Row],[Charter Units]]&lt;&gt;"", Table2[[#This Row],[Charter Units]]/Table2[[#This Row],[Total Residential Units]], "")</f>
        <v/>
      </c>
      <c r="I33" s="44">
        <f>IFERROR(IF(ISBLANK(INDEX('Dens-B-WFH'!$A$5:$L$55,MATCH($A33,'Dens-B-WFH'!$B$5:$B$55,0),MATCH("acs_wfh_rate_pct",'Dens-B-WFH'!$A$4:$L$4,0))),"",INDEX('Dens-B-WFH'!$A$5:$L$55,MATCH($A33,'Dens-B-WFH'!$B$5:$B$55,0),MATCH("acs_wfh_rate_pct",'Dens-B-WFH'!$A$4:$L$4,0))/100),"")</f>
        <v/>
      </c>
      <c r="J33" s="47">
        <f>IFERROR(IF(ISBLANK(INDEX('Dens-C-Large'!$A$5:$M$55,MATCH($A33,'Dens-C-Large'!$B$5:$B$55,0),MATCH("susb_share_ge500_pct",'Dens-C-Large'!$A$4:$M$4,0))),"",INDEX('Dens-C-Large'!$A$5:$M$55,MATCH($A33,'Dens-C-Large'!$B$5:$B$55,0),MATCH("susb_share_ge500_pct",'Dens-C-Large'!$A$4:$M$4,0))/100),"")</f>
        <v/>
      </c>
    </row>
    <row r="34" ht="18" customHeight="1" s="34">
      <c r="A34" s="46" t="inlineStr">
        <is>
          <t>New York</t>
        </is>
      </c>
      <c r="B34" s="43">
        <f>IFERROR(IF(ISBLANK(INDEX('Dens-A-CvC'!$A$5:$P$55,MATCH($A34,'Dens-A-CvC'!$B$5:$B$55,0),MATCH("charter_est_units",'Dens-A-CvC'!$A$4:$P$4,0))),"",INDEX('Dens-A-CvC'!$A$5:$P$55,MATCH($A34,'Dens-A-CvC'!$B$5:$B$55,0),MATCH("charter_est_units",'Dens-A-CvC'!$A$4:$P$4,0))),"")</f>
        <v/>
      </c>
      <c r="C34" s="43">
        <f>IFERROR(IF(ISBLANK(INDEX('Dens-A-CvC'!$A$5:$P$55,MATCH($A34,'Dens-A-CvC'!$B$5:$B$55,0),MATCH("comcast_est_units",'Dens-A-CvC'!$A$4:$P$4,0))),"",INDEX('Dens-A-CvC'!$A$5:$P$55,MATCH($A34,'Dens-A-CvC'!$B$5:$B$55,0),MATCH("comcast_est_units",'Dens-A-CvC'!$A$4:$P$4,0))),"")</f>
        <v/>
      </c>
      <c r="D34" s="43">
        <f>IFERROR(IF(ISBLANK(INDEX('Dens-A-CvC'!$A$5:$P$55,MATCH($A34,'Dens-A-CvC'!$B$5:$B$55,0),MATCH("total_residential_units",'Dens-A-CvC'!$A$4:$P$4,0))),"",INDEX('Dens-A-CvC'!$A$5:$P$55,MATCH($A34,'Dens-A-CvC'!$B$5:$B$55,0),MATCH("total_residential_units",'Dens-A-CvC'!$A$4:$P$4,0))),"")</f>
        <v/>
      </c>
      <c r="E34" s="43">
        <f>IFERROR(IF(ISBLANK(INDEX('Dens-B-WFH'!$A$5:$L$55,MATCH($A34,'Dens-B-WFH'!$B$5:$B$55,0),MATCH("acs_worked_from_home",'Dens-B-WFH'!$A$4:$L$4,0))),"",INDEX('Dens-B-WFH'!$A$5:$L$55,MATCH($A34,'Dens-B-WFH'!$B$5:$B$55,0),MATCH("acs_worked_from_home",'Dens-B-WFH'!$A$4:$L$4,0))),"")</f>
        <v/>
      </c>
      <c r="F34" s="43">
        <f>IFERROR(IF(ISBLANK(INDEX('Dens-C-Large'!$A$5:$M$55,MATCH($A34,'Dens-C-Large'!$B$5:$B$55,0),MATCH("susb_employment_ge500",'Dens-C-Large'!$A$4:$M$4,0))),"",INDEX('Dens-C-Large'!$A$5:$M$55,MATCH($A34,'Dens-C-Large'!$B$5:$B$55,0),MATCH("susb_employment_ge500",'Dens-C-Large'!$A$4:$M$4,0))),"")</f>
        <v/>
      </c>
      <c r="G34" s="43">
        <f>IFERROR(IF(ISBLANK(INDEX('Dens-C-Large'!$A$5:$M$55,MATCH($A34,'Dens-C-Large'!$B$5:$B$55,0),MATCH("susb_employment_total",'Dens-C-Large'!$A$4:$M$4,0))),"",INDEX('Dens-C-Large'!$A$5:$M$55,MATCH($A34,'Dens-C-Large'!$B$5:$B$55,0),MATCH("susb_employment_total",'Dens-C-Large'!$A$4:$M$4,0))),"")</f>
        <v/>
      </c>
      <c r="H34" s="55">
        <f>IF(Table2[[#This Row],[Charter Units]]&lt;&gt;"", Table2[[#This Row],[Charter Units]]/Table2[[#This Row],[Total Residential Units]], "")</f>
        <v/>
      </c>
      <c r="I34" s="44">
        <f>IFERROR(IF(ISBLANK(INDEX('Dens-B-WFH'!$A$5:$L$55,MATCH($A34,'Dens-B-WFH'!$B$5:$B$55,0),MATCH("acs_wfh_rate_pct",'Dens-B-WFH'!$A$4:$L$4,0))),"",INDEX('Dens-B-WFH'!$A$5:$L$55,MATCH($A34,'Dens-B-WFH'!$B$5:$B$55,0),MATCH("acs_wfh_rate_pct",'Dens-B-WFH'!$A$4:$L$4,0))/100),"")</f>
        <v/>
      </c>
      <c r="J34" s="47">
        <f>IFERROR(IF(ISBLANK(INDEX('Dens-C-Large'!$A$5:$M$55,MATCH($A34,'Dens-C-Large'!$B$5:$B$55,0),MATCH("susb_share_ge500_pct",'Dens-C-Large'!$A$4:$M$4,0))),"",INDEX('Dens-C-Large'!$A$5:$M$55,MATCH($A34,'Dens-C-Large'!$B$5:$B$55,0),MATCH("susb_share_ge500_pct",'Dens-C-Large'!$A$4:$M$4,0))/100),"")</f>
        <v/>
      </c>
    </row>
    <row r="35" ht="18" customHeight="1" s="34">
      <c r="A35" s="46" t="inlineStr">
        <is>
          <t>North Carolina</t>
        </is>
      </c>
      <c r="B35" s="43">
        <f>IFERROR(IF(ISBLANK(INDEX('Dens-A-CvC'!$A$5:$P$55,MATCH($A35,'Dens-A-CvC'!$B$5:$B$55,0),MATCH("charter_est_units",'Dens-A-CvC'!$A$4:$P$4,0))),"",INDEX('Dens-A-CvC'!$A$5:$P$55,MATCH($A35,'Dens-A-CvC'!$B$5:$B$55,0),MATCH("charter_est_units",'Dens-A-CvC'!$A$4:$P$4,0))),"")</f>
        <v/>
      </c>
      <c r="C35" s="43">
        <f>IFERROR(IF(ISBLANK(INDEX('Dens-A-CvC'!$A$5:$P$55,MATCH($A35,'Dens-A-CvC'!$B$5:$B$55,0),MATCH("comcast_est_units",'Dens-A-CvC'!$A$4:$P$4,0))),"",INDEX('Dens-A-CvC'!$A$5:$P$55,MATCH($A35,'Dens-A-CvC'!$B$5:$B$55,0),MATCH("comcast_est_units",'Dens-A-CvC'!$A$4:$P$4,0))),"")</f>
        <v/>
      </c>
      <c r="D35" s="43">
        <f>IFERROR(IF(ISBLANK(INDEX('Dens-A-CvC'!$A$5:$P$55,MATCH($A35,'Dens-A-CvC'!$B$5:$B$55,0),MATCH("total_residential_units",'Dens-A-CvC'!$A$4:$P$4,0))),"",INDEX('Dens-A-CvC'!$A$5:$P$55,MATCH($A35,'Dens-A-CvC'!$B$5:$B$55,0),MATCH("total_residential_units",'Dens-A-CvC'!$A$4:$P$4,0))),"")</f>
        <v/>
      </c>
      <c r="E35" s="43">
        <f>IFERROR(IF(ISBLANK(INDEX('Dens-B-WFH'!$A$5:$L$55,MATCH($A35,'Dens-B-WFH'!$B$5:$B$55,0),MATCH("acs_worked_from_home",'Dens-B-WFH'!$A$4:$L$4,0))),"",INDEX('Dens-B-WFH'!$A$5:$L$55,MATCH($A35,'Dens-B-WFH'!$B$5:$B$55,0),MATCH("acs_worked_from_home",'Dens-B-WFH'!$A$4:$L$4,0))),"")</f>
        <v/>
      </c>
      <c r="F35" s="43">
        <f>IFERROR(IF(ISBLANK(INDEX('Dens-C-Large'!$A$5:$M$55,MATCH($A35,'Dens-C-Large'!$B$5:$B$55,0),MATCH("susb_employment_ge500",'Dens-C-Large'!$A$4:$M$4,0))),"",INDEX('Dens-C-Large'!$A$5:$M$55,MATCH($A35,'Dens-C-Large'!$B$5:$B$55,0),MATCH("susb_employment_ge500",'Dens-C-Large'!$A$4:$M$4,0))),"")</f>
        <v/>
      </c>
      <c r="G35" s="43">
        <f>IFERROR(IF(ISBLANK(INDEX('Dens-C-Large'!$A$5:$M$55,MATCH($A35,'Dens-C-Large'!$B$5:$B$55,0),MATCH("susb_employment_total",'Dens-C-Large'!$A$4:$M$4,0))),"",INDEX('Dens-C-Large'!$A$5:$M$55,MATCH($A35,'Dens-C-Large'!$B$5:$B$55,0),MATCH("susb_employment_total",'Dens-C-Large'!$A$4:$M$4,0))),"")</f>
        <v/>
      </c>
      <c r="H35" s="55">
        <f>IF(Table2[[#This Row],[Charter Units]]&lt;&gt;"", Table2[[#This Row],[Charter Units]]/Table2[[#This Row],[Total Residential Units]], "")</f>
        <v/>
      </c>
      <c r="I35" s="44">
        <f>IFERROR(IF(ISBLANK(INDEX('Dens-B-WFH'!$A$5:$L$55,MATCH($A35,'Dens-B-WFH'!$B$5:$B$55,0),MATCH("acs_wfh_rate_pct",'Dens-B-WFH'!$A$4:$L$4,0))),"",INDEX('Dens-B-WFH'!$A$5:$L$55,MATCH($A35,'Dens-B-WFH'!$B$5:$B$55,0),MATCH("acs_wfh_rate_pct",'Dens-B-WFH'!$A$4:$L$4,0))/100),"")</f>
        <v/>
      </c>
      <c r="J35" s="47">
        <f>IFERROR(IF(ISBLANK(INDEX('Dens-C-Large'!$A$5:$M$55,MATCH($A35,'Dens-C-Large'!$B$5:$B$55,0),MATCH("susb_share_ge500_pct",'Dens-C-Large'!$A$4:$M$4,0))),"",INDEX('Dens-C-Large'!$A$5:$M$55,MATCH($A35,'Dens-C-Large'!$B$5:$B$55,0),MATCH("susb_share_ge500_pct",'Dens-C-Large'!$A$4:$M$4,0))/100),"")</f>
        <v/>
      </c>
    </row>
    <row r="36" ht="18" customHeight="1" s="34">
      <c r="A36" s="46" t="inlineStr">
        <is>
          <t>North Dakota</t>
        </is>
      </c>
      <c r="B36" s="43">
        <f>IFERROR(IF(ISBLANK(INDEX('Dens-A-CvC'!$A$5:$P$55,MATCH($A36,'Dens-A-CvC'!$B$5:$B$55,0),MATCH("charter_est_units",'Dens-A-CvC'!$A$4:$P$4,0))),"",INDEX('Dens-A-CvC'!$A$5:$P$55,MATCH($A36,'Dens-A-CvC'!$B$5:$B$55,0),MATCH("charter_est_units",'Dens-A-CvC'!$A$4:$P$4,0))),"")</f>
        <v/>
      </c>
      <c r="C36" s="43">
        <f>IFERROR(IF(ISBLANK(INDEX('Dens-A-CvC'!$A$5:$P$55,MATCH($A36,'Dens-A-CvC'!$B$5:$B$55,0),MATCH("comcast_est_units",'Dens-A-CvC'!$A$4:$P$4,0))),"",INDEX('Dens-A-CvC'!$A$5:$P$55,MATCH($A36,'Dens-A-CvC'!$B$5:$B$55,0),MATCH("comcast_est_units",'Dens-A-CvC'!$A$4:$P$4,0))),"")</f>
        <v/>
      </c>
      <c r="D36" s="43">
        <f>IFERROR(IF(ISBLANK(INDEX('Dens-A-CvC'!$A$5:$P$55,MATCH($A36,'Dens-A-CvC'!$B$5:$B$55,0),MATCH("total_residential_units",'Dens-A-CvC'!$A$4:$P$4,0))),"",INDEX('Dens-A-CvC'!$A$5:$P$55,MATCH($A36,'Dens-A-CvC'!$B$5:$B$55,0),MATCH("total_residential_units",'Dens-A-CvC'!$A$4:$P$4,0))),"")</f>
        <v/>
      </c>
      <c r="E36" s="43">
        <f>IFERROR(IF(ISBLANK(INDEX('Dens-B-WFH'!$A$5:$L$55,MATCH($A36,'Dens-B-WFH'!$B$5:$B$55,0),MATCH("acs_worked_from_home",'Dens-B-WFH'!$A$4:$L$4,0))),"",INDEX('Dens-B-WFH'!$A$5:$L$55,MATCH($A36,'Dens-B-WFH'!$B$5:$B$55,0),MATCH("acs_worked_from_home",'Dens-B-WFH'!$A$4:$L$4,0))),"")</f>
        <v/>
      </c>
      <c r="F36" s="43">
        <f>IFERROR(IF(ISBLANK(INDEX('Dens-C-Large'!$A$5:$M$55,MATCH($A36,'Dens-C-Large'!$B$5:$B$55,0),MATCH("susb_employment_ge500",'Dens-C-Large'!$A$4:$M$4,0))),"",INDEX('Dens-C-Large'!$A$5:$M$55,MATCH($A36,'Dens-C-Large'!$B$5:$B$55,0),MATCH("susb_employment_ge500",'Dens-C-Large'!$A$4:$M$4,0))),"")</f>
        <v/>
      </c>
      <c r="G36" s="43">
        <f>IFERROR(IF(ISBLANK(INDEX('Dens-C-Large'!$A$5:$M$55,MATCH($A36,'Dens-C-Large'!$B$5:$B$55,0),MATCH("susb_employment_total",'Dens-C-Large'!$A$4:$M$4,0))),"",INDEX('Dens-C-Large'!$A$5:$M$55,MATCH($A36,'Dens-C-Large'!$B$5:$B$55,0),MATCH("susb_employment_total",'Dens-C-Large'!$A$4:$M$4,0))),"")</f>
        <v/>
      </c>
      <c r="H36" s="55">
        <f>IF(Table2[[#This Row],[Charter Units]]&lt;&gt;"", Table2[[#This Row],[Charter Units]]/Table2[[#This Row],[Total Residential Units]], "")</f>
        <v/>
      </c>
      <c r="I36" s="44">
        <f>IFERROR(IF(ISBLANK(INDEX('Dens-B-WFH'!$A$5:$L$55,MATCH($A36,'Dens-B-WFH'!$B$5:$B$55,0),MATCH("acs_wfh_rate_pct",'Dens-B-WFH'!$A$4:$L$4,0))),"",INDEX('Dens-B-WFH'!$A$5:$L$55,MATCH($A36,'Dens-B-WFH'!$B$5:$B$55,0),MATCH("acs_wfh_rate_pct",'Dens-B-WFH'!$A$4:$L$4,0))/100),"")</f>
        <v/>
      </c>
      <c r="J36" s="47">
        <f>IFERROR(IF(ISBLANK(INDEX('Dens-C-Large'!$A$5:$M$55,MATCH($A36,'Dens-C-Large'!$B$5:$B$55,0),MATCH("susb_share_ge500_pct",'Dens-C-Large'!$A$4:$M$4,0))),"",INDEX('Dens-C-Large'!$A$5:$M$55,MATCH($A36,'Dens-C-Large'!$B$5:$B$55,0),MATCH("susb_share_ge500_pct",'Dens-C-Large'!$A$4:$M$4,0))/100),"")</f>
        <v/>
      </c>
    </row>
    <row r="37" ht="18" customHeight="1" s="34">
      <c r="A37" s="46" t="inlineStr">
        <is>
          <t>Ohio</t>
        </is>
      </c>
      <c r="B37" s="43">
        <f>IFERROR(IF(ISBLANK(INDEX('Dens-A-CvC'!$A$5:$P$55,MATCH($A37,'Dens-A-CvC'!$B$5:$B$55,0),MATCH("charter_est_units",'Dens-A-CvC'!$A$4:$P$4,0))),"",INDEX('Dens-A-CvC'!$A$5:$P$55,MATCH($A37,'Dens-A-CvC'!$B$5:$B$55,0),MATCH("charter_est_units",'Dens-A-CvC'!$A$4:$P$4,0))),"")</f>
        <v/>
      </c>
      <c r="C37" s="43">
        <f>IFERROR(IF(ISBLANK(INDEX('Dens-A-CvC'!$A$5:$P$55,MATCH($A37,'Dens-A-CvC'!$B$5:$B$55,0),MATCH("comcast_est_units",'Dens-A-CvC'!$A$4:$P$4,0))),"",INDEX('Dens-A-CvC'!$A$5:$P$55,MATCH($A37,'Dens-A-CvC'!$B$5:$B$55,0),MATCH("comcast_est_units",'Dens-A-CvC'!$A$4:$P$4,0))),"")</f>
        <v/>
      </c>
      <c r="D37" s="43">
        <f>IFERROR(IF(ISBLANK(INDEX('Dens-A-CvC'!$A$5:$P$55,MATCH($A37,'Dens-A-CvC'!$B$5:$B$55,0),MATCH("total_residential_units",'Dens-A-CvC'!$A$4:$P$4,0))),"",INDEX('Dens-A-CvC'!$A$5:$P$55,MATCH($A37,'Dens-A-CvC'!$B$5:$B$55,0),MATCH("total_residential_units",'Dens-A-CvC'!$A$4:$P$4,0))),"")</f>
        <v/>
      </c>
      <c r="E37" s="43">
        <f>IFERROR(IF(ISBLANK(INDEX('Dens-B-WFH'!$A$5:$L$55,MATCH($A37,'Dens-B-WFH'!$B$5:$B$55,0),MATCH("acs_worked_from_home",'Dens-B-WFH'!$A$4:$L$4,0))),"",INDEX('Dens-B-WFH'!$A$5:$L$55,MATCH($A37,'Dens-B-WFH'!$B$5:$B$55,0),MATCH("acs_worked_from_home",'Dens-B-WFH'!$A$4:$L$4,0))),"")</f>
        <v/>
      </c>
      <c r="F37" s="43">
        <f>IFERROR(IF(ISBLANK(INDEX('Dens-C-Large'!$A$5:$M$55,MATCH($A37,'Dens-C-Large'!$B$5:$B$55,0),MATCH("susb_employment_ge500",'Dens-C-Large'!$A$4:$M$4,0))),"",INDEX('Dens-C-Large'!$A$5:$M$55,MATCH($A37,'Dens-C-Large'!$B$5:$B$55,0),MATCH("susb_employment_ge500",'Dens-C-Large'!$A$4:$M$4,0))),"")</f>
        <v/>
      </c>
      <c r="G37" s="43">
        <f>IFERROR(IF(ISBLANK(INDEX('Dens-C-Large'!$A$5:$M$55,MATCH($A37,'Dens-C-Large'!$B$5:$B$55,0),MATCH("susb_employment_total",'Dens-C-Large'!$A$4:$M$4,0))),"",INDEX('Dens-C-Large'!$A$5:$M$55,MATCH($A37,'Dens-C-Large'!$B$5:$B$55,0),MATCH("susb_employment_total",'Dens-C-Large'!$A$4:$M$4,0))),"")</f>
        <v/>
      </c>
      <c r="H37" s="55">
        <f>IF(Table2[[#This Row],[Charter Units]]&lt;&gt;"", Table2[[#This Row],[Charter Units]]/Table2[[#This Row],[Total Residential Units]], "")</f>
        <v/>
      </c>
      <c r="I37" s="44">
        <f>IFERROR(IF(ISBLANK(INDEX('Dens-B-WFH'!$A$5:$L$55,MATCH($A37,'Dens-B-WFH'!$B$5:$B$55,0),MATCH("acs_wfh_rate_pct",'Dens-B-WFH'!$A$4:$L$4,0))),"",INDEX('Dens-B-WFH'!$A$5:$L$55,MATCH($A37,'Dens-B-WFH'!$B$5:$B$55,0),MATCH("acs_wfh_rate_pct",'Dens-B-WFH'!$A$4:$L$4,0))/100),"")</f>
        <v/>
      </c>
      <c r="J37" s="47">
        <f>IFERROR(IF(ISBLANK(INDEX('Dens-C-Large'!$A$5:$M$55,MATCH($A37,'Dens-C-Large'!$B$5:$B$55,0),MATCH("susb_share_ge500_pct",'Dens-C-Large'!$A$4:$M$4,0))),"",INDEX('Dens-C-Large'!$A$5:$M$55,MATCH($A37,'Dens-C-Large'!$B$5:$B$55,0),MATCH("susb_share_ge500_pct",'Dens-C-Large'!$A$4:$M$4,0))/100),"")</f>
        <v/>
      </c>
    </row>
    <row r="38" ht="18" customHeight="1" s="34">
      <c r="A38" s="46" t="inlineStr">
        <is>
          <t>Oklahoma</t>
        </is>
      </c>
      <c r="B38" s="43">
        <f>IFERROR(IF(ISBLANK(INDEX('Dens-A-CvC'!$A$5:$P$55,MATCH($A38,'Dens-A-CvC'!$B$5:$B$55,0),MATCH("charter_est_units",'Dens-A-CvC'!$A$4:$P$4,0))),"",INDEX('Dens-A-CvC'!$A$5:$P$55,MATCH($A38,'Dens-A-CvC'!$B$5:$B$55,0),MATCH("charter_est_units",'Dens-A-CvC'!$A$4:$P$4,0))),"")</f>
        <v/>
      </c>
      <c r="C38" s="43">
        <f>IFERROR(IF(ISBLANK(INDEX('Dens-A-CvC'!$A$5:$P$55,MATCH($A38,'Dens-A-CvC'!$B$5:$B$55,0),MATCH("comcast_est_units",'Dens-A-CvC'!$A$4:$P$4,0))),"",INDEX('Dens-A-CvC'!$A$5:$P$55,MATCH($A38,'Dens-A-CvC'!$B$5:$B$55,0),MATCH("comcast_est_units",'Dens-A-CvC'!$A$4:$P$4,0))),"")</f>
        <v/>
      </c>
      <c r="D38" s="43">
        <f>IFERROR(IF(ISBLANK(INDEX('Dens-A-CvC'!$A$5:$P$55,MATCH($A38,'Dens-A-CvC'!$B$5:$B$55,0),MATCH("total_residential_units",'Dens-A-CvC'!$A$4:$P$4,0))),"",INDEX('Dens-A-CvC'!$A$5:$P$55,MATCH($A38,'Dens-A-CvC'!$B$5:$B$55,0),MATCH("total_residential_units",'Dens-A-CvC'!$A$4:$P$4,0))),"")</f>
        <v/>
      </c>
      <c r="E38" s="43">
        <f>IFERROR(IF(ISBLANK(INDEX('Dens-B-WFH'!$A$5:$L$55,MATCH($A38,'Dens-B-WFH'!$B$5:$B$55,0),MATCH("acs_worked_from_home",'Dens-B-WFH'!$A$4:$L$4,0))),"",INDEX('Dens-B-WFH'!$A$5:$L$55,MATCH($A38,'Dens-B-WFH'!$B$5:$B$55,0),MATCH("acs_worked_from_home",'Dens-B-WFH'!$A$4:$L$4,0))),"")</f>
        <v/>
      </c>
      <c r="F38" s="43">
        <f>IFERROR(IF(ISBLANK(INDEX('Dens-C-Large'!$A$5:$M$55,MATCH($A38,'Dens-C-Large'!$B$5:$B$55,0),MATCH("susb_employment_ge500",'Dens-C-Large'!$A$4:$M$4,0))),"",INDEX('Dens-C-Large'!$A$5:$M$55,MATCH($A38,'Dens-C-Large'!$B$5:$B$55,0),MATCH("susb_employment_ge500",'Dens-C-Large'!$A$4:$M$4,0))),"")</f>
        <v/>
      </c>
      <c r="G38" s="43">
        <f>IFERROR(IF(ISBLANK(INDEX('Dens-C-Large'!$A$5:$M$55,MATCH($A38,'Dens-C-Large'!$B$5:$B$55,0),MATCH("susb_employment_total",'Dens-C-Large'!$A$4:$M$4,0))),"",INDEX('Dens-C-Large'!$A$5:$M$55,MATCH($A38,'Dens-C-Large'!$B$5:$B$55,0),MATCH("susb_employment_total",'Dens-C-Large'!$A$4:$M$4,0))),"")</f>
        <v/>
      </c>
      <c r="H38" s="55">
        <f>IF(Table2[[#This Row],[Charter Units]]&lt;&gt;"", Table2[[#This Row],[Charter Units]]/Table2[[#This Row],[Total Residential Units]], "")</f>
        <v/>
      </c>
      <c r="I38" s="44">
        <f>IFERROR(IF(ISBLANK(INDEX('Dens-B-WFH'!$A$5:$L$55,MATCH($A38,'Dens-B-WFH'!$B$5:$B$55,0),MATCH("acs_wfh_rate_pct",'Dens-B-WFH'!$A$4:$L$4,0))),"",INDEX('Dens-B-WFH'!$A$5:$L$55,MATCH($A38,'Dens-B-WFH'!$B$5:$B$55,0),MATCH("acs_wfh_rate_pct",'Dens-B-WFH'!$A$4:$L$4,0))/100),"")</f>
        <v/>
      </c>
      <c r="J38" s="47">
        <f>IFERROR(IF(ISBLANK(INDEX('Dens-C-Large'!$A$5:$M$55,MATCH($A38,'Dens-C-Large'!$B$5:$B$55,0),MATCH("susb_share_ge500_pct",'Dens-C-Large'!$A$4:$M$4,0))),"",INDEX('Dens-C-Large'!$A$5:$M$55,MATCH($A38,'Dens-C-Large'!$B$5:$B$55,0),MATCH("susb_share_ge500_pct",'Dens-C-Large'!$A$4:$M$4,0))/100),"")</f>
        <v/>
      </c>
    </row>
    <row r="39" ht="18" customHeight="1" s="34">
      <c r="A39" s="46" t="inlineStr">
        <is>
          <t>Oregon</t>
        </is>
      </c>
      <c r="B39" s="43">
        <f>IFERROR(IF(ISBLANK(INDEX('Dens-A-CvC'!$A$5:$P$55,MATCH($A39,'Dens-A-CvC'!$B$5:$B$55,0),MATCH("charter_est_units",'Dens-A-CvC'!$A$4:$P$4,0))),"",INDEX('Dens-A-CvC'!$A$5:$P$55,MATCH($A39,'Dens-A-CvC'!$B$5:$B$55,0),MATCH("charter_est_units",'Dens-A-CvC'!$A$4:$P$4,0))),"")</f>
        <v/>
      </c>
      <c r="C39" s="43">
        <f>IFERROR(IF(ISBLANK(INDEX('Dens-A-CvC'!$A$5:$P$55,MATCH($A39,'Dens-A-CvC'!$B$5:$B$55,0),MATCH("comcast_est_units",'Dens-A-CvC'!$A$4:$P$4,0))),"",INDEX('Dens-A-CvC'!$A$5:$P$55,MATCH($A39,'Dens-A-CvC'!$B$5:$B$55,0),MATCH("comcast_est_units",'Dens-A-CvC'!$A$4:$P$4,0))),"")</f>
        <v/>
      </c>
      <c r="D39" s="43">
        <f>IFERROR(IF(ISBLANK(INDEX('Dens-A-CvC'!$A$5:$P$55,MATCH($A39,'Dens-A-CvC'!$B$5:$B$55,0),MATCH("total_residential_units",'Dens-A-CvC'!$A$4:$P$4,0))),"",INDEX('Dens-A-CvC'!$A$5:$P$55,MATCH($A39,'Dens-A-CvC'!$B$5:$B$55,0),MATCH("total_residential_units",'Dens-A-CvC'!$A$4:$P$4,0))),"")</f>
        <v/>
      </c>
      <c r="E39" s="43">
        <f>IFERROR(IF(ISBLANK(INDEX('Dens-B-WFH'!$A$5:$L$55,MATCH($A39,'Dens-B-WFH'!$B$5:$B$55,0),MATCH("acs_worked_from_home",'Dens-B-WFH'!$A$4:$L$4,0))),"",INDEX('Dens-B-WFH'!$A$5:$L$55,MATCH($A39,'Dens-B-WFH'!$B$5:$B$55,0),MATCH("acs_worked_from_home",'Dens-B-WFH'!$A$4:$L$4,0))),"")</f>
        <v/>
      </c>
      <c r="F39" s="43">
        <f>IFERROR(IF(ISBLANK(INDEX('Dens-C-Large'!$A$5:$M$55,MATCH($A39,'Dens-C-Large'!$B$5:$B$55,0),MATCH("susb_employment_ge500",'Dens-C-Large'!$A$4:$M$4,0))),"",INDEX('Dens-C-Large'!$A$5:$M$55,MATCH($A39,'Dens-C-Large'!$B$5:$B$55,0),MATCH("susb_employment_ge500",'Dens-C-Large'!$A$4:$M$4,0))),"")</f>
        <v/>
      </c>
      <c r="G39" s="43">
        <f>IFERROR(IF(ISBLANK(INDEX('Dens-C-Large'!$A$5:$M$55,MATCH($A39,'Dens-C-Large'!$B$5:$B$55,0),MATCH("susb_employment_total",'Dens-C-Large'!$A$4:$M$4,0))),"",INDEX('Dens-C-Large'!$A$5:$M$55,MATCH($A39,'Dens-C-Large'!$B$5:$B$55,0),MATCH("susb_employment_total",'Dens-C-Large'!$A$4:$M$4,0))),"")</f>
        <v/>
      </c>
      <c r="H39" s="55">
        <f>IF(Table2[[#This Row],[Charter Units]]&lt;&gt;"", Table2[[#This Row],[Charter Units]]/Table2[[#This Row],[Total Residential Units]], "")</f>
        <v/>
      </c>
      <c r="I39" s="44">
        <f>IFERROR(IF(ISBLANK(INDEX('Dens-B-WFH'!$A$5:$L$55,MATCH($A39,'Dens-B-WFH'!$B$5:$B$55,0),MATCH("acs_wfh_rate_pct",'Dens-B-WFH'!$A$4:$L$4,0))),"",INDEX('Dens-B-WFH'!$A$5:$L$55,MATCH($A39,'Dens-B-WFH'!$B$5:$B$55,0),MATCH("acs_wfh_rate_pct",'Dens-B-WFH'!$A$4:$L$4,0))/100),"")</f>
        <v/>
      </c>
      <c r="J39" s="47">
        <f>IFERROR(IF(ISBLANK(INDEX('Dens-C-Large'!$A$5:$M$55,MATCH($A39,'Dens-C-Large'!$B$5:$B$55,0),MATCH("susb_share_ge500_pct",'Dens-C-Large'!$A$4:$M$4,0))),"",INDEX('Dens-C-Large'!$A$5:$M$55,MATCH($A39,'Dens-C-Large'!$B$5:$B$55,0),MATCH("susb_share_ge500_pct",'Dens-C-Large'!$A$4:$M$4,0))/100),"")</f>
        <v/>
      </c>
    </row>
    <row r="40" ht="18" customHeight="1" s="34">
      <c r="A40" s="46" t="inlineStr">
        <is>
          <t>Pennsylvania</t>
        </is>
      </c>
      <c r="B40" s="43">
        <f>IFERROR(IF(ISBLANK(INDEX('Dens-A-CvC'!$A$5:$P$55,MATCH($A40,'Dens-A-CvC'!$B$5:$B$55,0),MATCH("charter_est_units",'Dens-A-CvC'!$A$4:$P$4,0))),"",INDEX('Dens-A-CvC'!$A$5:$P$55,MATCH($A40,'Dens-A-CvC'!$B$5:$B$55,0),MATCH("charter_est_units",'Dens-A-CvC'!$A$4:$P$4,0))),"")</f>
        <v/>
      </c>
      <c r="C40" s="43">
        <f>IFERROR(IF(ISBLANK(INDEX('Dens-A-CvC'!$A$5:$P$55,MATCH($A40,'Dens-A-CvC'!$B$5:$B$55,0),MATCH("comcast_est_units",'Dens-A-CvC'!$A$4:$P$4,0))),"",INDEX('Dens-A-CvC'!$A$5:$P$55,MATCH($A40,'Dens-A-CvC'!$B$5:$B$55,0),MATCH("comcast_est_units",'Dens-A-CvC'!$A$4:$P$4,0))),"")</f>
        <v/>
      </c>
      <c r="D40" s="43">
        <f>IFERROR(IF(ISBLANK(INDEX('Dens-A-CvC'!$A$5:$P$55,MATCH($A40,'Dens-A-CvC'!$B$5:$B$55,0),MATCH("total_residential_units",'Dens-A-CvC'!$A$4:$P$4,0))),"",INDEX('Dens-A-CvC'!$A$5:$P$55,MATCH($A40,'Dens-A-CvC'!$B$5:$B$55,0),MATCH("total_residential_units",'Dens-A-CvC'!$A$4:$P$4,0))),"")</f>
        <v/>
      </c>
      <c r="E40" s="43">
        <f>IFERROR(IF(ISBLANK(INDEX('Dens-B-WFH'!$A$5:$L$55,MATCH($A40,'Dens-B-WFH'!$B$5:$B$55,0),MATCH("acs_worked_from_home",'Dens-B-WFH'!$A$4:$L$4,0))),"",INDEX('Dens-B-WFH'!$A$5:$L$55,MATCH($A40,'Dens-B-WFH'!$B$5:$B$55,0),MATCH("acs_worked_from_home",'Dens-B-WFH'!$A$4:$L$4,0))),"")</f>
        <v/>
      </c>
      <c r="F40" s="43">
        <f>IFERROR(IF(ISBLANK(INDEX('Dens-C-Large'!$A$5:$M$55,MATCH($A40,'Dens-C-Large'!$B$5:$B$55,0),MATCH("susb_employment_ge500",'Dens-C-Large'!$A$4:$M$4,0))),"",INDEX('Dens-C-Large'!$A$5:$M$55,MATCH($A40,'Dens-C-Large'!$B$5:$B$55,0),MATCH("susb_employment_ge500",'Dens-C-Large'!$A$4:$M$4,0))),"")</f>
        <v/>
      </c>
      <c r="G40" s="43">
        <f>IFERROR(IF(ISBLANK(INDEX('Dens-C-Large'!$A$5:$M$55,MATCH($A40,'Dens-C-Large'!$B$5:$B$55,0),MATCH("susb_employment_total",'Dens-C-Large'!$A$4:$M$4,0))),"",INDEX('Dens-C-Large'!$A$5:$M$55,MATCH($A40,'Dens-C-Large'!$B$5:$B$55,0),MATCH("susb_employment_total",'Dens-C-Large'!$A$4:$M$4,0))),"")</f>
        <v/>
      </c>
      <c r="H40" s="55">
        <f>IF(Table2[[#This Row],[Charter Units]]&lt;&gt;"", Table2[[#This Row],[Charter Units]]/Table2[[#This Row],[Total Residential Units]], "")</f>
        <v/>
      </c>
      <c r="I40" s="44">
        <f>IFERROR(IF(ISBLANK(INDEX('Dens-B-WFH'!$A$5:$L$55,MATCH($A40,'Dens-B-WFH'!$B$5:$B$55,0),MATCH("acs_wfh_rate_pct",'Dens-B-WFH'!$A$4:$L$4,0))),"",INDEX('Dens-B-WFH'!$A$5:$L$55,MATCH($A40,'Dens-B-WFH'!$B$5:$B$55,0),MATCH("acs_wfh_rate_pct",'Dens-B-WFH'!$A$4:$L$4,0))/100),"")</f>
        <v/>
      </c>
      <c r="J40" s="47">
        <f>IFERROR(IF(ISBLANK(INDEX('Dens-C-Large'!$A$5:$M$55,MATCH($A40,'Dens-C-Large'!$B$5:$B$55,0),MATCH("susb_share_ge500_pct",'Dens-C-Large'!$A$4:$M$4,0))),"",INDEX('Dens-C-Large'!$A$5:$M$55,MATCH($A40,'Dens-C-Large'!$B$5:$B$55,0),MATCH("susb_share_ge500_pct",'Dens-C-Large'!$A$4:$M$4,0))/100),"")</f>
        <v/>
      </c>
    </row>
    <row r="41" ht="18" customHeight="1" s="34">
      <c r="A41" s="46" t="inlineStr">
        <is>
          <t>Rhode Island</t>
        </is>
      </c>
      <c r="B41" s="43">
        <f>IFERROR(IF(ISBLANK(INDEX('Dens-A-CvC'!$A$5:$P$55,MATCH($A41,'Dens-A-CvC'!$B$5:$B$55,0),MATCH("charter_est_units",'Dens-A-CvC'!$A$4:$P$4,0))),"",INDEX('Dens-A-CvC'!$A$5:$P$55,MATCH($A41,'Dens-A-CvC'!$B$5:$B$55,0),MATCH("charter_est_units",'Dens-A-CvC'!$A$4:$P$4,0))),"")</f>
        <v/>
      </c>
      <c r="C41" s="43">
        <f>IFERROR(IF(ISBLANK(INDEX('Dens-A-CvC'!$A$5:$P$55,MATCH($A41,'Dens-A-CvC'!$B$5:$B$55,0),MATCH("comcast_est_units",'Dens-A-CvC'!$A$4:$P$4,0))),"",INDEX('Dens-A-CvC'!$A$5:$P$55,MATCH($A41,'Dens-A-CvC'!$B$5:$B$55,0),MATCH("comcast_est_units",'Dens-A-CvC'!$A$4:$P$4,0))),"")</f>
        <v/>
      </c>
      <c r="D41" s="43">
        <f>IFERROR(IF(ISBLANK(INDEX('Dens-A-CvC'!$A$5:$P$55,MATCH($A41,'Dens-A-CvC'!$B$5:$B$55,0),MATCH("total_residential_units",'Dens-A-CvC'!$A$4:$P$4,0))),"",INDEX('Dens-A-CvC'!$A$5:$P$55,MATCH($A41,'Dens-A-CvC'!$B$5:$B$55,0),MATCH("total_residential_units",'Dens-A-CvC'!$A$4:$P$4,0))),"")</f>
        <v/>
      </c>
      <c r="E41" s="43">
        <f>IFERROR(IF(ISBLANK(INDEX('Dens-B-WFH'!$A$5:$L$55,MATCH($A41,'Dens-B-WFH'!$B$5:$B$55,0),MATCH("acs_worked_from_home",'Dens-B-WFH'!$A$4:$L$4,0))),"",INDEX('Dens-B-WFH'!$A$5:$L$55,MATCH($A41,'Dens-B-WFH'!$B$5:$B$55,0),MATCH("acs_worked_from_home",'Dens-B-WFH'!$A$4:$L$4,0))),"")</f>
        <v/>
      </c>
      <c r="F41" s="43">
        <f>IFERROR(IF(ISBLANK(INDEX('Dens-C-Large'!$A$5:$M$55,MATCH($A41,'Dens-C-Large'!$B$5:$B$55,0),MATCH("susb_employment_ge500",'Dens-C-Large'!$A$4:$M$4,0))),"",INDEX('Dens-C-Large'!$A$5:$M$55,MATCH($A41,'Dens-C-Large'!$B$5:$B$55,0),MATCH("susb_employment_ge500",'Dens-C-Large'!$A$4:$M$4,0))),"")</f>
        <v/>
      </c>
      <c r="G41" s="43">
        <f>IFERROR(IF(ISBLANK(INDEX('Dens-C-Large'!$A$5:$M$55,MATCH($A41,'Dens-C-Large'!$B$5:$B$55,0),MATCH("susb_employment_total",'Dens-C-Large'!$A$4:$M$4,0))),"",INDEX('Dens-C-Large'!$A$5:$M$55,MATCH($A41,'Dens-C-Large'!$B$5:$B$55,0),MATCH("susb_employment_total",'Dens-C-Large'!$A$4:$M$4,0))),"")</f>
        <v/>
      </c>
      <c r="H41" s="55">
        <f>IF(Table2[[#This Row],[Charter Units]]&lt;&gt;"", Table2[[#This Row],[Charter Units]]/Table2[[#This Row],[Total Residential Units]], "")</f>
        <v/>
      </c>
      <c r="I41" s="44">
        <f>IFERROR(IF(ISBLANK(INDEX('Dens-B-WFH'!$A$5:$L$55,MATCH($A41,'Dens-B-WFH'!$B$5:$B$55,0),MATCH("acs_wfh_rate_pct",'Dens-B-WFH'!$A$4:$L$4,0))),"",INDEX('Dens-B-WFH'!$A$5:$L$55,MATCH($A41,'Dens-B-WFH'!$B$5:$B$55,0),MATCH("acs_wfh_rate_pct",'Dens-B-WFH'!$A$4:$L$4,0))/100),"")</f>
        <v/>
      </c>
      <c r="J41" s="47">
        <f>IFERROR(IF(ISBLANK(INDEX('Dens-C-Large'!$A$5:$M$55,MATCH($A41,'Dens-C-Large'!$B$5:$B$55,0),MATCH("susb_share_ge500_pct",'Dens-C-Large'!$A$4:$M$4,0))),"",INDEX('Dens-C-Large'!$A$5:$M$55,MATCH($A41,'Dens-C-Large'!$B$5:$B$55,0),MATCH("susb_share_ge500_pct",'Dens-C-Large'!$A$4:$M$4,0))/100),"")</f>
        <v/>
      </c>
    </row>
    <row r="42" ht="18" customHeight="1" s="34">
      <c r="A42" s="46" t="inlineStr">
        <is>
          <t>South Carolina</t>
        </is>
      </c>
      <c r="B42" s="43">
        <f>IFERROR(IF(ISBLANK(INDEX('Dens-A-CvC'!$A$5:$P$55,MATCH($A42,'Dens-A-CvC'!$B$5:$B$55,0),MATCH("charter_est_units",'Dens-A-CvC'!$A$4:$P$4,0))),"",INDEX('Dens-A-CvC'!$A$5:$P$55,MATCH($A42,'Dens-A-CvC'!$B$5:$B$55,0),MATCH("charter_est_units",'Dens-A-CvC'!$A$4:$P$4,0))),"")</f>
        <v/>
      </c>
      <c r="C42" s="43">
        <f>IFERROR(IF(ISBLANK(INDEX('Dens-A-CvC'!$A$5:$P$55,MATCH($A42,'Dens-A-CvC'!$B$5:$B$55,0),MATCH("comcast_est_units",'Dens-A-CvC'!$A$4:$P$4,0))),"",INDEX('Dens-A-CvC'!$A$5:$P$55,MATCH($A42,'Dens-A-CvC'!$B$5:$B$55,0),MATCH("comcast_est_units",'Dens-A-CvC'!$A$4:$P$4,0))),"")</f>
        <v/>
      </c>
      <c r="D42" s="43">
        <f>IFERROR(IF(ISBLANK(INDEX('Dens-A-CvC'!$A$5:$P$55,MATCH($A42,'Dens-A-CvC'!$B$5:$B$55,0),MATCH("total_residential_units",'Dens-A-CvC'!$A$4:$P$4,0))),"",INDEX('Dens-A-CvC'!$A$5:$P$55,MATCH($A42,'Dens-A-CvC'!$B$5:$B$55,0),MATCH("total_residential_units",'Dens-A-CvC'!$A$4:$P$4,0))),"")</f>
        <v/>
      </c>
      <c r="E42" s="43">
        <f>IFERROR(IF(ISBLANK(INDEX('Dens-B-WFH'!$A$5:$L$55,MATCH($A42,'Dens-B-WFH'!$B$5:$B$55,0),MATCH("acs_worked_from_home",'Dens-B-WFH'!$A$4:$L$4,0))),"",INDEX('Dens-B-WFH'!$A$5:$L$55,MATCH($A42,'Dens-B-WFH'!$B$5:$B$55,0),MATCH("acs_worked_from_home",'Dens-B-WFH'!$A$4:$L$4,0))),"")</f>
        <v/>
      </c>
      <c r="F42" s="43">
        <f>IFERROR(IF(ISBLANK(INDEX('Dens-C-Large'!$A$5:$M$55,MATCH($A42,'Dens-C-Large'!$B$5:$B$55,0),MATCH("susb_employment_ge500",'Dens-C-Large'!$A$4:$M$4,0))),"",INDEX('Dens-C-Large'!$A$5:$M$55,MATCH($A42,'Dens-C-Large'!$B$5:$B$55,0),MATCH("susb_employment_ge500",'Dens-C-Large'!$A$4:$M$4,0))),"")</f>
        <v/>
      </c>
      <c r="G42" s="43">
        <f>IFERROR(IF(ISBLANK(INDEX('Dens-C-Large'!$A$5:$M$55,MATCH($A42,'Dens-C-Large'!$B$5:$B$55,0),MATCH("susb_employment_total",'Dens-C-Large'!$A$4:$M$4,0))),"",INDEX('Dens-C-Large'!$A$5:$M$55,MATCH($A42,'Dens-C-Large'!$B$5:$B$55,0),MATCH("susb_employment_total",'Dens-C-Large'!$A$4:$M$4,0))),"")</f>
        <v/>
      </c>
      <c r="H42" s="55">
        <f>IF(Table2[[#This Row],[Charter Units]]&lt;&gt;"", Table2[[#This Row],[Charter Units]]/Table2[[#This Row],[Total Residential Units]], "")</f>
        <v/>
      </c>
      <c r="I42" s="44">
        <f>IFERROR(IF(ISBLANK(INDEX('Dens-B-WFH'!$A$5:$L$55,MATCH($A42,'Dens-B-WFH'!$B$5:$B$55,0),MATCH("acs_wfh_rate_pct",'Dens-B-WFH'!$A$4:$L$4,0))),"",INDEX('Dens-B-WFH'!$A$5:$L$55,MATCH($A42,'Dens-B-WFH'!$B$5:$B$55,0),MATCH("acs_wfh_rate_pct",'Dens-B-WFH'!$A$4:$L$4,0))/100),"")</f>
        <v/>
      </c>
      <c r="J42" s="47">
        <f>IFERROR(IF(ISBLANK(INDEX('Dens-C-Large'!$A$5:$M$55,MATCH($A42,'Dens-C-Large'!$B$5:$B$55,0),MATCH("susb_share_ge500_pct",'Dens-C-Large'!$A$4:$M$4,0))),"",INDEX('Dens-C-Large'!$A$5:$M$55,MATCH($A42,'Dens-C-Large'!$B$5:$B$55,0),MATCH("susb_share_ge500_pct",'Dens-C-Large'!$A$4:$M$4,0))/100),"")</f>
        <v/>
      </c>
    </row>
    <row r="43" ht="18" customHeight="1" s="34">
      <c r="A43" s="46" t="inlineStr">
        <is>
          <t>South Dakota</t>
        </is>
      </c>
      <c r="B43" s="43">
        <f>IFERROR(IF(ISBLANK(INDEX('Dens-A-CvC'!$A$5:$P$55,MATCH($A43,'Dens-A-CvC'!$B$5:$B$55,0),MATCH("charter_est_units",'Dens-A-CvC'!$A$4:$P$4,0))),"",INDEX('Dens-A-CvC'!$A$5:$P$55,MATCH($A43,'Dens-A-CvC'!$B$5:$B$55,0),MATCH("charter_est_units",'Dens-A-CvC'!$A$4:$P$4,0))),"")</f>
        <v/>
      </c>
      <c r="C43" s="43">
        <f>IFERROR(IF(ISBLANK(INDEX('Dens-A-CvC'!$A$5:$P$55,MATCH($A43,'Dens-A-CvC'!$B$5:$B$55,0),MATCH("comcast_est_units",'Dens-A-CvC'!$A$4:$P$4,0))),"",INDEX('Dens-A-CvC'!$A$5:$P$55,MATCH($A43,'Dens-A-CvC'!$B$5:$B$55,0),MATCH("comcast_est_units",'Dens-A-CvC'!$A$4:$P$4,0))),"")</f>
        <v/>
      </c>
      <c r="D43" s="43">
        <f>IFERROR(IF(ISBLANK(INDEX('Dens-A-CvC'!$A$5:$P$55,MATCH($A43,'Dens-A-CvC'!$B$5:$B$55,0),MATCH("total_residential_units",'Dens-A-CvC'!$A$4:$P$4,0))),"",INDEX('Dens-A-CvC'!$A$5:$P$55,MATCH($A43,'Dens-A-CvC'!$B$5:$B$55,0),MATCH("total_residential_units",'Dens-A-CvC'!$A$4:$P$4,0))),"")</f>
        <v/>
      </c>
      <c r="E43" s="43">
        <f>IFERROR(IF(ISBLANK(INDEX('Dens-B-WFH'!$A$5:$L$55,MATCH($A43,'Dens-B-WFH'!$B$5:$B$55,0),MATCH("acs_worked_from_home",'Dens-B-WFH'!$A$4:$L$4,0))),"",INDEX('Dens-B-WFH'!$A$5:$L$55,MATCH($A43,'Dens-B-WFH'!$B$5:$B$55,0),MATCH("acs_worked_from_home",'Dens-B-WFH'!$A$4:$L$4,0))),"")</f>
        <v/>
      </c>
      <c r="F43" s="43">
        <f>IFERROR(IF(ISBLANK(INDEX('Dens-C-Large'!$A$5:$M$55,MATCH($A43,'Dens-C-Large'!$B$5:$B$55,0),MATCH("susb_employment_ge500",'Dens-C-Large'!$A$4:$M$4,0))),"",INDEX('Dens-C-Large'!$A$5:$M$55,MATCH($A43,'Dens-C-Large'!$B$5:$B$55,0),MATCH("susb_employment_ge500",'Dens-C-Large'!$A$4:$M$4,0))),"")</f>
        <v/>
      </c>
      <c r="G43" s="43">
        <f>IFERROR(IF(ISBLANK(INDEX('Dens-C-Large'!$A$5:$M$55,MATCH($A43,'Dens-C-Large'!$B$5:$B$55,0),MATCH("susb_employment_total",'Dens-C-Large'!$A$4:$M$4,0))),"",INDEX('Dens-C-Large'!$A$5:$M$55,MATCH($A43,'Dens-C-Large'!$B$5:$B$55,0),MATCH("susb_employment_total",'Dens-C-Large'!$A$4:$M$4,0))),"")</f>
        <v/>
      </c>
      <c r="H43" s="55">
        <f>IF(Table2[[#This Row],[Charter Units]]&lt;&gt;"", Table2[[#This Row],[Charter Units]]/Table2[[#This Row],[Total Residential Units]], "")</f>
        <v/>
      </c>
      <c r="I43" s="44">
        <f>IFERROR(IF(ISBLANK(INDEX('Dens-B-WFH'!$A$5:$L$55,MATCH($A43,'Dens-B-WFH'!$B$5:$B$55,0),MATCH("acs_wfh_rate_pct",'Dens-B-WFH'!$A$4:$L$4,0))),"",INDEX('Dens-B-WFH'!$A$5:$L$55,MATCH($A43,'Dens-B-WFH'!$B$5:$B$55,0),MATCH("acs_wfh_rate_pct",'Dens-B-WFH'!$A$4:$L$4,0))/100),"")</f>
        <v/>
      </c>
      <c r="J43" s="47">
        <f>IFERROR(IF(ISBLANK(INDEX('Dens-C-Large'!$A$5:$M$55,MATCH($A43,'Dens-C-Large'!$B$5:$B$55,0),MATCH("susb_share_ge500_pct",'Dens-C-Large'!$A$4:$M$4,0))),"",INDEX('Dens-C-Large'!$A$5:$M$55,MATCH($A43,'Dens-C-Large'!$B$5:$B$55,0),MATCH("susb_share_ge500_pct",'Dens-C-Large'!$A$4:$M$4,0))/100),"")</f>
        <v/>
      </c>
    </row>
    <row r="44" ht="18" customHeight="1" s="34">
      <c r="A44" s="46" t="inlineStr">
        <is>
          <t>Tennessee</t>
        </is>
      </c>
      <c r="B44" s="43">
        <f>IFERROR(IF(ISBLANK(INDEX('Dens-A-CvC'!$A$5:$P$55,MATCH($A44,'Dens-A-CvC'!$B$5:$B$55,0),MATCH("charter_est_units",'Dens-A-CvC'!$A$4:$P$4,0))),"",INDEX('Dens-A-CvC'!$A$5:$P$55,MATCH($A44,'Dens-A-CvC'!$B$5:$B$55,0),MATCH("charter_est_units",'Dens-A-CvC'!$A$4:$P$4,0))),"")</f>
        <v/>
      </c>
      <c r="C44" s="43">
        <f>IFERROR(IF(ISBLANK(INDEX('Dens-A-CvC'!$A$5:$P$55,MATCH($A44,'Dens-A-CvC'!$B$5:$B$55,0),MATCH("comcast_est_units",'Dens-A-CvC'!$A$4:$P$4,0))),"",INDEX('Dens-A-CvC'!$A$5:$P$55,MATCH($A44,'Dens-A-CvC'!$B$5:$B$55,0),MATCH("comcast_est_units",'Dens-A-CvC'!$A$4:$P$4,0))),"")</f>
        <v/>
      </c>
      <c r="D44" s="43">
        <f>IFERROR(IF(ISBLANK(INDEX('Dens-A-CvC'!$A$5:$P$55,MATCH($A44,'Dens-A-CvC'!$B$5:$B$55,0),MATCH("total_residential_units",'Dens-A-CvC'!$A$4:$P$4,0))),"",INDEX('Dens-A-CvC'!$A$5:$P$55,MATCH($A44,'Dens-A-CvC'!$B$5:$B$55,0),MATCH("total_residential_units",'Dens-A-CvC'!$A$4:$P$4,0))),"")</f>
        <v/>
      </c>
      <c r="E44" s="43">
        <f>IFERROR(IF(ISBLANK(INDEX('Dens-B-WFH'!$A$5:$L$55,MATCH($A44,'Dens-B-WFH'!$B$5:$B$55,0),MATCH("acs_worked_from_home",'Dens-B-WFH'!$A$4:$L$4,0))),"",INDEX('Dens-B-WFH'!$A$5:$L$55,MATCH($A44,'Dens-B-WFH'!$B$5:$B$55,0),MATCH("acs_worked_from_home",'Dens-B-WFH'!$A$4:$L$4,0))),"")</f>
        <v/>
      </c>
      <c r="F44" s="43">
        <f>IFERROR(IF(ISBLANK(INDEX('Dens-C-Large'!$A$5:$M$55,MATCH($A44,'Dens-C-Large'!$B$5:$B$55,0),MATCH("susb_employment_ge500",'Dens-C-Large'!$A$4:$M$4,0))),"",INDEX('Dens-C-Large'!$A$5:$M$55,MATCH($A44,'Dens-C-Large'!$B$5:$B$55,0),MATCH("susb_employment_ge500",'Dens-C-Large'!$A$4:$M$4,0))),"")</f>
        <v/>
      </c>
      <c r="G44" s="43">
        <f>IFERROR(IF(ISBLANK(INDEX('Dens-C-Large'!$A$5:$M$55,MATCH($A44,'Dens-C-Large'!$B$5:$B$55,0),MATCH("susb_employment_total",'Dens-C-Large'!$A$4:$M$4,0))),"",INDEX('Dens-C-Large'!$A$5:$M$55,MATCH($A44,'Dens-C-Large'!$B$5:$B$55,0),MATCH("susb_employment_total",'Dens-C-Large'!$A$4:$M$4,0))),"")</f>
        <v/>
      </c>
      <c r="H44" s="55">
        <f>IF(Table2[[#This Row],[Charter Units]]&lt;&gt;"", Table2[[#This Row],[Charter Units]]/Table2[[#This Row],[Total Residential Units]], "")</f>
        <v/>
      </c>
      <c r="I44" s="44">
        <f>IFERROR(IF(ISBLANK(INDEX('Dens-B-WFH'!$A$5:$L$55,MATCH($A44,'Dens-B-WFH'!$B$5:$B$55,0),MATCH("acs_wfh_rate_pct",'Dens-B-WFH'!$A$4:$L$4,0))),"",INDEX('Dens-B-WFH'!$A$5:$L$55,MATCH($A44,'Dens-B-WFH'!$B$5:$B$55,0),MATCH("acs_wfh_rate_pct",'Dens-B-WFH'!$A$4:$L$4,0))/100),"")</f>
        <v/>
      </c>
      <c r="J44" s="47">
        <f>IFERROR(IF(ISBLANK(INDEX('Dens-C-Large'!$A$5:$M$55,MATCH($A44,'Dens-C-Large'!$B$5:$B$55,0),MATCH("susb_share_ge500_pct",'Dens-C-Large'!$A$4:$M$4,0))),"",INDEX('Dens-C-Large'!$A$5:$M$55,MATCH($A44,'Dens-C-Large'!$B$5:$B$55,0),MATCH("susb_share_ge500_pct",'Dens-C-Large'!$A$4:$M$4,0))/100),"")</f>
        <v/>
      </c>
    </row>
    <row r="45" ht="18" customHeight="1" s="34">
      <c r="A45" s="46" t="inlineStr">
        <is>
          <t>Texas</t>
        </is>
      </c>
      <c r="B45" s="43">
        <f>IFERROR(IF(ISBLANK(INDEX('Dens-A-CvC'!$A$5:$P$55,MATCH($A45,'Dens-A-CvC'!$B$5:$B$55,0),MATCH("charter_est_units",'Dens-A-CvC'!$A$4:$P$4,0))),"",INDEX('Dens-A-CvC'!$A$5:$P$55,MATCH($A45,'Dens-A-CvC'!$B$5:$B$55,0),MATCH("charter_est_units",'Dens-A-CvC'!$A$4:$P$4,0))),"")</f>
        <v/>
      </c>
      <c r="C45" s="43">
        <f>IFERROR(IF(ISBLANK(INDEX('Dens-A-CvC'!$A$5:$P$55,MATCH($A45,'Dens-A-CvC'!$B$5:$B$55,0),MATCH("comcast_est_units",'Dens-A-CvC'!$A$4:$P$4,0))),"",INDEX('Dens-A-CvC'!$A$5:$P$55,MATCH($A45,'Dens-A-CvC'!$B$5:$B$55,0),MATCH("comcast_est_units",'Dens-A-CvC'!$A$4:$P$4,0))),"")</f>
        <v/>
      </c>
      <c r="D45" s="43">
        <f>IFERROR(IF(ISBLANK(INDEX('Dens-A-CvC'!$A$5:$P$55,MATCH($A45,'Dens-A-CvC'!$B$5:$B$55,0),MATCH("total_residential_units",'Dens-A-CvC'!$A$4:$P$4,0))),"",INDEX('Dens-A-CvC'!$A$5:$P$55,MATCH($A45,'Dens-A-CvC'!$B$5:$B$55,0),MATCH("total_residential_units",'Dens-A-CvC'!$A$4:$P$4,0))),"")</f>
        <v/>
      </c>
      <c r="E45" s="43">
        <f>IFERROR(IF(ISBLANK(INDEX('Dens-B-WFH'!$A$5:$L$55,MATCH($A45,'Dens-B-WFH'!$B$5:$B$55,0),MATCH("acs_worked_from_home",'Dens-B-WFH'!$A$4:$L$4,0))),"",INDEX('Dens-B-WFH'!$A$5:$L$55,MATCH($A45,'Dens-B-WFH'!$B$5:$B$55,0),MATCH("acs_worked_from_home",'Dens-B-WFH'!$A$4:$L$4,0))),"")</f>
        <v/>
      </c>
      <c r="F45" s="43">
        <f>IFERROR(IF(ISBLANK(INDEX('Dens-C-Large'!$A$5:$M$55,MATCH($A45,'Dens-C-Large'!$B$5:$B$55,0),MATCH("susb_employment_ge500",'Dens-C-Large'!$A$4:$M$4,0))),"",INDEX('Dens-C-Large'!$A$5:$M$55,MATCH($A45,'Dens-C-Large'!$B$5:$B$55,0),MATCH("susb_employment_ge500",'Dens-C-Large'!$A$4:$M$4,0))),"")</f>
        <v/>
      </c>
      <c r="G45" s="43">
        <f>IFERROR(IF(ISBLANK(INDEX('Dens-C-Large'!$A$5:$M$55,MATCH($A45,'Dens-C-Large'!$B$5:$B$55,0),MATCH("susb_employment_total",'Dens-C-Large'!$A$4:$M$4,0))),"",INDEX('Dens-C-Large'!$A$5:$M$55,MATCH($A45,'Dens-C-Large'!$B$5:$B$55,0),MATCH("susb_employment_total",'Dens-C-Large'!$A$4:$M$4,0))),"")</f>
        <v/>
      </c>
      <c r="H45" s="55">
        <f>IF(Table2[[#This Row],[Charter Units]]&lt;&gt;"", Table2[[#This Row],[Charter Units]]/Table2[[#This Row],[Total Residential Units]], "")</f>
        <v/>
      </c>
      <c r="I45" s="44">
        <f>IFERROR(IF(ISBLANK(INDEX('Dens-B-WFH'!$A$5:$L$55,MATCH($A45,'Dens-B-WFH'!$B$5:$B$55,0),MATCH("acs_wfh_rate_pct",'Dens-B-WFH'!$A$4:$L$4,0))),"",INDEX('Dens-B-WFH'!$A$5:$L$55,MATCH($A45,'Dens-B-WFH'!$B$5:$B$55,0),MATCH("acs_wfh_rate_pct",'Dens-B-WFH'!$A$4:$L$4,0))/100),"")</f>
        <v/>
      </c>
      <c r="J45" s="47">
        <f>IFERROR(IF(ISBLANK(INDEX('Dens-C-Large'!$A$5:$M$55,MATCH($A45,'Dens-C-Large'!$B$5:$B$55,0),MATCH("susb_share_ge500_pct",'Dens-C-Large'!$A$4:$M$4,0))),"",INDEX('Dens-C-Large'!$A$5:$M$55,MATCH($A45,'Dens-C-Large'!$B$5:$B$55,0),MATCH("susb_share_ge500_pct",'Dens-C-Large'!$A$4:$M$4,0))/100),"")</f>
        <v/>
      </c>
    </row>
    <row r="46" ht="18" customHeight="1" s="34">
      <c r="A46" s="46" t="inlineStr">
        <is>
          <t>Utah</t>
        </is>
      </c>
      <c r="B46" s="43">
        <f>IFERROR(IF(ISBLANK(INDEX('Dens-A-CvC'!$A$5:$P$55,MATCH($A46,'Dens-A-CvC'!$B$5:$B$55,0),MATCH("charter_est_units",'Dens-A-CvC'!$A$4:$P$4,0))),"",INDEX('Dens-A-CvC'!$A$5:$P$55,MATCH($A46,'Dens-A-CvC'!$B$5:$B$55,0),MATCH("charter_est_units",'Dens-A-CvC'!$A$4:$P$4,0))),"")</f>
        <v/>
      </c>
      <c r="C46" s="43">
        <f>IFERROR(IF(ISBLANK(INDEX('Dens-A-CvC'!$A$5:$P$55,MATCH($A46,'Dens-A-CvC'!$B$5:$B$55,0),MATCH("comcast_est_units",'Dens-A-CvC'!$A$4:$P$4,0))),"",INDEX('Dens-A-CvC'!$A$5:$P$55,MATCH($A46,'Dens-A-CvC'!$B$5:$B$55,0),MATCH("comcast_est_units",'Dens-A-CvC'!$A$4:$P$4,0))),"")</f>
        <v/>
      </c>
      <c r="D46" s="43">
        <f>IFERROR(IF(ISBLANK(INDEX('Dens-A-CvC'!$A$5:$P$55,MATCH($A46,'Dens-A-CvC'!$B$5:$B$55,0),MATCH("total_residential_units",'Dens-A-CvC'!$A$4:$P$4,0))),"",INDEX('Dens-A-CvC'!$A$5:$P$55,MATCH($A46,'Dens-A-CvC'!$B$5:$B$55,0),MATCH("total_residential_units",'Dens-A-CvC'!$A$4:$P$4,0))),"")</f>
        <v/>
      </c>
      <c r="E46" s="43">
        <f>IFERROR(IF(ISBLANK(INDEX('Dens-B-WFH'!$A$5:$L$55,MATCH($A46,'Dens-B-WFH'!$B$5:$B$55,0),MATCH("acs_worked_from_home",'Dens-B-WFH'!$A$4:$L$4,0))),"",INDEX('Dens-B-WFH'!$A$5:$L$55,MATCH($A46,'Dens-B-WFH'!$B$5:$B$55,0),MATCH("acs_worked_from_home",'Dens-B-WFH'!$A$4:$L$4,0))),"")</f>
        <v/>
      </c>
      <c r="F46" s="43">
        <f>IFERROR(IF(ISBLANK(INDEX('Dens-C-Large'!$A$5:$M$55,MATCH($A46,'Dens-C-Large'!$B$5:$B$55,0),MATCH("susb_employment_ge500",'Dens-C-Large'!$A$4:$M$4,0))),"",INDEX('Dens-C-Large'!$A$5:$M$55,MATCH($A46,'Dens-C-Large'!$B$5:$B$55,0),MATCH("susb_employment_ge500",'Dens-C-Large'!$A$4:$M$4,0))),"")</f>
        <v/>
      </c>
      <c r="G46" s="43">
        <f>IFERROR(IF(ISBLANK(INDEX('Dens-C-Large'!$A$5:$M$55,MATCH($A46,'Dens-C-Large'!$B$5:$B$55,0),MATCH("susb_employment_total",'Dens-C-Large'!$A$4:$M$4,0))),"",INDEX('Dens-C-Large'!$A$5:$M$55,MATCH($A46,'Dens-C-Large'!$B$5:$B$55,0),MATCH("susb_employment_total",'Dens-C-Large'!$A$4:$M$4,0))),"")</f>
        <v/>
      </c>
      <c r="H46" s="55">
        <f>IF(Table2[[#This Row],[Charter Units]]&lt;&gt;"", Table2[[#This Row],[Charter Units]]/Table2[[#This Row],[Total Residential Units]], "")</f>
        <v/>
      </c>
      <c r="I46" s="44">
        <f>IFERROR(IF(ISBLANK(INDEX('Dens-B-WFH'!$A$5:$L$55,MATCH($A46,'Dens-B-WFH'!$B$5:$B$55,0),MATCH("acs_wfh_rate_pct",'Dens-B-WFH'!$A$4:$L$4,0))),"",INDEX('Dens-B-WFH'!$A$5:$L$55,MATCH($A46,'Dens-B-WFH'!$B$5:$B$55,0),MATCH("acs_wfh_rate_pct",'Dens-B-WFH'!$A$4:$L$4,0))/100),"")</f>
        <v/>
      </c>
      <c r="J46" s="47">
        <f>IFERROR(IF(ISBLANK(INDEX('Dens-C-Large'!$A$5:$M$55,MATCH($A46,'Dens-C-Large'!$B$5:$B$55,0),MATCH("susb_share_ge500_pct",'Dens-C-Large'!$A$4:$M$4,0))),"",INDEX('Dens-C-Large'!$A$5:$M$55,MATCH($A46,'Dens-C-Large'!$B$5:$B$55,0),MATCH("susb_share_ge500_pct",'Dens-C-Large'!$A$4:$M$4,0))/100),"")</f>
        <v/>
      </c>
    </row>
    <row r="47" ht="18" customHeight="1" s="34">
      <c r="A47" s="46" t="inlineStr">
        <is>
          <t>Vermont</t>
        </is>
      </c>
      <c r="B47" s="43">
        <f>IFERROR(IF(ISBLANK(INDEX('Dens-A-CvC'!$A$5:$P$55,MATCH($A47,'Dens-A-CvC'!$B$5:$B$55,0),MATCH("charter_est_units",'Dens-A-CvC'!$A$4:$P$4,0))),"",INDEX('Dens-A-CvC'!$A$5:$P$55,MATCH($A47,'Dens-A-CvC'!$B$5:$B$55,0),MATCH("charter_est_units",'Dens-A-CvC'!$A$4:$P$4,0))),"")</f>
        <v/>
      </c>
      <c r="C47" s="43">
        <f>IFERROR(IF(ISBLANK(INDEX('Dens-A-CvC'!$A$5:$P$55,MATCH($A47,'Dens-A-CvC'!$B$5:$B$55,0),MATCH("comcast_est_units",'Dens-A-CvC'!$A$4:$P$4,0))),"",INDEX('Dens-A-CvC'!$A$5:$P$55,MATCH($A47,'Dens-A-CvC'!$B$5:$B$55,0),MATCH("comcast_est_units",'Dens-A-CvC'!$A$4:$P$4,0))),"")</f>
        <v/>
      </c>
      <c r="D47" s="43">
        <f>IFERROR(IF(ISBLANK(INDEX('Dens-A-CvC'!$A$5:$P$55,MATCH($A47,'Dens-A-CvC'!$B$5:$B$55,0),MATCH("total_residential_units",'Dens-A-CvC'!$A$4:$P$4,0))),"",INDEX('Dens-A-CvC'!$A$5:$P$55,MATCH($A47,'Dens-A-CvC'!$B$5:$B$55,0),MATCH("total_residential_units",'Dens-A-CvC'!$A$4:$P$4,0))),"")</f>
        <v/>
      </c>
      <c r="E47" s="43">
        <f>IFERROR(IF(ISBLANK(INDEX('Dens-B-WFH'!$A$5:$L$55,MATCH($A47,'Dens-B-WFH'!$B$5:$B$55,0),MATCH("acs_worked_from_home",'Dens-B-WFH'!$A$4:$L$4,0))),"",INDEX('Dens-B-WFH'!$A$5:$L$55,MATCH($A47,'Dens-B-WFH'!$B$5:$B$55,0),MATCH("acs_worked_from_home",'Dens-B-WFH'!$A$4:$L$4,0))),"")</f>
        <v/>
      </c>
      <c r="F47" s="43">
        <f>IFERROR(IF(ISBLANK(INDEX('Dens-C-Large'!$A$5:$M$55,MATCH($A47,'Dens-C-Large'!$B$5:$B$55,0),MATCH("susb_employment_ge500",'Dens-C-Large'!$A$4:$M$4,0))),"",INDEX('Dens-C-Large'!$A$5:$M$55,MATCH($A47,'Dens-C-Large'!$B$5:$B$55,0),MATCH("susb_employment_ge500",'Dens-C-Large'!$A$4:$M$4,0))),"")</f>
        <v/>
      </c>
      <c r="G47" s="43">
        <f>IFERROR(IF(ISBLANK(INDEX('Dens-C-Large'!$A$5:$M$55,MATCH($A47,'Dens-C-Large'!$B$5:$B$55,0),MATCH("susb_employment_total",'Dens-C-Large'!$A$4:$M$4,0))),"",INDEX('Dens-C-Large'!$A$5:$M$55,MATCH($A47,'Dens-C-Large'!$B$5:$B$55,0),MATCH("susb_employment_total",'Dens-C-Large'!$A$4:$M$4,0))),"")</f>
        <v/>
      </c>
      <c r="H47" s="55">
        <f>IF(Table2[[#This Row],[Charter Units]]&lt;&gt;"", Table2[[#This Row],[Charter Units]]/Table2[[#This Row],[Total Residential Units]], "")</f>
        <v/>
      </c>
      <c r="I47" s="44">
        <f>IFERROR(IF(ISBLANK(INDEX('Dens-B-WFH'!$A$5:$L$55,MATCH($A47,'Dens-B-WFH'!$B$5:$B$55,0),MATCH("acs_wfh_rate_pct",'Dens-B-WFH'!$A$4:$L$4,0))),"",INDEX('Dens-B-WFH'!$A$5:$L$55,MATCH($A47,'Dens-B-WFH'!$B$5:$B$55,0),MATCH("acs_wfh_rate_pct",'Dens-B-WFH'!$A$4:$L$4,0))/100),"")</f>
        <v/>
      </c>
      <c r="J47" s="47">
        <f>IFERROR(IF(ISBLANK(INDEX('Dens-C-Large'!$A$5:$M$55,MATCH($A47,'Dens-C-Large'!$B$5:$B$55,0),MATCH("susb_share_ge500_pct",'Dens-C-Large'!$A$4:$M$4,0))),"",INDEX('Dens-C-Large'!$A$5:$M$55,MATCH($A47,'Dens-C-Large'!$B$5:$B$55,0),MATCH("susb_share_ge500_pct",'Dens-C-Large'!$A$4:$M$4,0))/100),"")</f>
        <v/>
      </c>
    </row>
    <row r="48" ht="18" customHeight="1" s="34">
      <c r="A48" s="46" t="inlineStr">
        <is>
          <t>Virginia</t>
        </is>
      </c>
      <c r="B48" s="43">
        <f>IFERROR(IF(ISBLANK(INDEX('Dens-A-CvC'!$A$5:$P$55,MATCH($A48,'Dens-A-CvC'!$B$5:$B$55,0),MATCH("charter_est_units",'Dens-A-CvC'!$A$4:$P$4,0))),"",INDEX('Dens-A-CvC'!$A$5:$P$55,MATCH($A48,'Dens-A-CvC'!$B$5:$B$55,0),MATCH("charter_est_units",'Dens-A-CvC'!$A$4:$P$4,0))),"")</f>
        <v/>
      </c>
      <c r="C48" s="43">
        <f>IFERROR(IF(ISBLANK(INDEX('Dens-A-CvC'!$A$5:$P$55,MATCH($A48,'Dens-A-CvC'!$B$5:$B$55,0),MATCH("comcast_est_units",'Dens-A-CvC'!$A$4:$P$4,0))),"",INDEX('Dens-A-CvC'!$A$5:$P$55,MATCH($A48,'Dens-A-CvC'!$B$5:$B$55,0),MATCH("comcast_est_units",'Dens-A-CvC'!$A$4:$P$4,0))),"")</f>
        <v/>
      </c>
      <c r="D48" s="43">
        <f>IFERROR(IF(ISBLANK(INDEX('Dens-A-CvC'!$A$5:$P$55,MATCH($A48,'Dens-A-CvC'!$B$5:$B$55,0),MATCH("total_residential_units",'Dens-A-CvC'!$A$4:$P$4,0))),"",INDEX('Dens-A-CvC'!$A$5:$P$55,MATCH($A48,'Dens-A-CvC'!$B$5:$B$55,0),MATCH("total_residential_units",'Dens-A-CvC'!$A$4:$P$4,0))),"")</f>
        <v/>
      </c>
      <c r="E48" s="43">
        <f>IFERROR(IF(ISBLANK(INDEX('Dens-B-WFH'!$A$5:$L$55,MATCH($A48,'Dens-B-WFH'!$B$5:$B$55,0),MATCH("acs_worked_from_home",'Dens-B-WFH'!$A$4:$L$4,0))),"",INDEX('Dens-B-WFH'!$A$5:$L$55,MATCH($A48,'Dens-B-WFH'!$B$5:$B$55,0),MATCH("acs_worked_from_home",'Dens-B-WFH'!$A$4:$L$4,0))),"")</f>
        <v/>
      </c>
      <c r="F48" s="43">
        <f>IFERROR(IF(ISBLANK(INDEX('Dens-C-Large'!$A$5:$M$55,MATCH($A48,'Dens-C-Large'!$B$5:$B$55,0),MATCH("susb_employment_ge500",'Dens-C-Large'!$A$4:$M$4,0))),"",INDEX('Dens-C-Large'!$A$5:$M$55,MATCH($A48,'Dens-C-Large'!$B$5:$B$55,0),MATCH("susb_employment_ge500",'Dens-C-Large'!$A$4:$M$4,0))),"")</f>
        <v/>
      </c>
      <c r="G48" s="43">
        <f>IFERROR(IF(ISBLANK(INDEX('Dens-C-Large'!$A$5:$M$55,MATCH($A48,'Dens-C-Large'!$B$5:$B$55,0),MATCH("susb_employment_total",'Dens-C-Large'!$A$4:$M$4,0))),"",INDEX('Dens-C-Large'!$A$5:$M$55,MATCH($A48,'Dens-C-Large'!$B$5:$B$55,0),MATCH("susb_employment_total",'Dens-C-Large'!$A$4:$M$4,0))),"")</f>
        <v/>
      </c>
      <c r="H48" s="55">
        <f>IF(Table2[[#This Row],[Charter Units]]&lt;&gt;"", Table2[[#This Row],[Charter Units]]/Table2[[#This Row],[Total Residential Units]], "")</f>
        <v/>
      </c>
      <c r="I48" s="44">
        <f>IFERROR(IF(ISBLANK(INDEX('Dens-B-WFH'!$A$5:$L$55,MATCH($A48,'Dens-B-WFH'!$B$5:$B$55,0),MATCH("acs_wfh_rate_pct",'Dens-B-WFH'!$A$4:$L$4,0))),"",INDEX('Dens-B-WFH'!$A$5:$L$55,MATCH($A48,'Dens-B-WFH'!$B$5:$B$55,0),MATCH("acs_wfh_rate_pct",'Dens-B-WFH'!$A$4:$L$4,0))/100),"")</f>
        <v/>
      </c>
      <c r="J48" s="47">
        <f>IFERROR(IF(ISBLANK(INDEX('Dens-C-Large'!$A$5:$M$55,MATCH($A48,'Dens-C-Large'!$B$5:$B$55,0),MATCH("susb_share_ge500_pct",'Dens-C-Large'!$A$4:$M$4,0))),"",INDEX('Dens-C-Large'!$A$5:$M$55,MATCH($A48,'Dens-C-Large'!$B$5:$B$55,0),MATCH("susb_share_ge500_pct",'Dens-C-Large'!$A$4:$M$4,0))/100),"")</f>
        <v/>
      </c>
    </row>
    <row r="49" ht="18" customHeight="1" s="34">
      <c r="A49" s="46" t="inlineStr">
        <is>
          <t>Washington</t>
        </is>
      </c>
      <c r="B49" s="43">
        <f>IFERROR(IF(ISBLANK(INDEX('Dens-A-CvC'!$A$5:$P$55,MATCH($A49,'Dens-A-CvC'!$B$5:$B$55,0),MATCH("charter_est_units",'Dens-A-CvC'!$A$4:$P$4,0))),"",INDEX('Dens-A-CvC'!$A$5:$P$55,MATCH($A49,'Dens-A-CvC'!$B$5:$B$55,0),MATCH("charter_est_units",'Dens-A-CvC'!$A$4:$P$4,0))),"")</f>
        <v/>
      </c>
      <c r="C49" s="43">
        <f>IFERROR(IF(ISBLANK(INDEX('Dens-A-CvC'!$A$5:$P$55,MATCH($A49,'Dens-A-CvC'!$B$5:$B$55,0),MATCH("comcast_est_units",'Dens-A-CvC'!$A$4:$P$4,0))),"",INDEX('Dens-A-CvC'!$A$5:$P$55,MATCH($A49,'Dens-A-CvC'!$B$5:$B$55,0),MATCH("comcast_est_units",'Dens-A-CvC'!$A$4:$P$4,0))),"")</f>
        <v/>
      </c>
      <c r="D49" s="43">
        <f>IFERROR(IF(ISBLANK(INDEX('Dens-A-CvC'!$A$5:$P$55,MATCH($A49,'Dens-A-CvC'!$B$5:$B$55,0),MATCH("total_residential_units",'Dens-A-CvC'!$A$4:$P$4,0))),"",INDEX('Dens-A-CvC'!$A$5:$P$55,MATCH($A49,'Dens-A-CvC'!$B$5:$B$55,0),MATCH("total_residential_units",'Dens-A-CvC'!$A$4:$P$4,0))),"")</f>
        <v/>
      </c>
      <c r="E49" s="43">
        <f>IFERROR(IF(ISBLANK(INDEX('Dens-B-WFH'!$A$5:$L$55,MATCH($A49,'Dens-B-WFH'!$B$5:$B$55,0),MATCH("acs_worked_from_home",'Dens-B-WFH'!$A$4:$L$4,0))),"",INDEX('Dens-B-WFH'!$A$5:$L$55,MATCH($A49,'Dens-B-WFH'!$B$5:$B$55,0),MATCH("acs_worked_from_home",'Dens-B-WFH'!$A$4:$L$4,0))),"")</f>
        <v/>
      </c>
      <c r="F49" s="43">
        <f>IFERROR(IF(ISBLANK(INDEX('Dens-C-Large'!$A$5:$M$55,MATCH($A49,'Dens-C-Large'!$B$5:$B$55,0),MATCH("susb_employment_ge500",'Dens-C-Large'!$A$4:$M$4,0))),"",INDEX('Dens-C-Large'!$A$5:$M$55,MATCH($A49,'Dens-C-Large'!$B$5:$B$55,0),MATCH("susb_employment_ge500",'Dens-C-Large'!$A$4:$M$4,0))),"")</f>
        <v/>
      </c>
      <c r="G49" s="43">
        <f>IFERROR(IF(ISBLANK(INDEX('Dens-C-Large'!$A$5:$M$55,MATCH($A49,'Dens-C-Large'!$B$5:$B$55,0),MATCH("susb_employment_total",'Dens-C-Large'!$A$4:$M$4,0))),"",INDEX('Dens-C-Large'!$A$5:$M$55,MATCH($A49,'Dens-C-Large'!$B$5:$B$55,0),MATCH("susb_employment_total",'Dens-C-Large'!$A$4:$M$4,0))),"")</f>
        <v/>
      </c>
      <c r="H49" s="55">
        <f>IF(Table2[[#This Row],[Charter Units]]&lt;&gt;"", Table2[[#This Row],[Charter Units]]/Table2[[#This Row],[Total Residential Units]], "")</f>
        <v/>
      </c>
      <c r="I49" s="44">
        <f>IFERROR(IF(ISBLANK(INDEX('Dens-B-WFH'!$A$5:$L$55,MATCH($A49,'Dens-B-WFH'!$B$5:$B$55,0),MATCH("acs_wfh_rate_pct",'Dens-B-WFH'!$A$4:$L$4,0))),"",INDEX('Dens-B-WFH'!$A$5:$L$55,MATCH($A49,'Dens-B-WFH'!$B$5:$B$55,0),MATCH("acs_wfh_rate_pct",'Dens-B-WFH'!$A$4:$L$4,0))/100),"")</f>
        <v/>
      </c>
      <c r="J49" s="47">
        <f>IFERROR(IF(ISBLANK(INDEX('Dens-C-Large'!$A$5:$M$55,MATCH($A49,'Dens-C-Large'!$B$5:$B$55,0),MATCH("susb_share_ge500_pct",'Dens-C-Large'!$A$4:$M$4,0))),"",INDEX('Dens-C-Large'!$A$5:$M$55,MATCH($A49,'Dens-C-Large'!$B$5:$B$55,0),MATCH("susb_share_ge500_pct",'Dens-C-Large'!$A$4:$M$4,0))/100),"")</f>
        <v/>
      </c>
    </row>
    <row r="50" ht="18" customHeight="1" s="34">
      <c r="A50" s="46" t="inlineStr">
        <is>
          <t>West Virginia</t>
        </is>
      </c>
      <c r="B50" s="43">
        <f>IFERROR(IF(ISBLANK(INDEX('Dens-A-CvC'!$A$5:$P$55,MATCH($A50,'Dens-A-CvC'!$B$5:$B$55,0),MATCH("charter_est_units",'Dens-A-CvC'!$A$4:$P$4,0))),"",INDEX('Dens-A-CvC'!$A$5:$P$55,MATCH($A50,'Dens-A-CvC'!$B$5:$B$55,0),MATCH("charter_est_units",'Dens-A-CvC'!$A$4:$P$4,0))),"")</f>
        <v/>
      </c>
      <c r="C50" s="43">
        <f>IFERROR(IF(ISBLANK(INDEX('Dens-A-CvC'!$A$5:$P$55,MATCH($A50,'Dens-A-CvC'!$B$5:$B$55,0),MATCH("comcast_est_units",'Dens-A-CvC'!$A$4:$P$4,0))),"",INDEX('Dens-A-CvC'!$A$5:$P$55,MATCH($A50,'Dens-A-CvC'!$B$5:$B$55,0),MATCH("comcast_est_units",'Dens-A-CvC'!$A$4:$P$4,0))),"")</f>
        <v/>
      </c>
      <c r="D50" s="43">
        <f>IFERROR(IF(ISBLANK(INDEX('Dens-A-CvC'!$A$5:$P$55,MATCH($A50,'Dens-A-CvC'!$B$5:$B$55,0),MATCH("total_residential_units",'Dens-A-CvC'!$A$4:$P$4,0))),"",INDEX('Dens-A-CvC'!$A$5:$P$55,MATCH($A50,'Dens-A-CvC'!$B$5:$B$55,0),MATCH("total_residential_units",'Dens-A-CvC'!$A$4:$P$4,0))),"")</f>
        <v/>
      </c>
      <c r="E50" s="43">
        <f>IFERROR(IF(ISBLANK(INDEX('Dens-B-WFH'!$A$5:$L$55,MATCH($A50,'Dens-B-WFH'!$B$5:$B$55,0),MATCH("acs_worked_from_home",'Dens-B-WFH'!$A$4:$L$4,0))),"",INDEX('Dens-B-WFH'!$A$5:$L$55,MATCH($A50,'Dens-B-WFH'!$B$5:$B$55,0),MATCH("acs_worked_from_home",'Dens-B-WFH'!$A$4:$L$4,0))),"")</f>
        <v/>
      </c>
      <c r="F50" s="43">
        <f>IFERROR(IF(ISBLANK(INDEX('Dens-C-Large'!$A$5:$M$55,MATCH($A50,'Dens-C-Large'!$B$5:$B$55,0),MATCH("susb_employment_ge500",'Dens-C-Large'!$A$4:$M$4,0))),"",INDEX('Dens-C-Large'!$A$5:$M$55,MATCH($A50,'Dens-C-Large'!$B$5:$B$55,0),MATCH("susb_employment_ge500",'Dens-C-Large'!$A$4:$M$4,0))),"")</f>
        <v/>
      </c>
      <c r="G50" s="43">
        <f>IFERROR(IF(ISBLANK(INDEX('Dens-C-Large'!$A$5:$M$55,MATCH($A50,'Dens-C-Large'!$B$5:$B$55,0),MATCH("susb_employment_total",'Dens-C-Large'!$A$4:$M$4,0))),"",INDEX('Dens-C-Large'!$A$5:$M$55,MATCH($A50,'Dens-C-Large'!$B$5:$B$55,0),MATCH("susb_employment_total",'Dens-C-Large'!$A$4:$M$4,0))),"")</f>
        <v/>
      </c>
      <c r="H50" s="55">
        <f>IF(Table2[[#This Row],[Charter Units]]&lt;&gt;"", Table2[[#This Row],[Charter Units]]/Table2[[#This Row],[Total Residential Units]], "")</f>
        <v/>
      </c>
      <c r="I50" s="44">
        <f>IFERROR(IF(ISBLANK(INDEX('Dens-B-WFH'!$A$5:$L$55,MATCH($A50,'Dens-B-WFH'!$B$5:$B$55,0),MATCH("acs_wfh_rate_pct",'Dens-B-WFH'!$A$4:$L$4,0))),"",INDEX('Dens-B-WFH'!$A$5:$L$55,MATCH($A50,'Dens-B-WFH'!$B$5:$B$55,0),MATCH("acs_wfh_rate_pct",'Dens-B-WFH'!$A$4:$L$4,0))/100),"")</f>
        <v/>
      </c>
      <c r="J50" s="47">
        <f>IFERROR(IF(ISBLANK(INDEX('Dens-C-Large'!$A$5:$M$55,MATCH($A50,'Dens-C-Large'!$B$5:$B$55,0),MATCH("susb_share_ge500_pct",'Dens-C-Large'!$A$4:$M$4,0))),"",INDEX('Dens-C-Large'!$A$5:$M$55,MATCH($A50,'Dens-C-Large'!$B$5:$B$55,0),MATCH("susb_share_ge500_pct",'Dens-C-Large'!$A$4:$M$4,0))/100),"")</f>
        <v/>
      </c>
    </row>
    <row r="51" ht="18" customHeight="1" s="34">
      <c r="A51" s="46" t="inlineStr">
        <is>
          <t>Wisconsin</t>
        </is>
      </c>
      <c r="B51" s="43">
        <f>IFERROR(IF(ISBLANK(INDEX('Dens-A-CvC'!$A$5:$P$55,MATCH($A51,'Dens-A-CvC'!$B$5:$B$55,0),MATCH("charter_est_units",'Dens-A-CvC'!$A$4:$P$4,0))),"",INDEX('Dens-A-CvC'!$A$5:$P$55,MATCH($A51,'Dens-A-CvC'!$B$5:$B$55,0),MATCH("charter_est_units",'Dens-A-CvC'!$A$4:$P$4,0))),"")</f>
        <v/>
      </c>
      <c r="C51" s="43">
        <f>IFERROR(IF(ISBLANK(INDEX('Dens-A-CvC'!$A$5:$P$55,MATCH($A51,'Dens-A-CvC'!$B$5:$B$55,0),MATCH("comcast_est_units",'Dens-A-CvC'!$A$4:$P$4,0))),"",INDEX('Dens-A-CvC'!$A$5:$P$55,MATCH($A51,'Dens-A-CvC'!$B$5:$B$55,0),MATCH("comcast_est_units",'Dens-A-CvC'!$A$4:$P$4,0))),"")</f>
        <v/>
      </c>
      <c r="D51" s="43">
        <f>IFERROR(IF(ISBLANK(INDEX('Dens-A-CvC'!$A$5:$P$55,MATCH($A51,'Dens-A-CvC'!$B$5:$B$55,0),MATCH("total_residential_units",'Dens-A-CvC'!$A$4:$P$4,0))),"",INDEX('Dens-A-CvC'!$A$5:$P$55,MATCH($A51,'Dens-A-CvC'!$B$5:$B$55,0),MATCH("total_residential_units",'Dens-A-CvC'!$A$4:$P$4,0))),"")</f>
        <v/>
      </c>
      <c r="E51" s="43">
        <f>IFERROR(IF(ISBLANK(INDEX('Dens-B-WFH'!$A$5:$L$55,MATCH($A51,'Dens-B-WFH'!$B$5:$B$55,0),MATCH("acs_worked_from_home",'Dens-B-WFH'!$A$4:$L$4,0))),"",INDEX('Dens-B-WFH'!$A$5:$L$55,MATCH($A51,'Dens-B-WFH'!$B$5:$B$55,0),MATCH("acs_worked_from_home",'Dens-B-WFH'!$A$4:$L$4,0))),"")</f>
        <v/>
      </c>
      <c r="F51" s="43">
        <f>IFERROR(IF(ISBLANK(INDEX('Dens-C-Large'!$A$5:$M$55,MATCH($A51,'Dens-C-Large'!$B$5:$B$55,0),MATCH("susb_employment_ge500",'Dens-C-Large'!$A$4:$M$4,0))),"",INDEX('Dens-C-Large'!$A$5:$M$55,MATCH($A51,'Dens-C-Large'!$B$5:$B$55,0),MATCH("susb_employment_ge500",'Dens-C-Large'!$A$4:$M$4,0))),"")</f>
        <v/>
      </c>
      <c r="G51" s="43">
        <f>IFERROR(IF(ISBLANK(INDEX('Dens-C-Large'!$A$5:$M$55,MATCH($A51,'Dens-C-Large'!$B$5:$B$55,0),MATCH("susb_employment_total",'Dens-C-Large'!$A$4:$M$4,0))),"",INDEX('Dens-C-Large'!$A$5:$M$55,MATCH($A51,'Dens-C-Large'!$B$5:$B$55,0),MATCH("susb_employment_total",'Dens-C-Large'!$A$4:$M$4,0))),"")</f>
        <v/>
      </c>
      <c r="H51" s="55">
        <f>IF(Table2[[#This Row],[Charter Units]]&lt;&gt;"", Table2[[#This Row],[Charter Units]]/Table2[[#This Row],[Total Residential Units]], "")</f>
        <v/>
      </c>
      <c r="I51" s="44">
        <f>IFERROR(IF(ISBLANK(INDEX('Dens-B-WFH'!$A$5:$L$55,MATCH($A51,'Dens-B-WFH'!$B$5:$B$55,0),MATCH("acs_wfh_rate_pct",'Dens-B-WFH'!$A$4:$L$4,0))),"",INDEX('Dens-B-WFH'!$A$5:$L$55,MATCH($A51,'Dens-B-WFH'!$B$5:$B$55,0),MATCH("acs_wfh_rate_pct",'Dens-B-WFH'!$A$4:$L$4,0))/100),"")</f>
        <v/>
      </c>
      <c r="J51" s="47">
        <f>IFERROR(IF(ISBLANK(INDEX('Dens-C-Large'!$A$5:$M$55,MATCH($A51,'Dens-C-Large'!$B$5:$B$55,0),MATCH("susb_share_ge500_pct",'Dens-C-Large'!$A$4:$M$4,0))),"",INDEX('Dens-C-Large'!$A$5:$M$55,MATCH($A51,'Dens-C-Large'!$B$5:$B$55,0),MATCH("susb_share_ge500_pct",'Dens-C-Large'!$A$4:$M$4,0))/100),"")</f>
        <v/>
      </c>
    </row>
    <row r="52" ht="18" customHeight="1" s="34">
      <c r="A52" s="48" t="inlineStr">
        <is>
          <t>Wyoming</t>
        </is>
      </c>
      <c r="B52" s="49">
        <f>IFERROR(IF(ISBLANK(INDEX('Dens-A-CvC'!$A$5:$P$55,MATCH($A52,'Dens-A-CvC'!$B$5:$B$55,0),MATCH("charter_est_units",'Dens-A-CvC'!$A$4:$P$4,0))),"",INDEX('Dens-A-CvC'!$A$5:$P$55,MATCH($A52,'Dens-A-CvC'!$B$5:$B$55,0),MATCH("charter_est_units",'Dens-A-CvC'!$A$4:$P$4,0))),"")</f>
        <v/>
      </c>
      <c r="C52" s="49">
        <f>IFERROR(IF(ISBLANK(INDEX('Dens-A-CvC'!$A$5:$P$55,MATCH($A52,'Dens-A-CvC'!$B$5:$B$55,0),MATCH("comcast_est_units",'Dens-A-CvC'!$A$4:$P$4,0))),"",INDEX('Dens-A-CvC'!$A$5:$P$55,MATCH($A52,'Dens-A-CvC'!$B$5:$B$55,0),MATCH("comcast_est_units",'Dens-A-CvC'!$A$4:$P$4,0))),"")</f>
        <v/>
      </c>
      <c r="D52" s="49">
        <f>IFERROR(IF(ISBLANK(INDEX('Dens-A-CvC'!$A$5:$P$55,MATCH($A52,'Dens-A-CvC'!$B$5:$B$55,0),MATCH("total_residential_units",'Dens-A-CvC'!$A$4:$P$4,0))),"",INDEX('Dens-A-CvC'!$A$5:$P$55,MATCH($A52,'Dens-A-CvC'!$B$5:$B$55,0),MATCH("total_residential_units",'Dens-A-CvC'!$A$4:$P$4,0))),"")</f>
        <v/>
      </c>
      <c r="E52" s="49">
        <f>IFERROR(IF(ISBLANK(INDEX('Dens-B-WFH'!$A$5:$L$55,MATCH($A52,'Dens-B-WFH'!$B$5:$B$55,0),MATCH("acs_worked_from_home",'Dens-B-WFH'!$A$4:$L$4,0))),"",INDEX('Dens-B-WFH'!$A$5:$L$55,MATCH($A52,'Dens-B-WFH'!$B$5:$B$55,0),MATCH("acs_worked_from_home",'Dens-B-WFH'!$A$4:$L$4,0))),"")</f>
        <v/>
      </c>
      <c r="F52" s="49">
        <f>IFERROR(IF(ISBLANK(INDEX('Dens-C-Large'!$A$5:$M$55,MATCH($A52,'Dens-C-Large'!$B$5:$B$55,0),MATCH("susb_employment_ge500",'Dens-C-Large'!$A$4:$M$4,0))),"",INDEX('Dens-C-Large'!$A$5:$M$55,MATCH($A52,'Dens-C-Large'!$B$5:$B$55,0),MATCH("susb_employment_ge500",'Dens-C-Large'!$A$4:$M$4,0))),"")</f>
        <v/>
      </c>
      <c r="G52" s="49">
        <f>IFERROR(IF(ISBLANK(INDEX('Dens-C-Large'!$A$5:$M$55,MATCH($A52,'Dens-C-Large'!$B$5:$B$55,0),MATCH("susb_employment_total",'Dens-C-Large'!$A$4:$M$4,0))),"",INDEX('Dens-C-Large'!$A$5:$M$55,MATCH($A52,'Dens-C-Large'!$B$5:$B$55,0),MATCH("susb_employment_total",'Dens-C-Large'!$A$4:$M$4,0))),"")</f>
        <v/>
      </c>
      <c r="H52" s="56">
        <f>IF(Table2[[#This Row],[Charter Units]]&lt;&gt;"", Table2[[#This Row],[Charter Units]]/Table2[[#This Row],[Total Residential Units]], "")</f>
        <v/>
      </c>
      <c r="I52" s="50">
        <f>IFERROR(IF(ISBLANK(INDEX('Dens-B-WFH'!$A$5:$L$55,MATCH($A52,'Dens-B-WFH'!$B$5:$B$55,0),MATCH("acs_wfh_rate_pct",'Dens-B-WFH'!$A$4:$L$4,0))),"",INDEX('Dens-B-WFH'!$A$5:$L$55,MATCH($A52,'Dens-B-WFH'!$B$5:$B$55,0),MATCH("acs_wfh_rate_pct",'Dens-B-WFH'!$A$4:$L$4,0))/100),"")</f>
        <v/>
      </c>
      <c r="J52" s="51">
        <f>IFERROR(IF(ISBLANK(INDEX('Dens-C-Large'!$A$5:$M$55,MATCH($A52,'Dens-C-Large'!$B$5:$B$55,0),MATCH("susb_share_ge500_pct",'Dens-C-Large'!$A$4:$M$4,0))),"",INDEX('Dens-C-Large'!$A$5:$M$55,MATCH($A52,'Dens-C-Large'!$B$5:$B$55,0),MATCH("susb_share_ge500_pct",'Dens-C-Large'!$A$4:$M$4,0))/100),"")</f>
        <v/>
      </c>
    </row>
    <row r="54" ht="36" customHeight="1" s="34">
      <c r="A54" s="45" t="inlineStr">
        <is>
          <t>FCC BDC D25 / ACS 2024 B08301 / SUSB 2022 — availability not subscribers; WFH is usual commute; large is enterprise 500+. Live INDEX/MATCH to Dens-A-CvC (charter_est_units, comcast_est_units, total_residential_units), Dens-B-WFH (acs_worked_from_home, acs_wfh_rate_pct), Dens-C-Large (susb_employment_ge500, susb_employment_total, susb_share_ge500_pct). Match key = state (row-4 header 'state'). Blank = missing on source tab. Formulas refreshed 2026-09-22 (INDEX/MATCH; XLOOKUP was #NAME? on this Excel).</t>
        </is>
      </c>
    </row>
  </sheetData>
  <mergeCells count="1">
    <mergeCell ref="A54:J54"/>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fitToPage="1"/>
  </sheetPr>
  <dimension ref="A1:L23"/>
  <sheetViews>
    <sheetView showGridLines="0" workbookViewId="0">
      <pane ySplit="4" topLeftCell="A5" activePane="bottomLeft" state="frozen"/>
      <selection pane="bottomLeft" activeCell="A1" sqref="A1"/>
    </sheetView>
  </sheetViews>
  <sheetFormatPr baseColWidth="8" defaultRowHeight="15"/>
  <cols>
    <col width="12" customWidth="1" style="34" min="1" max="1"/>
    <col width="36" customWidth="1" style="34" min="2" max="2"/>
    <col width="18" customWidth="1" style="34" min="3" max="3"/>
    <col width="18" customWidth="1" style="34" min="4" max="4"/>
    <col width="18" customWidth="1" style="34" min="5" max="5"/>
    <col width="18" customWidth="1" style="34" min="6" max="6"/>
    <col width="18" customWidth="1" style="34" min="7" max="7"/>
    <col width="18" customWidth="1" style="34" min="8" max="8"/>
    <col width="18" customWidth="1" style="34" min="9" max="9"/>
    <col width="18" customWidth="1" style="34" min="10" max="10"/>
    <col width="48" customWidth="1" style="34" min="11" max="11"/>
    <col width="62" customWidth="1" style="34" min="12" max="12"/>
  </cols>
  <sheetData>
    <row r="1" ht="36" customHeight="1" s="34">
      <c r="A1" s="59" t="inlineStr">
        <is>
          <t>Residential Internet was 42.7% of Q2 2026 company revenue, and 93.4% of residential relationships already take it</t>
        </is>
      </c>
    </row>
    <row r="2" ht="32" customHeight="1" s="34">
      <c r="A2" s="60" t="inlineStr">
        <is>
          <t>Sources: CHTR-Q2-2026-Earnings-Release-Ex99.1.md (Q2 revenue and 30 Jun 2026 customers); CHTR-Q1-2026-Earnings-Release-Ex99.1.md; CHTR-FY2025-Earnings-Release-Ex99.1.md. Shares recomputed in build_mix_trends_unit_economics.py. Percents display at one decimal. Analysis, not a recommendation to launch.</t>
        </is>
      </c>
    </row>
    <row r="4" ht="32" customHeight="1" s="34">
      <c r="A4" s="61" t="inlineStr">
        <is>
          <t>Line</t>
        </is>
      </c>
      <c r="B4" s="61" t="inlineStr">
        <is>
          <t>Product</t>
        </is>
      </c>
      <c r="C4" s="61" t="inlineStr">
        <is>
          <t>Period</t>
        </is>
      </c>
      <c r="D4" s="61" t="inlineStr">
        <is>
          <t>Revenue ($ millions)</t>
        </is>
      </c>
      <c r="E4" s="61" t="inlineStr">
        <is>
          <t>Share of company revenue</t>
        </is>
      </c>
      <c r="F4" s="61" t="inlineStr">
        <is>
          <t>Share of residential revenue</t>
        </is>
      </c>
      <c r="G4" s="61" t="inlineStr">
        <is>
          <t>Customers or lines (000s)</t>
        </is>
      </c>
      <c r="H4" s="61" t="inlineStr">
        <is>
          <t>Count type</t>
        </is>
      </c>
      <c r="I4" s="61" t="inlineStr">
        <is>
          <t>Share of residential relationships</t>
        </is>
      </c>
      <c r="J4" s="61" t="inlineStr">
        <is>
          <t>Tag</t>
        </is>
      </c>
      <c r="K4" s="61" t="inlineStr">
        <is>
          <t>Source file</t>
        </is>
      </c>
      <c r="L4" s="61" t="inlineStr">
        <is>
          <t>Note</t>
        </is>
      </c>
    </row>
    <row r="5">
      <c r="A5" s="67" t="inlineStr">
        <is>
          <t>M1</t>
        </is>
      </c>
      <c r="B5" s="67" t="inlineStr">
        <is>
          <t>Internet</t>
        </is>
      </c>
      <c r="C5" s="67" t="inlineStr">
        <is>
          <t>Q2 2026</t>
        </is>
      </c>
      <c r="D5" s="68" t="n">
        <v>5776</v>
      </c>
      <c r="E5" s="69" t="n">
        <v>0.4270294248</v>
      </c>
      <c r="F5" s="69" t="n">
        <v>0.5580137185</v>
      </c>
      <c r="G5" s="68" t="n">
        <v>27358</v>
      </c>
      <c r="H5" s="67" t="inlineStr">
        <is>
          <t>residential customers</t>
        </is>
      </c>
      <c r="I5" s="69" t="n">
        <v>0.9344855855</v>
      </c>
      <c r="J5" s="67" t="inlineStr">
        <is>
          <t>RETRIEVED</t>
        </is>
      </c>
      <c r="K5" s="67" t="inlineStr">
        <is>
          <t>CHTR-Q2-2026-Earnings-Release-Ex99.1.md</t>
        </is>
      </c>
      <c r="L5" s="65" t="inlineStr">
        <is>
          <t>Revenue is the residential Internet line. Count is residential Internet customers at 30 Jun 2026. Not total Internet.</t>
        </is>
      </c>
    </row>
    <row r="6">
      <c r="A6" s="67" t="inlineStr">
        <is>
          <t>M2</t>
        </is>
      </c>
      <c r="B6" s="67" t="inlineStr">
        <is>
          <t>Mobile service</t>
        </is>
      </c>
      <c r="C6" s="67" t="inlineStr">
        <is>
          <t>Q2 2026</t>
        </is>
      </c>
      <c r="D6" s="68" t="n">
        <v>1095</v>
      </c>
      <c r="E6" s="69" t="n">
        <v>0.0809551974</v>
      </c>
      <c r="F6" s="69" t="n">
        <v>0.1057868805</v>
      </c>
      <c r="G6" s="68" t="n">
        <v>12099</v>
      </c>
      <c r="H6" s="67" t="inlineStr">
        <is>
          <t>residential mobile lines</t>
        </is>
      </c>
      <c r="I6" s="67" t="n"/>
      <c r="J6" s="67" t="inlineStr">
        <is>
          <t>RETRIEVED</t>
        </is>
      </c>
      <c r="K6" s="67" t="inlineStr">
        <is>
          <t>CHTR-Q2-2026-Earnings-Release-Ex99.1.md</t>
        </is>
      </c>
      <c r="L6" s="65" t="inlineStr">
        <is>
          <t>Service revenue only (devices sit in Other). Count is lines, not customers, so relationship share is blank.</t>
        </is>
      </c>
    </row>
    <row r="7">
      <c r="A7" s="67" t="inlineStr">
        <is>
          <t>M3</t>
        </is>
      </c>
      <c r="B7" s="67" t="inlineStr">
        <is>
          <t>Video</t>
        </is>
      </c>
      <c r="C7" s="67" t="inlineStr">
        <is>
          <t>Q2 2026</t>
        </is>
      </c>
      <c r="D7" s="68" t="n">
        <v>3149</v>
      </c>
      <c r="E7" s="69" t="n">
        <v>0.2328108827</v>
      </c>
      <c r="F7" s="69" t="n">
        <v>0.3042218143</v>
      </c>
      <c r="G7" s="68" t="n">
        <v>12010</v>
      </c>
      <c r="H7" s="67" t="inlineStr">
        <is>
          <t>residential customers</t>
        </is>
      </c>
      <c r="I7" s="69" t="n">
        <v>0.4102336385</v>
      </c>
      <c r="J7" s="67" t="inlineStr">
        <is>
          <t>RETRIEVED</t>
        </is>
      </c>
      <c r="K7" s="67" t="inlineStr">
        <is>
          <t>CHTR-Q2-2026-Earnings-Release-Ex99.1.md</t>
        </is>
      </c>
      <c r="L7" s="65" t="inlineStr">
        <is>
          <t>Residential product line inside residential revenue.</t>
        </is>
      </c>
    </row>
    <row r="8">
      <c r="A8" s="67" t="inlineStr">
        <is>
          <t>M4</t>
        </is>
      </c>
      <c r="B8" s="67" t="inlineStr">
        <is>
          <t>Voice</t>
        </is>
      </c>
      <c r="C8" s="67" t="inlineStr">
        <is>
          <t>Q2 2026</t>
        </is>
      </c>
      <c r="D8" s="68" t="n">
        <v>331</v>
      </c>
      <c r="E8" s="69" t="n">
        <v>0.0244713884</v>
      </c>
      <c r="F8" s="69" t="n">
        <v>0.0319775867</v>
      </c>
      <c r="G8" s="68" t="n">
        <v>4494</v>
      </c>
      <c r="H8" s="67" t="inlineStr">
        <is>
          <t>residential customers</t>
        </is>
      </c>
      <c r="I8" s="69" t="n">
        <v>0.1535045771</v>
      </c>
      <c r="J8" s="67" t="inlineStr">
        <is>
          <t>RETRIEVED</t>
        </is>
      </c>
      <c r="K8" s="67" t="inlineStr">
        <is>
          <t>CHTR-Q2-2026-Earnings-Release-Ex99.1.md</t>
        </is>
      </c>
      <c r="L8" s="65" t="inlineStr">
        <is>
          <t>Residential product line inside residential revenue.</t>
        </is>
      </c>
    </row>
    <row r="9">
      <c r="A9" s="67" t="inlineStr">
        <is>
          <t>M5</t>
        </is>
      </c>
      <c r="B9" s="67" t="inlineStr">
        <is>
          <t>Commercial</t>
        </is>
      </c>
      <c r="C9" s="67" t="inlineStr">
        <is>
          <t>Q2 2026</t>
        </is>
      </c>
      <c r="D9" s="68" t="n">
        <v>1865</v>
      </c>
      <c r="E9" s="69" t="n">
        <v>0.1378825965</v>
      </c>
      <c r="F9" s="67" t="n"/>
      <c r="G9" s="67" t="n"/>
      <c r="H9" s="67" t="n"/>
      <c r="I9" s="67" t="n"/>
      <c r="J9" s="67" t="inlineStr">
        <is>
          <t>RETRIEVED</t>
        </is>
      </c>
      <c r="K9" s="67" t="inlineStr">
        <is>
          <t>CHTR-Q2-2026-Earnings-Release-Ex99.1.md</t>
        </is>
      </c>
      <c r="L9" s="65" t="inlineStr">
        <is>
          <t>Not a residential product line. Kept so Internet's share is of company revenue.</t>
        </is>
      </c>
    </row>
    <row r="10">
      <c r="A10" s="67" t="inlineStr">
        <is>
          <t>M6</t>
        </is>
      </c>
      <c r="B10" s="67" t="inlineStr">
        <is>
          <t>Advertising sales</t>
        </is>
      </c>
      <c r="C10" s="67" t="inlineStr">
        <is>
          <t>Q2 2026</t>
        </is>
      </c>
      <c r="D10" s="68" t="n">
        <v>416</v>
      </c>
      <c r="E10" s="69" t="n">
        <v>0.0307555818</v>
      </c>
      <c r="F10" s="67" t="n"/>
      <c r="G10" s="67" t="n"/>
      <c r="H10" s="67" t="n"/>
      <c r="I10" s="67" t="n"/>
      <c r="J10" s="67" t="inlineStr">
        <is>
          <t>RETRIEVED</t>
        </is>
      </c>
      <c r="K10" s="67" t="inlineStr">
        <is>
          <t>CHTR-Q2-2026-Earnings-Release-Ex99.1.md</t>
        </is>
      </c>
      <c r="L10" s="65" t="inlineStr">
        <is>
          <t>Not a residential product line. Kept so Internet's share is of company revenue.</t>
        </is>
      </c>
    </row>
    <row r="11">
      <c r="A11" s="67" t="inlineStr">
        <is>
          <t>M7</t>
        </is>
      </c>
      <c r="B11" s="67" t="inlineStr">
        <is>
          <t>Other</t>
        </is>
      </c>
      <c r="C11" s="67" t="inlineStr">
        <is>
          <t>Q2 2026</t>
        </is>
      </c>
      <c r="D11" s="68" t="n">
        <v>894</v>
      </c>
      <c r="E11" s="69" t="n">
        <v>0.06609492829999999</v>
      </c>
      <c r="F11" s="67" t="n"/>
      <c r="G11" s="67" t="n"/>
      <c r="H11" s="67" t="n"/>
      <c r="I11" s="67" t="n"/>
      <c r="J11" s="67" t="inlineStr">
        <is>
          <t>RETRIEVED</t>
        </is>
      </c>
      <c r="K11" s="67" t="inlineStr">
        <is>
          <t>CHTR-Q2-2026-Earnings-Release-Ex99.1.md</t>
        </is>
      </c>
      <c r="L11" s="65" t="inlineStr">
        <is>
          <t>Not a residential product line. Kept so Internet's share is of company revenue.</t>
        </is>
      </c>
    </row>
    <row r="12">
      <c r="A12" s="67" t="inlineStr">
        <is>
          <t>M8</t>
        </is>
      </c>
      <c r="B12" s="67" t="inlineStr">
        <is>
          <t>Residential revenue (subtotal)</t>
        </is>
      </c>
      <c r="C12" s="67" t="inlineStr">
        <is>
          <t>Q2 2026</t>
        </is>
      </c>
      <c r="D12" s="68" t="n">
        <v>10351</v>
      </c>
      <c r="E12" s="69" t="n">
        <v>0.7652668934</v>
      </c>
      <c r="F12" s="67" t="n"/>
      <c r="G12" s="68" t="n">
        <v>29276</v>
      </c>
      <c r="H12" s="67" t="inlineStr">
        <is>
          <t>residential relationships</t>
        </is>
      </c>
      <c r="I12" s="67" t="n"/>
      <c r="J12" s="67" t="inlineStr">
        <is>
          <t>RETRIEVED</t>
        </is>
      </c>
      <c r="K12" s="67" t="inlineStr">
        <is>
          <t>CHTR-Q2-2026-Earnings-Release-Ex99.1.md</t>
        </is>
      </c>
      <c r="L12" s="65" t="inlineStr">
        <is>
          <t>Internet + mobile service + video + voice. Relationship count is the denominator for product attachment, not a fifth product.</t>
        </is>
      </c>
    </row>
    <row r="13">
      <c r="A13" s="67" t="inlineStr">
        <is>
          <t>M9</t>
        </is>
      </c>
      <c r="B13" s="67" t="inlineStr">
        <is>
          <t>Total revenue</t>
        </is>
      </c>
      <c r="C13" s="67" t="inlineStr">
        <is>
          <t>Q2 2026</t>
        </is>
      </c>
      <c r="D13" s="68" t="n">
        <v>13526</v>
      </c>
      <c r="E13" s="69" t="n">
        <v>1</v>
      </c>
      <c r="F13" s="67" t="n"/>
      <c r="G13" s="67" t="n"/>
      <c r="H13" s="67" t="n"/>
      <c r="I13" s="67" t="n"/>
      <c r="J13" s="67" t="inlineStr">
        <is>
          <t>RETRIEVED</t>
        </is>
      </c>
      <c r="K13" s="67" t="inlineStr">
        <is>
          <t>CHTR-Q2-2026-Earnings-Release-Ex99.1.md</t>
        </is>
      </c>
      <c r="L13" s="65" t="inlineStr">
        <is>
          <t>Denominator for company-revenue shares.</t>
        </is>
      </c>
    </row>
    <row r="14">
      <c r="A14" s="67" t="inlineStr">
        <is>
          <t>M10</t>
        </is>
      </c>
      <c r="B14" s="67" t="inlineStr">
        <is>
          <t>Internet</t>
        </is>
      </c>
      <c r="C14" s="67" t="inlineStr">
        <is>
          <t>Q1 2026</t>
        </is>
      </c>
      <c r="D14" s="68" t="n">
        <v>5852</v>
      </c>
      <c r="E14" s="69" t="n">
        <v>0.4303890564</v>
      </c>
      <c r="F14" s="69" t="n">
        <v>0.5576519916</v>
      </c>
      <c r="G14" s="67" t="n"/>
      <c r="H14" s="67" t="n"/>
      <c r="I14" s="67" t="n"/>
      <c r="J14" s="67" t="inlineStr">
        <is>
          <t>RETRIEVED</t>
        </is>
      </c>
      <c r="K14" s="67" t="inlineStr">
        <is>
          <t>CHTR-Q1-2026-Earnings-Release-Ex99.1.md</t>
        </is>
      </c>
      <c r="L14" s="65" t="inlineStr">
        <is>
          <t>Revenue only. Q1 Internet share of company revenue is the 43.0% anchor.</t>
        </is>
      </c>
    </row>
    <row r="15">
      <c r="A15" s="67" t="inlineStr">
        <is>
          <t>M11</t>
        </is>
      </c>
      <c r="B15" s="67" t="inlineStr">
        <is>
          <t>Mobile service</t>
        </is>
      </c>
      <c r="C15" s="67" t="inlineStr">
        <is>
          <t>Q1 2026</t>
        </is>
      </c>
      <c r="D15" s="68" t="n">
        <v>1052</v>
      </c>
      <c r="E15" s="69" t="n">
        <v>0.0773700081</v>
      </c>
      <c r="F15" s="69" t="n">
        <v>0.1002477606</v>
      </c>
      <c r="G15" s="67" t="n"/>
      <c r="H15" s="67" t="n"/>
      <c r="I15" s="67" t="n"/>
      <c r="J15" s="67" t="inlineStr">
        <is>
          <t>RETRIEVED</t>
        </is>
      </c>
      <c r="K15" s="67" t="inlineStr">
        <is>
          <t>CHTR-Q1-2026-Earnings-Release-Ex99.1.md</t>
        </is>
      </c>
      <c r="L15" s="65" t="inlineStr">
        <is>
          <t>Revenue only. Q1 Internet share of company revenue is the 43.0% anchor.</t>
        </is>
      </c>
    </row>
    <row r="16">
      <c r="A16" s="67" t="inlineStr">
        <is>
          <t>M12</t>
        </is>
      </c>
      <c r="B16" s="67" t="inlineStr">
        <is>
          <t>Video</t>
        </is>
      </c>
      <c r="C16" s="67" t="inlineStr">
        <is>
          <t>Q1 2026</t>
        </is>
      </c>
      <c r="D16" s="68" t="n">
        <v>3252</v>
      </c>
      <c r="E16" s="69" t="n">
        <v>0.2391704052</v>
      </c>
      <c r="F16" s="69" t="n">
        <v>0.3098913665</v>
      </c>
      <c r="G16" s="67" t="n"/>
      <c r="H16" s="67" t="n"/>
      <c r="I16" s="67" t="n"/>
      <c r="J16" s="67" t="inlineStr">
        <is>
          <t>RETRIEVED</t>
        </is>
      </c>
      <c r="K16" s="67" t="inlineStr">
        <is>
          <t>CHTR-Q1-2026-Earnings-Release-Ex99.1.md</t>
        </is>
      </c>
      <c r="L16" s="65" t="inlineStr">
        <is>
          <t>Revenue only. Q1 Internet share of company revenue is the 43.0% anchor.</t>
        </is>
      </c>
    </row>
    <row r="17">
      <c r="A17" s="67" t="inlineStr">
        <is>
          <t>M13</t>
        </is>
      </c>
      <c r="B17" s="67" t="inlineStr">
        <is>
          <t>Voice</t>
        </is>
      </c>
      <c r="C17" s="67" t="inlineStr">
        <is>
          <t>Q1 2026</t>
        </is>
      </c>
      <c r="D17" s="68" t="n">
        <v>338</v>
      </c>
      <c r="E17" s="69" t="n">
        <v>0.0248584247</v>
      </c>
      <c r="F17" s="69" t="n">
        <v>0.0322088813</v>
      </c>
      <c r="G17" s="67" t="n"/>
      <c r="H17" s="67" t="n"/>
      <c r="I17" s="67" t="n"/>
      <c r="J17" s="67" t="inlineStr">
        <is>
          <t>RETRIEVED</t>
        </is>
      </c>
      <c r="K17" s="67" t="inlineStr">
        <is>
          <t>CHTR-Q1-2026-Earnings-Release-Ex99.1.md</t>
        </is>
      </c>
      <c r="L17" s="65" t="inlineStr">
        <is>
          <t>Revenue only. Q1 Internet share of company revenue is the 43.0% anchor.</t>
        </is>
      </c>
    </row>
    <row r="18">
      <c r="A18" s="67" t="inlineStr">
        <is>
          <t>M14</t>
        </is>
      </c>
      <c r="B18" s="67" t="inlineStr">
        <is>
          <t>Total revenue</t>
        </is>
      </c>
      <c r="C18" s="67" t="inlineStr">
        <is>
          <t>Q1 2026</t>
        </is>
      </c>
      <c r="D18" s="68" t="n">
        <v>13597</v>
      </c>
      <c r="E18" s="69" t="n">
        <v>1</v>
      </c>
      <c r="F18" s="67" t="n"/>
      <c r="G18" s="67" t="n"/>
      <c r="H18" s="67" t="n"/>
      <c r="I18" s="67" t="n"/>
      <c r="J18" s="67" t="inlineStr">
        <is>
          <t>RETRIEVED</t>
        </is>
      </c>
      <c r="K18" s="67" t="inlineStr">
        <is>
          <t>CHTR-Q1-2026-Earnings-Release-Ex99.1.md</t>
        </is>
      </c>
      <c r="L18" s="65" t="inlineStr">
        <is>
          <t>Denominator.</t>
        </is>
      </c>
    </row>
    <row r="19">
      <c r="A19" s="67" t="inlineStr">
        <is>
          <t>M15</t>
        </is>
      </c>
      <c r="B19" s="67" t="inlineStr">
        <is>
          <t>Internet</t>
        </is>
      </c>
      <c r="C19" s="67" t="inlineStr">
        <is>
          <t>FY2025</t>
        </is>
      </c>
      <c r="D19" s="68" t="n">
        <v>23765</v>
      </c>
      <c r="E19" s="69" t="n">
        <v>0.4338737357</v>
      </c>
      <c r="F19" s="69" t="n">
        <v>0.5581258807</v>
      </c>
      <c r="G19" s="67" t="n"/>
      <c r="H19" s="67" t="n"/>
      <c r="I19" s="67" t="n"/>
      <c r="J19" s="67" t="inlineStr">
        <is>
          <t>RETRIEVED</t>
        </is>
      </c>
      <c r="K19" s="67" t="inlineStr">
        <is>
          <t>CHTR-FY2025-Earnings-Release-Ex99.1.md</t>
        </is>
      </c>
      <c r="L19" s="65" t="inlineStr">
        <is>
          <t>Full-year residential product revenue.</t>
        </is>
      </c>
    </row>
    <row r="20">
      <c r="A20" s="67" t="inlineStr">
        <is>
          <t>M16</t>
        </is>
      </c>
      <c r="B20" s="67" t="inlineStr">
        <is>
          <t>Mobile service</t>
        </is>
      </c>
      <c r="C20" s="67" t="inlineStr">
        <is>
          <t>FY2025</t>
        </is>
      </c>
      <c r="D20" s="68" t="n">
        <v>3762</v>
      </c>
      <c r="E20" s="69" t="n">
        <v>0.0686822215</v>
      </c>
      <c r="F20" s="69" t="n">
        <v>0.0883513387</v>
      </c>
      <c r="G20" s="67" t="n"/>
      <c r="H20" s="67" t="n"/>
      <c r="I20" s="67" t="n"/>
      <c r="J20" s="67" t="inlineStr">
        <is>
          <t>RETRIEVED</t>
        </is>
      </c>
      <c r="K20" s="67" t="inlineStr">
        <is>
          <t>CHTR-FY2025-Earnings-Release-Ex99.1.md</t>
        </is>
      </c>
      <c r="L20" s="65" t="inlineStr">
        <is>
          <t>Full-year residential product revenue.</t>
        </is>
      </c>
    </row>
    <row r="21">
      <c r="A21" s="67" t="inlineStr">
        <is>
          <t>M17</t>
        </is>
      </c>
      <c r="B21" s="67" t="inlineStr">
        <is>
          <t>Video</t>
        </is>
      </c>
      <c r="C21" s="67" t="inlineStr">
        <is>
          <t>FY2025</t>
        </is>
      </c>
      <c r="D21" s="68" t="n">
        <v>13703</v>
      </c>
      <c r="E21" s="69" t="n">
        <v>0.25017344</v>
      </c>
      <c r="F21" s="69" t="n">
        <v>0.3218177548</v>
      </c>
      <c r="G21" s="67" t="n"/>
      <c r="H21" s="67" t="n"/>
      <c r="I21" s="67" t="n"/>
      <c r="J21" s="67" t="inlineStr">
        <is>
          <t>RETRIEVED</t>
        </is>
      </c>
      <c r="K21" s="67" t="inlineStr">
        <is>
          <t>CHTR-FY2025-Earnings-Release-Ex99.1.md</t>
        </is>
      </c>
      <c r="L21" s="65" t="inlineStr">
        <is>
          <t>Full-year residential product revenue.</t>
        </is>
      </c>
    </row>
    <row r="22">
      <c r="A22" s="67" t="inlineStr">
        <is>
          <t>M18</t>
        </is>
      </c>
      <c r="B22" s="67" t="inlineStr">
        <is>
          <t>Voice</t>
        </is>
      </c>
      <c r="C22" s="67" t="inlineStr">
        <is>
          <t>FY2025</t>
        </is>
      </c>
      <c r="D22" s="68" t="n">
        <v>1350</v>
      </c>
      <c r="E22" s="69" t="n">
        <v>0.0246467302</v>
      </c>
      <c r="F22" s="69" t="n">
        <v>0.0317050258</v>
      </c>
      <c r="G22" s="67" t="n"/>
      <c r="H22" s="67" t="n"/>
      <c r="I22" s="67" t="n"/>
      <c r="J22" s="67" t="inlineStr">
        <is>
          <t>RETRIEVED</t>
        </is>
      </c>
      <c r="K22" s="67" t="inlineStr">
        <is>
          <t>CHTR-FY2025-Earnings-Release-Ex99.1.md</t>
        </is>
      </c>
      <c r="L22" s="65" t="inlineStr">
        <is>
          <t>Full-year residential product revenue.</t>
        </is>
      </c>
    </row>
    <row r="23">
      <c r="A23" s="67" t="inlineStr">
        <is>
          <t>M19</t>
        </is>
      </c>
      <c r="B23" s="67" t="inlineStr">
        <is>
          <t>Total revenue</t>
        </is>
      </c>
      <c r="C23" s="67" t="inlineStr">
        <is>
          <t>FY2025</t>
        </is>
      </c>
      <c r="D23" s="68" t="n">
        <v>54774</v>
      </c>
      <c r="E23" s="69" t="n">
        <v>1</v>
      </c>
      <c r="F23" s="67" t="n"/>
      <c r="G23" s="67" t="n"/>
      <c r="H23" s="67" t="n"/>
      <c r="I23" s="67" t="n"/>
      <c r="J23" s="67" t="inlineStr">
        <is>
          <t>RETRIEVED</t>
        </is>
      </c>
      <c r="K23" s="67" t="inlineStr">
        <is>
          <t>CHTR-FY2025-Earnings-Release-Ex99.1.md</t>
        </is>
      </c>
      <c r="L23" s="65" t="inlineStr">
        <is>
          <t>Denominator.</t>
        </is>
      </c>
    </row>
  </sheetData>
  <autoFilter ref="A4:L23"/>
  <mergeCells count="2">
    <mergeCell ref="A2:L2"/>
    <mergeCell ref="A1:L1"/>
  </mergeCells>
  <pageMargins left="0.75" right="0.75" top="1" bottom="1" header="0.5" footer="0.5"/>
  <pageSetup orientation="landscape" fitToHeight="1" fitToWidth="1"/>
  <headerFooter>
    <oddHeader>&amp;LResidential Internet was 42.7% of Q2 2026 company revenue, and 93.4% of residential relationships already take it</oddHeader>
    <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K15"/>
  <sheetViews>
    <sheetView showGridLines="0" workbookViewId="0">
      <pane ySplit="4" topLeftCell="A5" activePane="bottomLeft" state="frozen"/>
      <selection pane="bottomLeft" activeCell="A1" sqref="A1"/>
    </sheetView>
  </sheetViews>
  <sheetFormatPr baseColWidth="8" defaultRowHeight="15"/>
  <cols>
    <col width="12" customWidth="1" style="34" min="1" max="1"/>
    <col width="22" customWidth="1" style="34" min="2" max="2"/>
    <col width="28" customWidth="1" style="34" min="3" max="3"/>
    <col width="26" customWidth="1" style="34" min="4" max="4"/>
    <col width="30" customWidth="1" style="34" min="5" max="5"/>
    <col width="18" customWidth="1" style="34" min="6" max="6"/>
    <col width="18" customWidth="1" style="34" min="7" max="7"/>
    <col width="18" customWidth="1" style="34" min="8" max="8"/>
    <col width="18" customWidth="1" style="34" min="9" max="9"/>
    <col width="52" customWidth="1" style="34" min="10" max="10"/>
    <col width="62" customWidth="1" style="34" min="11" max="11"/>
  </cols>
  <sheetData>
    <row r="1" ht="36" customHeight="1" s="34">
      <c r="A1" s="59" t="inlineStr">
        <is>
          <t>Residential Internet net adds stayed negative for 10 straight quarters, through −166,000 in Q2 2026</t>
        </is>
      </c>
    </row>
    <row r="2" ht="32" customHeight="1" s="34">
      <c r="A2" s="60" t="inlineStr">
        <is>
          <t>Residential customers, thousands. 2024Q4–2026Q2 from Ex99.1 operating statistics (FY2025, Q1 2026, Q2 2026). 2024Q1–2024Q3 from CHTR-Q1-2026-Trending-Schedule.md, same prints in CHTR-FY2025-Trending-Schedule.md. Voice is DERIVED from ending stock. Mobile is lines. Not total Internet (−120k in Q1 2026; −172k in Q2 2026).</t>
        </is>
      </c>
    </row>
    <row r="4" ht="32" customHeight="1" s="34">
      <c r="A4" s="61" t="inlineStr">
        <is>
          <t>Line</t>
        </is>
      </c>
      <c r="B4" s="61" t="inlineStr">
        <is>
          <t>Quarter</t>
        </is>
      </c>
      <c r="C4" s="61" t="inlineStr">
        <is>
          <t>Residential Internet net adds (000s)</t>
        </is>
      </c>
      <c r="D4" s="61" t="inlineStr">
        <is>
          <t>Residential video net adds (000s)</t>
        </is>
      </c>
      <c r="E4" s="61" t="inlineStr">
        <is>
          <t>Residential mobile line net adds (000s)</t>
        </is>
      </c>
      <c r="F4" s="61" t="inlineStr">
        <is>
          <t>Residential voice net adds (000s)</t>
        </is>
      </c>
      <c r="G4" s="61" t="inlineStr">
        <is>
          <t>Residential Internet ending (000s)</t>
        </is>
      </c>
      <c r="H4" s="61" t="inlineStr">
        <is>
          <t>Tag, Internet / video / mobile</t>
        </is>
      </c>
      <c r="I4" s="61" t="inlineStr">
        <is>
          <t>Tag, voice</t>
        </is>
      </c>
      <c r="J4" s="61" t="inlineStr">
        <is>
          <t>Source file</t>
        </is>
      </c>
      <c r="K4" s="61" t="inlineStr">
        <is>
          <t>Note</t>
        </is>
      </c>
    </row>
    <row r="5">
      <c r="A5" s="67" t="inlineStr">
        <is>
          <t>T1</t>
        </is>
      </c>
      <c r="B5" s="67" t="inlineStr">
        <is>
          <t>2024Q1</t>
        </is>
      </c>
      <c r="C5" s="68" t="n">
        <v>-72</v>
      </c>
      <c r="D5" s="68" t="n">
        <v>-392</v>
      </c>
      <c r="E5" s="68" t="n">
        <v>470</v>
      </c>
      <c r="F5" s="68" t="n">
        <v>-274</v>
      </c>
      <c r="G5" s="68" t="n">
        <v>28472</v>
      </c>
      <c r="H5" s="67" t="inlineStr">
        <is>
          <t>RETRIEVED</t>
        </is>
      </c>
      <c r="I5" s="67" t="inlineStr">
        <is>
          <t>DERIVED</t>
        </is>
      </c>
      <c r="J5" s="67" t="inlineStr">
        <is>
          <t>CHTR-Q1-2026-Trending-Schedule.md</t>
        </is>
      </c>
      <c r="K5" s="65" t="inlineStr">
        <is>
          <t>Voice net adds = change in published ending residential voice customers; the filing does not print a voice net-add line. Mobile is lines, not customers. Do not net lines against Internet customers. Internet is residential, not total Internet.</t>
        </is>
      </c>
    </row>
    <row r="6">
      <c r="A6" s="67" t="inlineStr">
        <is>
          <t>T2</t>
        </is>
      </c>
      <c r="B6" s="67" t="inlineStr">
        <is>
          <t>2024Q2</t>
        </is>
      </c>
      <c r="C6" s="68" t="n">
        <v>-154</v>
      </c>
      <c r="D6" s="68" t="n">
        <v>-393</v>
      </c>
      <c r="E6" s="68" t="n">
        <v>534</v>
      </c>
      <c r="F6" s="68" t="n">
        <v>-268</v>
      </c>
      <c r="G6" s="68" t="n">
        <v>28318</v>
      </c>
      <c r="H6" s="67" t="inlineStr">
        <is>
          <t>RETRIEVED</t>
        </is>
      </c>
      <c r="I6" s="67" t="inlineStr">
        <is>
          <t>DERIVED</t>
        </is>
      </c>
      <c r="J6" s="67" t="inlineStr">
        <is>
          <t>CHTR-Q1-2026-Trending-Schedule.md</t>
        </is>
      </c>
      <c r="K6" s="65" t="inlineStr">
        <is>
          <t>Voice net adds = change in published ending residential voice customers; the filing does not print a voice net-add line. Mobile is lines, not customers. Do not net lines against Internet customers. Internet is residential, not total Internet.</t>
        </is>
      </c>
    </row>
    <row r="7">
      <c r="A7" s="67" t="inlineStr">
        <is>
          <t>T3</t>
        </is>
      </c>
      <c r="B7" s="67" t="inlineStr">
        <is>
          <t>2024Q3</t>
        </is>
      </c>
      <c r="C7" s="68" t="n">
        <v>-113</v>
      </c>
      <c r="D7" s="68" t="n">
        <v>-281</v>
      </c>
      <c r="E7" s="68" t="n">
        <v>521</v>
      </c>
      <c r="F7" s="68" t="n">
        <v>-275</v>
      </c>
      <c r="G7" s="68" t="n">
        <v>28205</v>
      </c>
      <c r="H7" s="67" t="inlineStr">
        <is>
          <t>RETRIEVED</t>
        </is>
      </c>
      <c r="I7" s="67" t="inlineStr">
        <is>
          <t>DERIVED</t>
        </is>
      </c>
      <c r="J7" s="67" t="inlineStr">
        <is>
          <t>CHTR-Q1-2026-Trending-Schedule.md</t>
        </is>
      </c>
      <c r="K7" s="65" t="inlineStr">
        <is>
          <t>Voice net adds = change in published ending residential voice customers; the filing does not print a voice net-add line. Mobile is lines, not customers. Do not net lines against Internet customers. Internet is residential, not total Internet.</t>
        </is>
      </c>
    </row>
    <row r="8">
      <c r="A8" s="67" t="inlineStr">
        <is>
          <t>T4</t>
        </is>
      </c>
      <c r="B8" s="67" t="inlineStr">
        <is>
          <t>2024Q4</t>
        </is>
      </c>
      <c r="C8" s="68" t="n">
        <v>-171</v>
      </c>
      <c r="D8" s="68" t="n">
        <v>-110</v>
      </c>
      <c r="E8" s="68" t="n">
        <v>504</v>
      </c>
      <c r="F8" s="68" t="n">
        <v>-259</v>
      </c>
      <c r="G8" s="68" t="n">
        <v>28034</v>
      </c>
      <c r="H8" s="67" t="inlineStr">
        <is>
          <t>RETRIEVED</t>
        </is>
      </c>
      <c r="I8" s="67" t="inlineStr">
        <is>
          <t>DERIVED</t>
        </is>
      </c>
      <c r="J8" s="67" t="inlineStr">
        <is>
          <t>CHTR-FY2025-Earnings-Release-Ex99.1.md</t>
        </is>
      </c>
      <c r="K8" s="65" t="inlineStr">
        <is>
          <t>Voice net adds = change in published ending residential voice customers; the filing does not print a voice net-add line. Mobile is lines, not customers. Do not net lines against Internet customers. Internet is residential, not total Internet.</t>
        </is>
      </c>
    </row>
    <row r="9">
      <c r="A9" s="67" t="inlineStr">
        <is>
          <t>T5</t>
        </is>
      </c>
      <c r="B9" s="67" t="inlineStr">
        <is>
          <t>2025Q1</t>
        </is>
      </c>
      <c r="C9" s="68" t="n">
        <v>-55</v>
      </c>
      <c r="D9" s="68" t="n">
        <v>-167</v>
      </c>
      <c r="E9" s="68" t="n">
        <v>488</v>
      </c>
      <c r="F9" s="68" t="n">
        <v>-264</v>
      </c>
      <c r="G9" s="68" t="n">
        <v>27979</v>
      </c>
      <c r="H9" s="67" t="inlineStr">
        <is>
          <t>RETRIEVED</t>
        </is>
      </c>
      <c r="I9" s="67" t="inlineStr">
        <is>
          <t>DERIVED</t>
        </is>
      </c>
      <c r="J9" s="67" t="inlineStr">
        <is>
          <t>CHTR-Q1-2026-Earnings-Release-Ex99.1.md</t>
        </is>
      </c>
      <c r="K9" s="65" t="inlineStr">
        <is>
          <t>Voice net adds = change in published ending residential voice customers; the filing does not print a voice net-add line. Mobile is lines, not customers. Do not net lines against Internet customers. Internet is residential, not total Internet.</t>
        </is>
      </c>
    </row>
    <row r="10">
      <c r="A10" s="67" t="inlineStr">
        <is>
          <t>T6</t>
        </is>
      </c>
      <c r="B10" s="67" t="inlineStr">
        <is>
          <t>2025Q2</t>
        </is>
      </c>
      <c r="C10" s="68" t="n">
        <v>-111</v>
      </c>
      <c r="D10" s="68" t="n">
        <v>-73</v>
      </c>
      <c r="E10" s="68" t="n">
        <v>471</v>
      </c>
      <c r="F10" s="68" t="n">
        <v>-211</v>
      </c>
      <c r="G10" s="68" t="n">
        <v>27868</v>
      </c>
      <c r="H10" s="67" t="inlineStr">
        <is>
          <t>RETRIEVED</t>
        </is>
      </c>
      <c r="I10" s="67" t="inlineStr">
        <is>
          <t>DERIVED</t>
        </is>
      </c>
      <c r="J10" s="67" t="inlineStr">
        <is>
          <t>CHTR-Q2-2026-Earnings-Release-Ex99.1.md</t>
        </is>
      </c>
      <c r="K10" s="65" t="inlineStr">
        <is>
          <t>Voice net adds = change in published ending residential voice customers; the filing does not print a voice net-add line. Mobile is lines, not customers. Do not net lines against Internet customers. Internet is residential, not total Internet.</t>
        </is>
      </c>
    </row>
    <row r="11">
      <c r="A11" s="67" t="inlineStr">
        <is>
          <t>T7</t>
        </is>
      </c>
      <c r="B11" s="67" t="inlineStr">
        <is>
          <t>2025Q3</t>
        </is>
      </c>
      <c r="C11" s="68" t="n">
        <v>-108</v>
      </c>
      <c r="D11" s="68" t="n">
        <v>-64</v>
      </c>
      <c r="E11" s="68" t="n">
        <v>462</v>
      </c>
      <c r="F11" s="68" t="n">
        <v>-194</v>
      </c>
      <c r="G11" s="68" t="n">
        <v>27760</v>
      </c>
      <c r="H11" s="67" t="inlineStr">
        <is>
          <t>RETRIEVED</t>
        </is>
      </c>
      <c r="I11" s="67" t="inlineStr">
        <is>
          <t>DERIVED</t>
        </is>
      </c>
      <c r="J11" s="67" t="inlineStr">
        <is>
          <t>CHTR-FY2025-Earnings-Release-Ex99.1.md</t>
        </is>
      </c>
      <c r="K11" s="65" t="inlineStr">
        <is>
          <t>Voice net adds = change in published ending residential voice customers; the filing does not print a voice net-add line. Mobile is lines, not customers. Do not net lines against Internet customers. Internet is residential, not total Internet.</t>
        </is>
      </c>
    </row>
    <row r="12">
      <c r="A12" s="67" t="inlineStr">
        <is>
          <t>T8</t>
        </is>
      </c>
      <c r="B12" s="67" t="inlineStr">
        <is>
          <t>2025Q4</t>
        </is>
      </c>
      <c r="C12" s="68" t="n">
        <v>-119</v>
      </c>
      <c r="D12" s="68" t="n">
        <v>49</v>
      </c>
      <c r="E12" s="68" t="n">
        <v>406</v>
      </c>
      <c r="F12" s="68" t="n">
        <v>-135</v>
      </c>
      <c r="G12" s="68" t="n">
        <v>27641</v>
      </c>
      <c r="H12" s="67" t="inlineStr">
        <is>
          <t>RETRIEVED</t>
        </is>
      </c>
      <c r="I12" s="67" t="inlineStr">
        <is>
          <t>DERIVED</t>
        </is>
      </c>
      <c r="J12" s="67" t="inlineStr">
        <is>
          <t>CHTR-Q2-2026-Earnings-Release-Ex99.1.md</t>
        </is>
      </c>
      <c r="K12" s="65" t="inlineStr">
        <is>
          <t>Voice net adds = change in published ending residential voice customers; the filing does not print a voice net-add line. Mobile is lines, not customers. Do not net lines against Internet customers. Internet is residential, not total Internet.</t>
        </is>
      </c>
    </row>
    <row r="13">
      <c r="A13" s="67" t="inlineStr">
        <is>
          <t>T9</t>
        </is>
      </c>
      <c r="B13" s="67" t="inlineStr">
        <is>
          <t>2026Q1</t>
        </is>
      </c>
      <c r="C13" s="68" t="n">
        <v>-117</v>
      </c>
      <c r="D13" s="68" t="n">
        <v>-51</v>
      </c>
      <c r="E13" s="68" t="n">
        <v>344</v>
      </c>
      <c r="F13" s="68" t="n">
        <v>-167</v>
      </c>
      <c r="G13" s="68" t="n">
        <v>27524</v>
      </c>
      <c r="H13" s="67" t="inlineStr">
        <is>
          <t>RETRIEVED</t>
        </is>
      </c>
      <c r="I13" s="67" t="inlineStr">
        <is>
          <t>DERIVED</t>
        </is>
      </c>
      <c r="J13" s="67" t="inlineStr">
        <is>
          <t>CHTR-Q2-2026-Earnings-Release-Ex99.1.md</t>
        </is>
      </c>
      <c r="K13" s="65" t="inlineStr">
        <is>
          <t>Voice net adds = change in published ending residential voice customers; the filing does not print a voice net-add line. Mobile is lines, not customers. Do not net lines against Internet customers. Internet is residential, not total Internet.</t>
        </is>
      </c>
    </row>
    <row r="14">
      <c r="A14" s="67" t="inlineStr">
        <is>
          <t>T10</t>
        </is>
      </c>
      <c r="B14" s="67" t="inlineStr">
        <is>
          <t>2026Q2</t>
        </is>
      </c>
      <c r="C14" s="68" t="n">
        <v>-166</v>
      </c>
      <c r="D14" s="68" t="n">
        <v>-11</v>
      </c>
      <c r="E14" s="68" t="n">
        <v>385</v>
      </c>
      <c r="F14" s="68" t="n">
        <v>-171</v>
      </c>
      <c r="G14" s="68" t="n">
        <v>27358</v>
      </c>
      <c r="H14" s="67" t="inlineStr">
        <is>
          <t>RETRIEVED</t>
        </is>
      </c>
      <c r="I14" s="67" t="inlineStr">
        <is>
          <t>DERIVED</t>
        </is>
      </c>
      <c r="J14" s="67" t="inlineStr">
        <is>
          <t>CHTR-Q2-2026-Earnings-Release-Ex99.1.md</t>
        </is>
      </c>
      <c r="K14" s="65" t="inlineStr">
        <is>
          <t>Voice net adds = change in published ending residential voice customers; the filing does not print a voice net-add line. Mobile is lines, not customers. Do not net lines against Internet customers. Internet is residential, not total Internet.</t>
        </is>
      </c>
    </row>
    <row r="15">
      <c r="A15" s="67" t="inlineStr">
        <is>
          <t>T11</t>
        </is>
      </c>
      <c r="B15" s="67" t="inlineStr">
        <is>
          <t>Sum 2024Q1–2026Q2</t>
        </is>
      </c>
      <c r="C15" s="68" t="n">
        <v>-1186</v>
      </c>
      <c r="D15" s="68" t="n">
        <v>-1493</v>
      </c>
      <c r="E15" s="68" t="n">
        <v>4585</v>
      </c>
      <c r="F15" s="68" t="n">
        <v>-2218</v>
      </c>
      <c r="G15" s="67" t="n"/>
      <c r="H15" s="67" t="inlineStr">
        <is>
          <t>DERIVED</t>
        </is>
      </c>
      <c r="I15" s="67" t="inlineStr">
        <is>
          <t>DERIVED</t>
        </is>
      </c>
      <c r="J15" s="67" t="inlineStr">
        <is>
          <t>Sum of T1–T10</t>
        </is>
      </c>
      <c r="K15" s="65" t="inlineStr">
        <is>
          <t>Ten-quarter sum. Not a net of mobile lines against Internet customers.</t>
        </is>
      </c>
    </row>
  </sheetData>
  <autoFilter ref="A4:K15"/>
  <mergeCells count="2">
    <mergeCell ref="A2:K2"/>
    <mergeCell ref="A1:K1"/>
  </mergeCells>
  <pageMargins left="0.75" right="0.75" top="1" bottom="1" header="0.5" footer="0.5"/>
  <pageSetup orientation="landscape" fitToHeight="1" fitToWidth="1"/>
  <headerFooter>
    <oddHeader>&amp;LResidential Internet net adds stayed negative for 10 straight quarters, through −166,000 in Q2 2026</oddHeader>
    <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H25"/>
  <sheetViews>
    <sheetView showGridLines="0" workbookViewId="0">
      <pane ySplit="4" topLeftCell="A5" activePane="bottomLeft" state="frozen"/>
      <selection pane="bottomLeft" activeCell="A1" sqref="A1"/>
    </sheetView>
  </sheetViews>
  <sheetFormatPr baseColWidth="8" defaultRowHeight="15"/>
  <cols>
    <col width="12" customWidth="1" style="34" min="1" max="1"/>
    <col width="62" customWidth="1" style="34" min="2" max="2"/>
    <col width="18" customWidth="1" style="34" min="3" max="3"/>
    <col width="18" customWidth="1" style="34" min="4" max="4"/>
    <col width="18" customWidth="1" style="34" min="5" max="5"/>
    <col width="18" customWidth="1" style="34" min="6" max="6"/>
    <col width="48" customWidth="1" style="34" min="7" max="7"/>
    <col width="70" customWidth="1" style="34" min="8" max="8"/>
  </cols>
  <sheetData>
    <row r="1" ht="36" customHeight="1" s="34">
      <c r="A1" s="59" t="inlineStr">
        <is>
          <t>No contribution dollar per Internet PSU is published; principal is $93.8 billion at 4.18x</t>
        </is>
      </c>
    </row>
    <row r="2" ht="32" customHeight="1" s="34">
      <c r="A2" s="60" t="inlineStr">
        <is>
          <t>CHTR-Q2-2026-Earnings-Release-Ex99.1.md; CHTR-10-Q-Q2-2026.md; CHTR-10-K-FY2025.md note 15 and the income statement. Blank rows are not zeros and not estimates. Analysis, not a recommendation to launch.</t>
        </is>
      </c>
    </row>
    <row r="4" ht="32" customHeight="1" s="34">
      <c r="A4" s="61" t="inlineStr">
        <is>
          <t>Line</t>
        </is>
      </c>
      <c r="B4" s="61" t="inlineStr">
        <is>
          <t>Item</t>
        </is>
      </c>
      <c r="C4" s="61" t="inlineStr">
        <is>
          <t>Value</t>
        </is>
      </c>
      <c r="D4" s="61" t="inlineStr">
        <is>
          <t>Unit</t>
        </is>
      </c>
      <c r="E4" s="61" t="inlineStr">
        <is>
          <t>Period</t>
        </is>
      </c>
      <c r="F4" s="61" t="inlineStr">
        <is>
          <t>Tag</t>
        </is>
      </c>
      <c r="G4" s="61" t="inlineStr">
        <is>
          <t>Source file</t>
        </is>
      </c>
      <c r="H4" s="61" t="inlineStr">
        <is>
          <t>Note</t>
        </is>
      </c>
    </row>
    <row r="5">
      <c r="A5" s="67" t="inlineStr">
        <is>
          <t>U1</t>
        </is>
      </c>
      <c r="B5" s="67" t="inlineStr">
        <is>
          <t>Monthly residential revenue per residential customer</t>
        </is>
      </c>
      <c r="C5" s="70" t="n">
        <v>117.52</v>
      </c>
      <c r="D5" s="67" t="inlineStr">
        <is>
          <t>dollars per month</t>
        </is>
      </c>
      <c r="E5" s="67" t="inlineStr">
        <is>
          <t>Q2 2026</t>
        </is>
      </c>
      <c r="F5" s="67" t="inlineStr">
        <is>
          <t>RETRIEVED</t>
        </is>
      </c>
      <c r="G5" s="67" t="inlineStr">
        <is>
          <t>CHTR-Q2-2026-Earnings-Release-Ex99.1.md</t>
        </is>
      </c>
      <c r="H5" s="65" t="inlineStr">
        <is>
          <t>Total residential quarterly revenue / 3 / average residential customer relationships. Blended across products. Not Internet ARPU.</t>
        </is>
      </c>
    </row>
    <row r="6">
      <c r="A6" s="67" t="inlineStr">
        <is>
          <t>U2</t>
        </is>
      </c>
      <c r="B6" s="67" t="inlineStr">
        <is>
          <t>Monthly residential revenue per residential customer</t>
        </is>
      </c>
      <c r="C6" s="70" t="n">
        <v>118.44</v>
      </c>
      <c r="D6" s="67" t="inlineStr">
        <is>
          <t>dollars per month</t>
        </is>
      </c>
      <c r="E6" s="67" t="inlineStr">
        <is>
          <t>Q1 2026</t>
        </is>
      </c>
      <c r="F6" s="67" t="inlineStr">
        <is>
          <t>RETRIEVED</t>
        </is>
      </c>
      <c r="G6" s="67" t="inlineStr">
        <is>
          <t>CHTR-Q2-2026-Earnings-Release-Ex99.1.md</t>
        </is>
      </c>
      <c r="H6" s="65" t="inlineStr">
        <is>
          <t>Same definition. Restated in the Q2 operating statistics.</t>
        </is>
      </c>
    </row>
    <row r="7">
      <c r="A7" s="67" t="inlineStr">
        <is>
          <t>U3</t>
        </is>
      </c>
      <c r="B7" s="67" t="inlineStr">
        <is>
          <t>Monthly residential revenue per residential customer</t>
        </is>
      </c>
      <c r="C7" s="70" t="n">
        <v>119.7</v>
      </c>
      <c r="D7" s="67" t="inlineStr">
        <is>
          <t>dollars per month</t>
        </is>
      </c>
      <c r="E7" s="67" t="inlineStr">
        <is>
          <t>Q2 2025</t>
        </is>
      </c>
      <c r="F7" s="67" t="inlineStr">
        <is>
          <t>RETRIEVED</t>
        </is>
      </c>
      <c r="G7" s="67" t="inlineStr">
        <is>
          <t>CHTR-Q2-2026-Earnings-Release-Ex99.1.md</t>
        </is>
      </c>
      <c r="H7" s="65" t="inlineStr">
        <is>
          <t>Year-ago blended figure. The release states a 1.8% decline vs Q2 2026.</t>
        </is>
      </c>
    </row>
    <row r="8">
      <c r="A8" s="67" t="inlineStr">
        <is>
          <t>U4</t>
        </is>
      </c>
      <c r="B8" s="67" t="inlineStr">
        <is>
          <t>Internet ARPU</t>
        </is>
      </c>
      <c r="C8" s="67" t="n"/>
      <c r="D8" s="67" t="inlineStr">
        <is>
          <t>dollars per month</t>
        </is>
      </c>
      <c r="E8" s="67" t="n"/>
      <c r="F8" s="67" t="inlineStr">
        <is>
          <t>NOT IN FILING</t>
        </is>
      </c>
      <c r="G8" s="67" t="n"/>
      <c r="H8" s="65" t="inlineStr">
        <is>
          <t>Not published. Do not use the blended residential figure as Internet ARPU.</t>
        </is>
      </c>
    </row>
    <row r="9">
      <c r="A9" s="67" t="inlineStr">
        <is>
          <t>U5</t>
        </is>
      </c>
      <c r="B9" s="67" t="inlineStr">
        <is>
          <t>Video programming costs</t>
        </is>
      </c>
      <c r="C9" s="68" t="n">
        <v>8822</v>
      </c>
      <c r="D9" s="67" t="inlineStr">
        <is>
          <t>USD millions</t>
        </is>
      </c>
      <c r="E9" s="67" t="inlineStr">
        <is>
          <t>FY2025</t>
        </is>
      </c>
      <c r="F9" s="67" t="inlineStr">
        <is>
          <t>RETRIEVED</t>
        </is>
      </c>
      <c r="G9" s="67" t="inlineStr">
        <is>
          <t>CHTR-10-K-FY2025.md</t>
        </is>
      </c>
      <c r="H9" s="65" t="inlineStr">
        <is>
          <t>Note 15. FY Ex99.1 prints the same $8,822 million. 10-K prose says approximately $8.8 billion.</t>
        </is>
      </c>
    </row>
    <row r="10">
      <c r="A10" s="67" t="inlineStr">
        <is>
          <t>U6</t>
        </is>
      </c>
      <c r="B10" s="67" t="inlineStr">
        <is>
          <t>Video programming costs</t>
        </is>
      </c>
      <c r="C10" s="68" t="n">
        <v>9653</v>
      </c>
      <c r="D10" s="67" t="inlineStr">
        <is>
          <t>USD millions</t>
        </is>
      </c>
      <c r="E10" s="67" t="inlineStr">
        <is>
          <t>FY2024</t>
        </is>
      </c>
      <c r="F10" s="67" t="inlineStr">
        <is>
          <t>RETRIEVED</t>
        </is>
      </c>
      <c r="G10" s="67" t="inlineStr">
        <is>
          <t>CHTR-10-K-FY2025.md</t>
        </is>
      </c>
      <c r="H10" s="65" t="inlineStr">
        <is>
          <t>Note 15. 10-K prose says approximately $9.7 billion.</t>
        </is>
      </c>
    </row>
    <row r="11">
      <c r="A11" s="67" t="inlineStr">
        <is>
          <t>U7</t>
        </is>
      </c>
      <c r="B11" s="67" t="inlineStr">
        <is>
          <t>Total operating costs and expenses</t>
        </is>
      </c>
      <c r="C11" s="68" t="n">
        <v>32739</v>
      </c>
      <c r="D11" s="67" t="inlineStr">
        <is>
          <t>USD millions</t>
        </is>
      </c>
      <c r="E11" s="67" t="inlineStr">
        <is>
          <t>FY2025</t>
        </is>
      </c>
      <c r="F11" s="67" t="inlineStr">
        <is>
          <t>RETRIEVED</t>
        </is>
      </c>
      <c r="G11" s="67" t="inlineStr">
        <is>
          <t>CHTR-10-K-FY2025.md</t>
        </is>
      </c>
      <c r="H11" s="65" t="inlineStr">
        <is>
          <t>Note 15 total, including stock compensation. Components sum to this figure.</t>
        </is>
      </c>
    </row>
    <row r="12">
      <c r="A12" s="67" t="inlineStr">
        <is>
          <t>U8</t>
        </is>
      </c>
      <c r="B12" s="67" t="inlineStr">
        <is>
          <t>Total operating costs and expenses</t>
        </is>
      </c>
      <c r="C12" s="68" t="n">
        <v>33167</v>
      </c>
      <c r="D12" s="67" t="inlineStr">
        <is>
          <t>USD millions</t>
        </is>
      </c>
      <c r="E12" s="67" t="inlineStr">
        <is>
          <t>FY2024</t>
        </is>
      </c>
      <c r="F12" s="67" t="inlineStr">
        <is>
          <t>RETRIEVED</t>
        </is>
      </c>
      <c r="G12" s="67" t="inlineStr">
        <is>
          <t>CHTR-10-K-FY2025.md</t>
        </is>
      </c>
      <c r="H12" s="65" t="inlineStr">
        <is>
          <t>Note 15 total.</t>
        </is>
      </c>
    </row>
    <row r="13">
      <c r="A13" s="67" t="inlineStr">
        <is>
          <t>U9</t>
        </is>
      </c>
      <c r="B13" s="67" t="inlineStr">
        <is>
          <t>Programming share of operating costs</t>
        </is>
      </c>
      <c r="C13" s="69" t="n">
        <v>0.269464553</v>
      </c>
      <c r="D13" s="67" t="inlineStr">
        <is>
          <t>share of opex</t>
        </is>
      </c>
      <c r="E13" s="67" t="inlineStr">
        <is>
          <t>FY2025</t>
        </is>
      </c>
      <c r="F13" s="67" t="inlineStr">
        <is>
          <t>DERIVED</t>
        </is>
      </c>
      <c r="G13" s="67" t="inlineStr">
        <is>
          <t>CHTR-10-K-FY2025.md</t>
        </is>
      </c>
      <c r="H13" s="65" t="inlineStr">
        <is>
          <t>8822/32739 displays as 26.9%. 10-K prose rounds to 27%.</t>
        </is>
      </c>
    </row>
    <row r="14">
      <c r="A14" s="67" t="inlineStr">
        <is>
          <t>U10</t>
        </is>
      </c>
      <c r="B14" s="67" t="inlineStr">
        <is>
          <t>Programming share of operating costs</t>
        </is>
      </c>
      <c r="C14" s="69" t="n">
        <v>0.2910423011</v>
      </c>
      <c r="D14" s="67" t="inlineStr">
        <is>
          <t>share of opex</t>
        </is>
      </c>
      <c r="E14" s="67" t="inlineStr">
        <is>
          <t>FY2024</t>
        </is>
      </c>
      <c r="F14" s="67" t="inlineStr">
        <is>
          <t>DERIVED</t>
        </is>
      </c>
      <c r="G14" s="67" t="inlineStr">
        <is>
          <t>CHTR-10-K-FY2025.md</t>
        </is>
      </c>
      <c r="H14" s="65" t="inlineStr">
        <is>
          <t>9653/33167 displays as 29.1%. 10-K prose rounds to 29%.</t>
        </is>
      </c>
    </row>
    <row r="15">
      <c r="A15" s="67" t="inlineStr">
        <is>
          <t>U11</t>
        </is>
      </c>
      <c r="B15" s="67" t="inlineStr">
        <is>
          <t>Interest expense, net</t>
        </is>
      </c>
      <c r="C15" s="68" t="n">
        <v>5042</v>
      </c>
      <c r="D15" s="67" t="inlineStr">
        <is>
          <t>USD millions</t>
        </is>
      </c>
      <c r="E15" s="67" t="inlineStr">
        <is>
          <t>FY2025</t>
        </is>
      </c>
      <c r="F15" s="67" t="inlineStr">
        <is>
          <t>RETRIEVED</t>
        </is>
      </c>
      <c r="G15" s="67" t="inlineStr">
        <is>
          <t>CHTR-10-K-FY2025.md</t>
        </is>
      </c>
      <c r="H15" s="65" t="inlineStr">
        <is>
          <t>Income statement. Equals $5.042 billion. Not an Internet cost allocation.</t>
        </is>
      </c>
    </row>
    <row r="16">
      <c r="A16" s="67" t="inlineStr">
        <is>
          <t>U12</t>
        </is>
      </c>
      <c r="B16" s="67" t="inlineStr">
        <is>
          <t>Principal amount of debt</t>
        </is>
      </c>
      <c r="C16" s="71" t="n">
        <v>93.8</v>
      </c>
      <c r="D16" s="67" t="inlineStr">
        <is>
          <t>USD billions</t>
        </is>
      </c>
      <c r="E16" s="67" t="inlineStr">
        <is>
          <t>30 Jun 2026</t>
        </is>
      </c>
      <c r="F16" s="67" t="inlineStr">
        <is>
          <t>RETRIEVED</t>
        </is>
      </c>
      <c r="G16" s="67" t="inlineStr">
        <is>
          <t>CHTR-Q2-2026-Earnings-Release-Ex99.1.md</t>
        </is>
      </c>
      <c r="H16" s="65" t="inlineStr">
        <is>
          <t>Also stated in CHTR-10-Q-Q2-2026.md. Constraint on spending density as a consumer price war.</t>
        </is>
      </c>
    </row>
    <row r="17">
      <c r="A17" s="67" t="inlineStr">
        <is>
          <t>U13</t>
        </is>
      </c>
      <c r="B17" s="67" t="inlineStr">
        <is>
          <t>Net debt / LTM Adjusted EBITDA</t>
        </is>
      </c>
      <c r="C17" s="70" t="n">
        <v>4.18</v>
      </c>
      <c r="D17" s="67" t="inlineStr">
        <is>
          <t>times</t>
        </is>
      </c>
      <c r="E17" s="67" t="inlineStr">
        <is>
          <t>30 Jun 2026</t>
        </is>
      </c>
      <c r="F17" s="67" t="inlineStr">
        <is>
          <t>RETRIEVED</t>
        </is>
      </c>
      <c r="G17" s="67" t="inlineStr">
        <is>
          <t>CHTR-10-Q-Q2-2026.md</t>
        </is>
      </c>
      <c r="H17" s="65" t="inlineStr">
        <is>
          <t>Charter's leverage ratio, as stated. Not recomputed here.</t>
        </is>
      </c>
    </row>
    <row r="18">
      <c r="A18" s="67" t="inlineStr">
        <is>
          <t>U14</t>
        </is>
      </c>
      <c r="B18" s="67" t="inlineStr">
        <is>
          <t>Cash and cash equivalents</t>
        </is>
      </c>
      <c r="C18" s="68" t="n">
        <v>509</v>
      </c>
      <c r="D18" s="67" t="inlineStr">
        <is>
          <t>USD millions</t>
        </is>
      </c>
      <c r="E18" s="67" t="inlineStr">
        <is>
          <t>30 Jun 2026</t>
        </is>
      </c>
      <c r="F18" s="67" t="inlineStr">
        <is>
          <t>RETRIEVED</t>
        </is>
      </c>
      <c r="G18" s="67" t="inlineStr">
        <is>
          <t>CHTR-Q2-2026-Earnings-Release-Ex99.1.md</t>
        </is>
      </c>
      <c r="H18" s="65" t="inlineStr">
        <is>
          <t>Balance sheet and the liquidity sentence.</t>
        </is>
      </c>
    </row>
    <row r="19">
      <c r="A19" s="67" t="inlineStr">
        <is>
          <t>U15</t>
        </is>
      </c>
      <c r="B19" s="67" t="inlineStr">
        <is>
          <t>Estimated passings</t>
        </is>
      </c>
      <c r="C19" s="68" t="n">
        <v>58981</v>
      </c>
      <c r="D19" s="67" t="inlineStr">
        <is>
          <t>thousands</t>
        </is>
      </c>
      <c r="E19" s="67" t="inlineStr">
        <is>
          <t>30 Jun 2026</t>
        </is>
      </c>
      <c r="F19" s="67" t="inlineStr">
        <is>
          <t>RETRIEVED</t>
        </is>
      </c>
      <c r="G19" s="67" t="inlineStr">
        <is>
          <t>CHTR-Q2-2026-Earnings-Release-Ex99.1.md</t>
        </is>
      </c>
      <c r="H19" s="65" t="inlineStr">
        <is>
          <t>Homes and business sites. Not a residential-only homes count.</t>
        </is>
      </c>
    </row>
    <row r="20">
      <c r="A20" s="67" t="inlineStr">
        <is>
          <t>U16</t>
        </is>
      </c>
      <c r="B20" s="67" t="inlineStr">
        <is>
          <t>Customer-relationship penetration of passings</t>
        </is>
      </c>
      <c r="C20" s="69" t="n">
        <v>0.534</v>
      </c>
      <c r="D20" s="67" t="inlineStr">
        <is>
          <t>share</t>
        </is>
      </c>
      <c r="E20" s="67" t="inlineStr">
        <is>
          <t>30 Jun 2026</t>
        </is>
      </c>
      <c r="F20" s="67" t="inlineStr">
        <is>
          <t>RETRIEVED</t>
        </is>
      </c>
      <c r="G20" s="67" t="inlineStr">
        <is>
          <t>CHTR-Q2-2026-Earnings-Release-Ex99.1.md</t>
        </is>
      </c>
      <c r="H20" s="65" t="inlineStr">
        <is>
          <t>Printed 53.4%. 31,499/58,981 displays as 53.4%. Includes SMB customers. Not an employee-home take rate.</t>
        </is>
      </c>
    </row>
    <row r="21">
      <c r="A21" s="67" t="inlineStr">
        <is>
          <t>U17</t>
        </is>
      </c>
      <c r="B21" s="67" t="inlineStr">
        <is>
          <t>Contribution per incremental residential Internet PSU</t>
        </is>
      </c>
      <c r="C21" s="67" t="n"/>
      <c r="D21" s="67" t="inlineStr">
        <is>
          <t>USD</t>
        </is>
      </c>
      <c r="E21" s="67" t="n"/>
      <c r="F21" s="67" t="inlineStr">
        <is>
          <t>NOT IN FILING</t>
        </is>
      </c>
      <c r="G21" s="67" t="n"/>
      <c r="H21" s="65" t="inlineStr">
        <is>
          <t>No dollar contribution per incremental PSU is in the filings. Left blank. Not estimated.</t>
        </is>
      </c>
    </row>
    <row r="22">
      <c r="A22" s="67" t="inlineStr">
        <is>
          <t>U18</t>
        </is>
      </c>
      <c r="B22" s="67" t="inlineStr">
        <is>
          <t>CAC for a residential Internet PSU</t>
        </is>
      </c>
      <c r="C22" s="67" t="n"/>
      <c r="D22" s="67" t="inlineStr">
        <is>
          <t>USD</t>
        </is>
      </c>
      <c r="E22" s="67" t="n"/>
      <c r="F22" s="67" t="inlineStr">
        <is>
          <t>NOT IN FILING</t>
        </is>
      </c>
      <c r="G22" s="67" t="n"/>
      <c r="H22" s="65" t="inlineStr">
        <is>
          <t>Left blank. Not estimated.</t>
        </is>
      </c>
    </row>
    <row r="23">
      <c r="A23" s="67" t="inlineStr">
        <is>
          <t>U19</t>
        </is>
      </c>
      <c r="B23" s="67" t="inlineStr">
        <is>
          <t>Employer or broker take-up of Internet-as-benefit</t>
        </is>
      </c>
      <c r="C23" s="67" t="n"/>
      <c r="D23" s="67" t="inlineStr">
        <is>
          <t>share</t>
        </is>
      </c>
      <c r="E23" s="67" t="n"/>
      <c r="F23" s="67" t="inlineStr">
        <is>
          <t>NOT IN FILING</t>
        </is>
      </c>
      <c r="G23" s="67" t="n"/>
      <c r="H23" s="65" t="inlineStr">
        <is>
          <t>Left blank. Not estimated. Channel M13 stays blank.</t>
        </is>
      </c>
    </row>
    <row r="24">
      <c r="A24" s="67" t="inlineStr">
        <is>
          <t>U20</t>
        </is>
      </c>
      <c r="B24" s="67" t="inlineStr">
        <is>
          <t>Broker commission</t>
        </is>
      </c>
      <c r="C24" s="67" t="n"/>
      <c r="D24" s="67" t="inlineStr">
        <is>
          <t>USD</t>
        </is>
      </c>
      <c r="E24" s="67" t="n"/>
      <c r="F24" s="67" t="inlineStr">
        <is>
          <t>NOT IN FILING</t>
        </is>
      </c>
      <c r="G24" s="67" t="n"/>
      <c r="H24" s="65" t="inlineStr">
        <is>
          <t>Left blank. Not estimated.</t>
        </is>
      </c>
    </row>
    <row r="25">
      <c r="A25" s="67" t="inlineStr">
        <is>
          <t>U21</t>
        </is>
      </c>
      <c r="B25" s="67" t="inlineStr">
        <is>
          <t>Subsidy tied to this channel</t>
        </is>
      </c>
      <c r="C25" s="67" t="n"/>
      <c r="D25" s="67" t="inlineStr">
        <is>
          <t>USD</t>
        </is>
      </c>
      <c r="E25" s="67" t="n"/>
      <c r="F25" s="67" t="inlineStr">
        <is>
          <t>NOT IN FILING</t>
        </is>
      </c>
      <c r="G25" s="67" t="n"/>
      <c r="H25" s="65" t="inlineStr">
        <is>
          <t>Left blank. Rural construction subsidies are a different channel and are not used here.</t>
        </is>
      </c>
    </row>
  </sheetData>
  <autoFilter ref="A4:H25"/>
  <mergeCells count="2">
    <mergeCell ref="A2:H2"/>
    <mergeCell ref="A1:H1"/>
  </mergeCells>
  <pageMargins left="0.75" right="0.75" top="1" bottom="1" header="0.5" footer="0.5"/>
  <pageSetup orientation="landscape" fitToHeight="1" fitToWidth="1"/>
  <headerFooter>
    <oddHeader>&amp;LNo contribution dollar per Internet PSU is published; principal is $93.8 billion at 4.18x</oddHeader>
    <oddFooter/>
    <evenHeader/>
    <evenFooter/>
    <firstHeader/>
    <firstFooter/>
  </headerFooter>
</worksheet>
</file>

<file path=xl/worksheets/sheet41.xml><?xml version="1.0" encoding="utf-8"?>
<worksheet xmlns="http://schemas.openxmlformats.org/spreadsheetml/2006/main">
  <sheetPr>
    <tabColor rgb="009B2C2C"/>
    <outlinePr summaryBelow="1" summaryRight="1"/>
    <pageSetUpPr fitToPage="1"/>
  </sheetPr>
  <dimension ref="A1:F115"/>
  <sheetViews>
    <sheetView showGridLines="0" zoomScale="110" workbookViewId="0">
      <pane ySplit="1" topLeftCell="A2" activePane="bottomLeft" state="frozen"/>
      <selection pane="bottomLeft" activeCell="A1" sqref="A1"/>
    </sheetView>
  </sheetViews>
  <sheetFormatPr baseColWidth="8" defaultRowHeight="15"/>
  <cols>
    <col width="58" customWidth="1" style="34" min="1" max="1"/>
    <col width="72" customWidth="1" style="34" min="2" max="2"/>
    <col width="36" customWidth="1" style="34" min="3" max="3"/>
    <col width="24" customWidth="1" style="34" min="4" max="4"/>
    <col width="78" customWidth="1" style="34" min="5" max="5"/>
    <col width="64" customWidth="1" style="34" min="6" max="6"/>
  </cols>
  <sheetData>
    <row r="1" ht="24" customHeight="1" s="34">
      <c r="A1" s="72" t="inlineStr">
        <is>
          <t>Executive Summary — EH&amp;B talk track</t>
        </is>
      </c>
    </row>
    <row r="2" ht="20" customHeight="1" s="34">
      <c r="A2" s="73" t="inlineStr">
        <is>
          <t>Recommendation</t>
        </is>
      </c>
      <c r="B2" s="74" t="n"/>
      <c r="C2" s="74" t="n"/>
      <c r="D2" s="74" t="n"/>
      <c r="E2" s="74" t="n"/>
      <c r="F2" s="74" t="n"/>
    </row>
    <row r="3">
      <c r="A3" s="75" t="inlineStr">
        <is>
          <t>Item</t>
        </is>
      </c>
      <c r="B3" s="75" t="inlineStr">
        <is>
          <t>Text</t>
        </is>
      </c>
    </row>
    <row r="4" ht="78" customHeight="1" s="34">
      <c r="A4" s="76" t="inlineStr">
        <is>
          <t>Channel</t>
        </is>
      </c>
      <c r="B4" s="76" t="inlineStr">
        <is>
          <t>Employee Health &amp; Benefits: a corporate or broker door that can open one residential Spectrum Internet account at the employee’s home. Productivity is the pitch, not the KPI. This is not the other use of EH&amp;B in this project (existing homes and businesses), though the account has to land on plant already passed.</t>
        </is>
      </c>
    </row>
    <row r="5" ht="96" customHeight="1" s="34">
      <c r="A5" s="76" t="inlineStr">
        <is>
          <t>Recommendation</t>
        </is>
      </c>
      <c r="B5" s="76" t="inlineStr">
        <is>
          <t>This quarter, stand up a quarterly residential-Internet net-loss tracker on the core (who left and why), and only if the fill is fixed wireless or housing among non-movers, authorize a two-quarter test of one employer-paid residential Spectrum Internet account on plant already passed; refuse it if the home is off plant, the household already has Spectrum, or the line dies when employment ends.</t>
        </is>
      </c>
    </row>
    <row r="6" ht="36" customHeight="1" s="34">
      <c r="A6" s="76" t="inlineStr">
        <is>
          <t>Retrieved</t>
        </is>
      </c>
      <c r="B6" s="76" t="inlineStr">
        <is>
          <t>A figure printed in a filing or official table used here: Ex99.1, the 10-Q, the 10-K, or the Q1 2026 trending schedule.</t>
        </is>
      </c>
    </row>
    <row r="7" ht="52" customHeight="1" s="34">
      <c r="A7" s="76" t="inlineStr">
        <is>
          <t>Derived</t>
        </is>
      </c>
      <c r="B7" s="76" t="inlineStr">
        <is>
          <t>A figure computed from retrieved inputs. The implied monthly rate and the −$90 / +$12 split are derived. They are a cross-check. They do not replace the printed 10-Q bridge of −$87 million volume and +$9 million rate.</t>
        </is>
      </c>
    </row>
    <row r="8" ht="48" customHeight="1" s="34">
      <c r="A8" s="76" t="inlineStr">
        <is>
          <t>Blank on purpose</t>
        </is>
      </c>
      <c r="B8" s="76" t="inlineStr">
        <is>
          <t>Contribution per incremental Internet account and consumer acquisition cost are not in the filings. Those cells are empty. No take-up rate is estimated.</t>
        </is>
      </c>
    </row>
    <row r="9" ht="30" customHeight="1" s="34">
      <c r="A9" s="76" t="inlineStr">
        <is>
          <t>Arithmetic</t>
        </is>
      </c>
      <c r="B9" s="76" t="inlineStr">
        <is>
          <t>Analysis/ehb-unit-economics/recompute_rate_volume.py writes out/summary.json. This workbook reads that file.</t>
        </is>
      </c>
    </row>
    <row r="13" ht="20" customHeight="1" s="34">
      <c r="A13" s="73" t="inlineStr">
        <is>
          <t>Critical values</t>
        </is>
      </c>
      <c r="B13" s="74" t="n"/>
      <c r="C13" s="74" t="n"/>
      <c r="D13" s="74" t="n"/>
      <c r="E13" s="74" t="n"/>
      <c r="F13" s="74" t="n"/>
    </row>
    <row r="14">
      <c r="A14" s="75" t="inlineStr">
        <is>
          <t>Metric</t>
        </is>
      </c>
      <c r="B14" s="75" t="inlineStr">
        <is>
          <t>Value</t>
        </is>
      </c>
      <c r="C14" s="75" t="inlineStr">
        <is>
          <t>Period</t>
        </is>
      </c>
      <c r="D14" s="75" t="inlineStr">
        <is>
          <t>Retrieved or derived</t>
        </is>
      </c>
      <c r="E14" s="75" t="inlineStr">
        <is>
          <t>Source file</t>
        </is>
      </c>
      <c r="F14" s="75" t="inlineStr">
        <is>
          <t>Do not confuse</t>
        </is>
      </c>
    </row>
    <row r="15">
      <c r="A15" s="76" t="inlineStr">
        <is>
          <t>Company revenue</t>
        </is>
      </c>
      <c r="B15" s="77" t="n">
        <v>13597</v>
      </c>
      <c r="C15" s="76" t="inlineStr">
        <is>
          <t>Q1 2026</t>
        </is>
      </c>
      <c r="D15" s="76" t="inlineStr">
        <is>
          <t>Retrieved</t>
        </is>
      </c>
      <c r="E15" s="76" t="inlineStr">
        <is>
          <t>PrimarySources/readable/CHTR-Q1-2026-Earnings-Release-Ex99.1.md</t>
        </is>
      </c>
      <c r="F15" s="76" t="inlineStr">
        <is>
          <t>Millions of dollars. Not a stock price.</t>
        </is>
      </c>
    </row>
    <row r="16">
      <c r="A16" s="76" t="inlineStr">
        <is>
          <t>Internet revenue</t>
        </is>
      </c>
      <c r="B16" s="77" t="n">
        <v>5852</v>
      </c>
      <c r="C16" s="76" t="inlineStr">
        <is>
          <t>Q1 2026</t>
        </is>
      </c>
      <c r="D16" s="76" t="inlineStr">
        <is>
          <t>Retrieved</t>
        </is>
      </c>
      <c r="E16" s="76" t="inlineStr">
        <is>
          <t>PrimarySources/readable/CHTR-Q1-2026-Earnings-Release-Ex99.1.md</t>
        </is>
      </c>
      <c r="F16" s="76" t="inlineStr">
        <is>
          <t>Residential product line inside residential revenue. Not SMB Internet.</t>
        </is>
      </c>
    </row>
    <row r="17">
      <c r="A17" s="76" t="inlineStr">
        <is>
          <t>Internet revenue, prior year</t>
        </is>
      </c>
      <c r="B17" s="77" t="n">
        <v>5930</v>
      </c>
      <c r="C17" s="76" t="inlineStr">
        <is>
          <t>Q1 2025</t>
        </is>
      </c>
      <c r="D17" s="76" t="inlineStr">
        <is>
          <t>Retrieved</t>
        </is>
      </c>
      <c r="E17" s="76" t="inlineStr">
        <is>
          <t>PrimarySources/readable/CHTR-Q1-2026-Earnings-Release-Ex99.1.md</t>
        </is>
      </c>
      <c r="F17" s="76" t="n"/>
    </row>
    <row r="18">
      <c r="A18" s="76" t="inlineStr">
        <is>
          <t>Internet revenue change</t>
        </is>
      </c>
      <c r="B18" s="77" t="n">
        <v>-78</v>
      </c>
      <c r="C18" s="76" t="inlineStr">
        <is>
          <t>Q1 2026 vs Q1 2025</t>
        </is>
      </c>
      <c r="D18" s="76" t="inlineStr">
        <is>
          <t>Retrieved</t>
        </is>
      </c>
      <c r="E18" s="76" t="inlineStr">
        <is>
          <t>PrimarySources/readable/CHTR-Q1-2026-Earnings-Release-Ex99.1.md</t>
        </is>
      </c>
      <c r="F18" s="76" t="inlineStr">
        <is>
          <t>Millions. Printed −1.3%. Not the derived −$90.</t>
        </is>
      </c>
    </row>
    <row r="19">
      <c r="A19" s="76" t="inlineStr">
        <is>
          <t>Internet share of revenue</t>
        </is>
      </c>
      <c r="B19" s="78" t="n">
        <v>0.430389</v>
      </c>
      <c r="C19" s="76" t="inlineStr">
        <is>
          <t>Q1 2026</t>
        </is>
      </c>
      <c r="D19" s="76" t="inlineStr">
        <is>
          <t>Derived</t>
        </is>
      </c>
      <c r="E19" s="76" t="inlineStr">
        <is>
          <t>Ex99.1 dollars; share = 5,852 / 13,597</t>
        </is>
      </c>
      <c r="F19" s="76" t="inlineStr">
        <is>
          <t>Displays as 43%. Not a customer share.</t>
        </is>
      </c>
    </row>
    <row r="20" ht="30" customHeight="1" s="34">
      <c r="A20" s="76" t="inlineStr">
        <is>
          <t>Residential Internet net additions (000s)</t>
        </is>
      </c>
      <c r="B20" s="77" t="n">
        <v>-117</v>
      </c>
      <c r="C20" s="76" t="inlineStr">
        <is>
          <t>Q1 2026</t>
        </is>
      </c>
      <c r="D20" s="76" t="inlineStr">
        <is>
          <t>Retrieved</t>
        </is>
      </c>
      <c r="E20" s="76" t="inlineStr">
        <is>
          <t>PrimarySources/readable/CHTR-Q1-2026-Earnings-Release-Ex99.1.md</t>
        </is>
      </c>
      <c r="F20" s="76" t="inlineStr">
        <is>
          <t>Not total Internet (−120). Not the −455,000 year-over-year ending-customer change.</t>
        </is>
      </c>
    </row>
    <row r="21">
      <c r="A21" s="76" t="inlineStr">
        <is>
          <t>Volume, printed bridge</t>
        </is>
      </c>
      <c r="B21" s="77" t="n">
        <v>-87</v>
      </c>
      <c r="C21" s="76" t="inlineStr">
        <is>
          <t>Q1 2026</t>
        </is>
      </c>
      <c r="D21" s="76" t="inlineStr">
        <is>
          <t>Retrieved</t>
        </is>
      </c>
      <c r="E21" s="76" t="inlineStr">
        <is>
          <t>PrimarySources/readable/CHTR-10-Q-Q1-2026.md</t>
        </is>
      </c>
      <c r="F21" s="76" t="inlineStr">
        <is>
          <t>Headline split. Do not replace with the derived −$90.</t>
        </is>
      </c>
    </row>
    <row r="22">
      <c r="A22" s="76" t="inlineStr">
        <is>
          <t>Rate and product mix, printed bridge</t>
        </is>
      </c>
      <c r="B22" s="77" t="n">
        <v>9</v>
      </c>
      <c r="C22" s="76" t="inlineStr">
        <is>
          <t>Q1 2026</t>
        </is>
      </c>
      <c r="D22" s="76" t="inlineStr">
        <is>
          <t>Retrieved</t>
        </is>
      </c>
      <c r="E22" s="76" t="inlineStr">
        <is>
          <t>PrimarySources/readable/CHTR-10-Q-Q1-2026.md</t>
        </is>
      </c>
      <c r="F22" s="76" t="inlineStr">
        <is>
          <t>Headline split. Do not replace with the derived +$12.</t>
        </is>
      </c>
    </row>
    <row r="23">
      <c r="A23" s="76" t="inlineStr">
        <is>
          <t>Implied Internet rate, this year</t>
        </is>
      </c>
      <c r="B23" s="79" t="n">
        <v>70.72</v>
      </c>
      <c r="C23" s="76" t="inlineStr">
        <is>
          <t>Q1 2026</t>
        </is>
      </c>
      <c r="D23" s="76" t="inlineStr">
        <is>
          <t>Derived</t>
        </is>
      </c>
      <c r="E23" s="76" t="inlineStr">
        <is>
          <t>Analysis/ehb-unit-economics/out/summary.json</t>
        </is>
      </c>
      <c r="F23" s="76" t="inlineStr">
        <is>
          <t>Dollars per month. Not a printed ARPU.</t>
        </is>
      </c>
    </row>
    <row r="24">
      <c r="A24" s="76" t="inlineStr">
        <is>
          <t>Implied Internet rate, prior year</t>
        </is>
      </c>
      <c r="B24" s="79" t="n">
        <v>70.58</v>
      </c>
      <c r="C24" s="76" t="inlineStr">
        <is>
          <t>Q1 2025</t>
        </is>
      </c>
      <c r="D24" s="76" t="inlineStr">
        <is>
          <t>Derived</t>
        </is>
      </c>
      <c r="E24" s="76" t="inlineStr">
        <is>
          <t>Analysis/ehb-unit-economics/out/summary.json</t>
        </is>
      </c>
      <c r="F24" s="76" t="inlineStr">
        <is>
          <t>Dollars per month. Not a printed ARPU.</t>
        </is>
      </c>
    </row>
    <row r="25">
      <c r="A25" s="76" t="inlineStr">
        <is>
          <t>Extra rate to hold dollars flat</t>
        </is>
      </c>
      <c r="B25" s="79" t="n">
        <v>0.9399999999999999</v>
      </c>
      <c r="C25" s="76" t="inlineStr">
        <is>
          <t>Q1 2026</t>
        </is>
      </c>
      <c r="D25" s="76" t="inlineStr">
        <is>
          <t>Derived</t>
        </is>
      </c>
      <c r="E25" s="76" t="inlineStr">
        <is>
          <t>Analysis/ehb-unit-economics/out/summary.json</t>
        </is>
      </c>
      <c r="F25" s="76" t="inlineStr">
        <is>
          <t>Dollars per month on the derived identity only. Not the 10-Q bridge.</t>
        </is>
      </c>
    </row>
    <row r="26">
      <c r="A26" s="76" t="inlineStr">
        <is>
          <t>FY2025 rate and mix</t>
        </is>
      </c>
      <c r="B26" s="77" t="n">
        <v>785</v>
      </c>
      <c r="C26" s="76" t="inlineStr">
        <is>
          <t>FY2025</t>
        </is>
      </c>
      <c r="D26" s="76" t="inlineStr">
        <is>
          <t>Retrieved</t>
        </is>
      </c>
      <c r="E26" s="76" t="inlineStr">
        <is>
          <t>PrimarySources/readable/CHTR-10-K-FY2025.md</t>
        </is>
      </c>
      <c r="F26" s="76" t="inlineStr">
        <is>
          <t>Residential Internet. Covered the volume decline that year.</t>
        </is>
      </c>
    </row>
    <row r="27">
      <c r="A27" s="76" t="inlineStr">
        <is>
          <t>FY2025 volume</t>
        </is>
      </c>
      <c r="B27" s="77" t="n">
        <v>-380</v>
      </c>
      <c r="C27" s="76" t="inlineStr">
        <is>
          <t>FY2025</t>
        </is>
      </c>
      <c r="D27" s="76" t="inlineStr">
        <is>
          <t>Retrieved</t>
        </is>
      </c>
      <c r="E27" s="76" t="inlineStr">
        <is>
          <t>PrimarySources/readable/CHTR-10-K-FY2025.md</t>
        </is>
      </c>
      <c r="F27" s="76" t="inlineStr">
        <is>
          <t>Decrease in average residential Internet customers.</t>
        </is>
      </c>
    </row>
    <row r="28">
      <c r="A28" s="76" t="inlineStr">
        <is>
          <t>FY2025 residential Internet customers</t>
        </is>
      </c>
      <c r="B28" s="77" t="n">
        <v>-393000</v>
      </c>
      <c r="C28" s="76" t="inlineStr">
        <is>
          <t>FY2025 vs FY2024</t>
        </is>
      </c>
      <c r="D28" s="76" t="inlineStr">
        <is>
          <t>Retrieved</t>
        </is>
      </c>
      <c r="E28" s="76" t="inlineStr">
        <is>
          <t>PrimarySources/readable/CHTR-10-K-FY2025.md</t>
        </is>
      </c>
      <c r="F28" s="76" t="inlineStr">
        <is>
          <t>Customers, not dollars. Not the Q1 −117,000.</t>
        </is>
      </c>
    </row>
    <row r="29">
      <c r="A29" s="76" t="inlineStr">
        <is>
          <t>Company penetration</t>
        </is>
      </c>
      <c r="B29" s="78" t="n">
        <v>0.54</v>
      </c>
      <c r="C29" s="76" t="inlineStr">
        <is>
          <t>31 Mar 2026</t>
        </is>
      </c>
      <c r="D29" s="76" t="inlineStr">
        <is>
          <t>Retrieved</t>
        </is>
      </c>
      <c r="E29" s="76" t="inlineStr">
        <is>
          <t>PrimarySources/readable/CHTR-Q1-2026-Earnings-Release-Ex99.1.md</t>
        </is>
      </c>
      <c r="F29" s="76" t="inlineStr">
        <is>
          <t>Customer relationships / estimated passings. Not Internet-only take.</t>
        </is>
      </c>
    </row>
    <row r="30">
      <c r="A30" s="76" t="inlineStr">
        <is>
          <t>Estimated passings (000s)</t>
        </is>
      </c>
      <c r="B30" s="77" t="n">
        <v>58661</v>
      </c>
      <c r="C30" s="76" t="inlineStr">
        <is>
          <t>31 Mar 2026</t>
        </is>
      </c>
      <c r="D30" s="76" t="inlineStr">
        <is>
          <t>Retrieved</t>
        </is>
      </c>
      <c r="E30" s="76" t="inlineStr">
        <is>
          <t>PrimarySources/readable/CHTR-Q1-2026-Earnings-Release-Ex99.1.md</t>
        </is>
      </c>
      <c r="F30" s="76" t="inlineStr">
        <is>
          <t>58.661 million. The release also says nearly 59 million.</t>
        </is>
      </c>
    </row>
    <row r="31">
      <c r="A31" s="76" t="inlineStr">
        <is>
          <t>Rural penetration</t>
        </is>
      </c>
      <c r="B31" s="78" t="n">
        <v>0.381</v>
      </c>
      <c r="C31" s="76" t="inlineStr">
        <is>
          <t>Q1 2026</t>
        </is>
      </c>
      <c r="D31" s="76" t="inlineStr">
        <is>
          <t>Retrieved</t>
        </is>
      </c>
      <c r="E31" s="76" t="inlineStr">
        <is>
          <t>PrimarySources/CHTR-Q1-2026-Trending-Schedule.md</t>
        </is>
      </c>
      <c r="F31" s="76" t="inlineStr">
        <is>
          <t>Talk track rounded to 38%. 527 / 1,385 thousand.</t>
        </is>
      </c>
    </row>
    <row r="32">
      <c r="A32" s="76" t="inlineStr">
        <is>
          <t>Rural construction spend ($ billions)</t>
        </is>
      </c>
      <c r="B32" s="80" t="n">
        <v>7.7</v>
      </c>
      <c r="C32" s="76" t="inlineStr">
        <is>
          <t>Inception 2022 through 31 Dec 2025</t>
        </is>
      </c>
      <c r="D32" s="76" t="inlineStr">
        <is>
          <t>Retrieved</t>
        </is>
      </c>
      <c r="E32" s="76" t="inlineStr">
        <is>
          <t>PrimarySources/readable/CHTR-10-K-FY2025.md</t>
        </is>
      </c>
      <c r="F32" s="76" t="inlineStr">
        <is>
          <t>Cumulative spend. Not Q1 capex.</t>
        </is>
      </c>
    </row>
    <row r="33">
      <c r="A33" s="76" t="inlineStr">
        <is>
          <t>Debt principal ($ billions)</t>
        </is>
      </c>
      <c r="B33" s="80" t="n">
        <v>93.8</v>
      </c>
      <c r="C33" s="76" t="inlineStr">
        <is>
          <t>30 Jun 2026</t>
        </is>
      </c>
      <c r="D33" s="76" t="inlineStr">
        <is>
          <t>Retrieved</t>
        </is>
      </c>
      <c r="E33" s="76" t="inlineStr">
        <is>
          <t>PrimarySources/readable/CHTR-Q2-2026-Earnings-Release-Ex99.1.md</t>
        </is>
      </c>
      <c r="F33" s="76" t="inlineStr">
        <is>
          <t>Later public fact vs the Q1 course anchor.</t>
        </is>
      </c>
    </row>
    <row r="34">
      <c r="A34" s="76" t="inlineStr">
        <is>
          <t>Net leverage (times)</t>
        </is>
      </c>
      <c r="B34" s="81" t="n">
        <v>4.18</v>
      </c>
      <c r="C34" s="76" t="inlineStr">
        <is>
          <t>30 Jun 2026</t>
        </is>
      </c>
      <c r="D34" s="76" t="inlineStr">
        <is>
          <t>Retrieved</t>
        </is>
      </c>
      <c r="E34" s="76" t="inlineStr">
        <is>
          <t>PrimarySources/readable/CHTR-10-Q-Q2-2026.md</t>
        </is>
      </c>
      <c r="F34" s="76" t="inlineStr">
        <is>
          <t>Net debt / LTM Adjusted EBITDA. Not in the Q2 earnings headline table.</t>
        </is>
      </c>
    </row>
    <row r="35">
      <c r="A35" s="76" t="inlineStr">
        <is>
          <t>Q2 penetration</t>
        </is>
      </c>
      <c r="B35" s="78" t="n">
        <v>0.534</v>
      </c>
      <c r="C35" s="76" t="inlineStr">
        <is>
          <t>30 Jun 2026</t>
        </is>
      </c>
      <c r="D35" s="76" t="inlineStr">
        <is>
          <t>Retrieved</t>
        </is>
      </c>
      <c r="E35" s="76" t="inlineStr">
        <is>
          <t>PrimarySources/readable/CHTR-Q2-2026-Earnings-Release-Ex99.1.md</t>
        </is>
      </c>
      <c r="F35" s="76" t="inlineStr">
        <is>
          <t>Later public fact. 53.4% on 58,981 thousand passings.</t>
        </is>
      </c>
    </row>
    <row r="36">
      <c r="A36" s="76" t="inlineStr">
        <is>
          <t>Mobile line net additions (000s)</t>
        </is>
      </c>
      <c r="B36" s="77" t="n">
        <v>368</v>
      </c>
      <c r="C36" s="76" t="inlineStr">
        <is>
          <t>Q1 2026</t>
        </is>
      </c>
      <c r="D36" s="76" t="inlineStr">
        <is>
          <t>Retrieved</t>
        </is>
      </c>
      <c r="E36" s="76" t="inlineStr">
        <is>
          <t>PrimarySources/readable/CHTR-Q1-2026-Earnings-Release-Ex99.1.md</t>
        </is>
      </c>
      <c r="F36" s="76" t="inlineStr">
        <is>
          <t>Total lines. Residential was +344. Did not replace the Internet print.</t>
        </is>
      </c>
    </row>
    <row r="37">
      <c r="A37" s="76" t="inlineStr">
        <is>
          <t>Mobile service revenue change</t>
        </is>
      </c>
      <c r="B37" s="77" t="n">
        <v>138</v>
      </c>
      <c r="C37" s="76" t="inlineStr">
        <is>
          <t>Q1 2026 vs Q1 2025</t>
        </is>
      </c>
      <c r="D37" s="76" t="inlineStr">
        <is>
          <t>Retrieved</t>
        </is>
      </c>
      <c r="E37" s="76" t="inlineStr">
        <is>
          <t>PrimarySources/readable/CHTR-Q1-2026-Earnings-Release-Ex99.1.md</t>
        </is>
      </c>
      <c r="F37" s="76" t="inlineStr">
        <is>
          <t>Millions. $1,052 vs $914. Did not replace −$78 million of Internet.</t>
        </is>
      </c>
    </row>
    <row r="38">
      <c r="A38" s="76" t="inlineStr">
        <is>
          <t>Contribution per incremental PSU</t>
        </is>
      </c>
      <c r="B38" s="76" t="n"/>
      <c r="C38" s="76" t="inlineStr">
        <is>
          <t>—</t>
        </is>
      </c>
      <c r="D38" s="76" t="inlineStr">
        <is>
          <t>Not disclosed</t>
        </is>
      </c>
      <c r="E38" s="76" t="inlineStr">
        <is>
          <t>—</t>
        </is>
      </c>
      <c r="F38" s="76" t="inlineStr">
        <is>
          <t>Left blank. Do not invent.</t>
        </is>
      </c>
    </row>
    <row r="39">
      <c r="A39" s="76" t="inlineStr">
        <is>
          <t>Consumer acquisition cost</t>
        </is>
      </c>
      <c r="B39" s="76" t="n"/>
      <c r="C39" s="76" t="inlineStr">
        <is>
          <t>—</t>
        </is>
      </c>
      <c r="D39" s="76" t="inlineStr">
        <is>
          <t>Not disclosed</t>
        </is>
      </c>
      <c r="E39" s="76" t="inlineStr">
        <is>
          <t>—</t>
        </is>
      </c>
      <c r="F39" s="76" t="inlineStr">
        <is>
          <t>Left blank. Do not invent.</t>
        </is>
      </c>
    </row>
    <row r="43" ht="20" customHeight="1" s="34">
      <c r="A43" s="73" t="inlineStr">
        <is>
          <t>Mix</t>
        </is>
      </c>
      <c r="B43" s="74" t="n"/>
      <c r="C43" s="74" t="n"/>
      <c r="D43" s="74" t="n"/>
      <c r="E43" s="74" t="n"/>
      <c r="F43" s="74" t="n"/>
    </row>
    <row r="44">
      <c r="A44" s="75" t="inlineStr">
        <is>
          <t>Line</t>
        </is>
      </c>
      <c r="B44" s="75" t="inlineStr">
        <is>
          <t>Q1 2026 revenue ($ millions)</t>
        </is>
      </c>
      <c r="C44" s="75" t="inlineStr">
        <is>
          <t>Share of $13,597 million</t>
        </is>
      </c>
      <c r="D44" s="75" t="inlineStr">
        <is>
          <t>Chart role</t>
        </is>
      </c>
      <c r="E44" s="75" t="inlineStr">
        <is>
          <t>Label</t>
        </is>
      </c>
    </row>
    <row r="45">
      <c r="A45" s="82" t="inlineStr">
        <is>
          <t>Internet</t>
        </is>
      </c>
      <c r="B45" s="83" t="n">
        <v>5852</v>
      </c>
      <c r="C45" s="84" t="n">
        <v>0.4303890564095021</v>
      </c>
      <c r="D45" s="82" t="inlineStr">
        <is>
          <t>Accent</t>
        </is>
      </c>
      <c r="E45" s="82" t="inlineStr">
        <is>
          <t>Retrieved dollars; share = dollars / 13,597</t>
        </is>
      </c>
    </row>
    <row r="46">
      <c r="A46" s="76" t="inlineStr">
        <is>
          <t>Video</t>
        </is>
      </c>
      <c r="B46" s="77" t="n">
        <v>3252</v>
      </c>
      <c r="C46" s="78" t="n">
        <v>0.2391704052364492</v>
      </c>
      <c r="D46" s="76" t="inlineStr">
        <is>
          <t>Gray</t>
        </is>
      </c>
      <c r="E46" s="76" t="inlineStr">
        <is>
          <t>Retrieved dollars; share = dollars / 13,597</t>
        </is>
      </c>
    </row>
    <row r="47">
      <c r="A47" s="76" t="inlineStr">
        <is>
          <t>Small business</t>
        </is>
      </c>
      <c r="B47" s="77" t="n">
        <v>1090</v>
      </c>
      <c r="C47" s="78" t="n">
        <v>0.08016474222254909</v>
      </c>
      <c r="D47" s="76" t="inlineStr">
        <is>
          <t>Gray</t>
        </is>
      </c>
      <c r="E47" s="76" t="inlineStr">
        <is>
          <t>Retrieved dollars; share = dollars / 13,597</t>
        </is>
      </c>
    </row>
    <row r="48">
      <c r="A48" s="76" t="inlineStr">
        <is>
          <t>Mobile service</t>
        </is>
      </c>
      <c r="B48" s="77" t="n">
        <v>1052</v>
      </c>
      <c r="C48" s="78" t="n">
        <v>0.07737000809001986</v>
      </c>
      <c r="D48" s="76" t="inlineStr">
        <is>
          <t>Gray</t>
        </is>
      </c>
      <c r="E48" s="76" t="inlineStr">
        <is>
          <t>Retrieved dollars; share = dollars / 13,597</t>
        </is>
      </c>
    </row>
    <row r="49">
      <c r="A49" s="76" t="inlineStr">
        <is>
          <t>Other</t>
        </is>
      </c>
      <c r="B49" s="77" t="n">
        <v>906</v>
      </c>
      <c r="C49" s="78" t="n">
        <v>0.06663234537030227</v>
      </c>
      <c r="D49" s="76" t="inlineStr">
        <is>
          <t>Gray</t>
        </is>
      </c>
      <c r="E49" s="76" t="inlineStr">
        <is>
          <t>Retrieved dollars; share = dollars / 13,597</t>
        </is>
      </c>
    </row>
    <row r="50">
      <c r="A50" s="76" t="inlineStr">
        <is>
          <t>Mid-market and large business</t>
        </is>
      </c>
      <c r="B50" s="77" t="n">
        <v>749</v>
      </c>
      <c r="C50" s="78" t="n">
        <v>0.05508568066485254</v>
      </c>
      <c r="D50" s="76" t="inlineStr">
        <is>
          <t>Gray</t>
        </is>
      </c>
      <c r="E50" s="76" t="inlineStr">
        <is>
          <t>Retrieved dollars; share = dollars / 13,597</t>
        </is>
      </c>
    </row>
    <row r="51">
      <c r="A51" s="76" t="inlineStr">
        <is>
          <t>Advertising sales</t>
        </is>
      </c>
      <c r="B51" s="77" t="n">
        <v>358</v>
      </c>
      <c r="C51" s="78" t="n">
        <v>0.02632933735382805</v>
      </c>
      <c r="D51" s="76" t="inlineStr">
        <is>
          <t>Gray</t>
        </is>
      </c>
      <c r="E51" s="76" t="inlineStr">
        <is>
          <t>Retrieved dollars; share = dollars / 13,597</t>
        </is>
      </c>
    </row>
    <row r="52">
      <c r="A52" s="76" t="inlineStr">
        <is>
          <t>Voice</t>
        </is>
      </c>
      <c r="B52" s="77" t="n">
        <v>338</v>
      </c>
      <c r="C52" s="78" t="n">
        <v>0.02485842465249687</v>
      </c>
      <c r="D52" s="76" t="inlineStr">
        <is>
          <t>Gray</t>
        </is>
      </c>
      <c r="E52" s="76" t="inlineStr">
        <is>
          <t>Retrieved dollars; share = dollars / 13,597</t>
        </is>
      </c>
    </row>
    <row r="54">
      <c r="A54" t="inlineStr">
        <is>
          <t>Sum (must equal company revenue)</t>
        </is>
      </c>
      <c r="B54" s="85" t="n">
        <v>13597</v>
      </c>
      <c r="C54" s="86" t="n">
        <v>1</v>
      </c>
    </row>
    <row r="58" ht="20" customHeight="1" s="34">
      <c r="A58" s="73" t="inlineStr">
        <is>
          <t>Rate vs volume</t>
        </is>
      </c>
      <c r="B58" s="74" t="n"/>
      <c r="C58" s="74" t="n"/>
      <c r="D58" s="74" t="n"/>
      <c r="E58" s="74" t="n"/>
      <c r="F58" s="74" t="n"/>
    </row>
    <row r="59">
      <c r="A59" s="75" t="inlineStr">
        <is>
          <t>Piece</t>
        </is>
      </c>
      <c r="B59" s="75" t="inlineStr">
        <is>
          <t>Value</t>
        </is>
      </c>
      <c r="C59" s="75" t="inlineStr">
        <is>
          <t>Period</t>
        </is>
      </c>
      <c r="D59" s="75" t="inlineStr">
        <is>
          <t>Retrieved or derived</t>
        </is>
      </c>
      <c r="E59" s="75" t="inlineStr">
        <is>
          <t>Formula or source</t>
        </is>
      </c>
      <c r="F59" s="75" t="inlineStr">
        <is>
          <t>How to use</t>
        </is>
      </c>
    </row>
    <row r="60">
      <c r="A60" s="82" t="inlineStr">
        <is>
          <t>Printed volume</t>
        </is>
      </c>
      <c r="B60" s="83" t="n">
        <v>-87</v>
      </c>
      <c r="C60" s="82" t="inlineStr">
        <is>
          <t>Q1 2026</t>
        </is>
      </c>
      <c r="D60" s="82" t="inlineStr">
        <is>
          <t>Retrieved</t>
        </is>
      </c>
      <c r="E60" s="82" t="inlineStr">
        <is>
          <t>10-Q: decrease in average residential Internet customers</t>
        </is>
      </c>
      <c r="F60" s="82" t="inlineStr">
        <is>
          <t>Use this figure</t>
        </is>
      </c>
    </row>
    <row r="61">
      <c r="A61" s="82" t="inlineStr">
        <is>
          <t>Printed rate and mix</t>
        </is>
      </c>
      <c r="B61" s="83" t="n">
        <v>9</v>
      </c>
      <c r="C61" s="82" t="inlineStr">
        <is>
          <t>Q1 2026</t>
        </is>
      </c>
      <c r="D61" s="82" t="inlineStr">
        <is>
          <t>Retrieved</t>
        </is>
      </c>
      <c r="E61" s="82" t="inlineStr">
        <is>
          <t>10-Q: increase related to rate and product mix</t>
        </is>
      </c>
      <c r="F61" s="82" t="inlineStr">
        <is>
          <t>Use this figure</t>
        </is>
      </c>
    </row>
    <row r="62">
      <c r="A62" s="82" t="inlineStr">
        <is>
          <t>Printed net</t>
        </is>
      </c>
      <c r="B62" s="83" t="n">
        <v>-78</v>
      </c>
      <c r="C62" s="82" t="inlineStr">
        <is>
          <t>Q1 2026</t>
        </is>
      </c>
      <c r="D62" s="82" t="inlineStr">
        <is>
          <t>Retrieved</t>
        </is>
      </c>
      <c r="E62" s="82" t="inlineStr">
        <is>
          <t>10-Q total of the two lines; also Ex99.1 $5,852 − $5,930</t>
        </is>
      </c>
      <c r="F62" s="82" t="inlineStr">
        <is>
          <t>Must equal −78</t>
        </is>
      </c>
    </row>
    <row r="63">
      <c r="A63" s="76" t="inlineStr">
        <is>
          <t>FY2025 rate and mix</t>
        </is>
      </c>
      <c r="B63" s="77" t="n">
        <v>785</v>
      </c>
      <c r="C63" s="76" t="inlineStr">
        <is>
          <t>FY2025</t>
        </is>
      </c>
      <c r="D63" s="76" t="inlineStr">
        <is>
          <t>Retrieved</t>
        </is>
      </c>
      <c r="E63" s="76" t="inlineStr">
        <is>
          <t>10-K</t>
        </is>
      </c>
      <c r="F63" s="76" t="inlineStr">
        <is>
          <t>Covered volume that year</t>
        </is>
      </c>
    </row>
    <row r="64">
      <c r="A64" s="76" t="inlineStr">
        <is>
          <t>FY2025 volume</t>
        </is>
      </c>
      <c r="B64" s="77" t="n">
        <v>-380</v>
      </c>
      <c r="C64" s="76" t="inlineStr">
        <is>
          <t>FY2025</t>
        </is>
      </c>
      <c r="D64" s="76" t="inlineStr">
        <is>
          <t>Retrieved</t>
        </is>
      </c>
      <c r="E64" s="76" t="inlineStr">
        <is>
          <t>10-K</t>
        </is>
      </c>
      <c r="F64" s="76" t="n"/>
    </row>
    <row r="65">
      <c r="A65" s="76" t="inlineStr">
        <is>
          <t>FY2025 net</t>
        </is>
      </c>
      <c r="B65" s="77" t="n">
        <v>405</v>
      </c>
      <c r="C65" s="76" t="inlineStr">
        <is>
          <t>FY2025</t>
        </is>
      </c>
      <c r="D65" s="76" t="inlineStr">
        <is>
          <t>Retrieved</t>
        </is>
      </c>
      <c r="E65" s="76" t="inlineStr">
        <is>
          <t>785 + (−380)</t>
        </is>
      </c>
      <c r="F65" s="76" t="n"/>
    </row>
    <row r="66">
      <c r="A66" s="76" t="inlineStr">
        <is>
          <t>FY2025 customer change</t>
        </is>
      </c>
      <c r="B66" s="77" t="n">
        <v>-393000</v>
      </c>
      <c r="C66" s="76" t="inlineStr">
        <is>
          <t>FY2025</t>
        </is>
      </c>
      <c r="D66" s="76" t="inlineStr">
        <is>
          <t>Retrieved</t>
        </is>
      </c>
      <c r="E66" s="76" t="inlineStr">
        <is>
          <t>10-K: residential Internet customers decreased by 393,000</t>
        </is>
      </c>
      <c r="F66" s="76" t="inlineStr">
        <is>
          <t>Not Q1 −117,000</t>
        </is>
      </c>
    </row>
    <row r="67">
      <c r="A67" s="76" t="inlineStr">
        <is>
          <t>Derived volume, unrounded $ millions</t>
        </is>
      </c>
      <c r="B67" s="81" t="n">
        <v>-89.77630192990912</v>
      </c>
      <c r="C67" s="76" t="inlineStr">
        <is>
          <t>Q1 2026</t>
        </is>
      </c>
      <c r="D67" s="76" t="inlineStr">
        <is>
          <t>Derived</t>
        </is>
      </c>
      <c r="E67" s="76" t="inlineStr">
        <is>
          <t>(avg_26 − avg_25) × ARPU_25 × 3 / 1,000</t>
        </is>
      </c>
      <c r="F67" s="76" t="inlineStr">
        <is>
          <t>Cross-check only. Rounds to −90. Does not override −87.</t>
        </is>
      </c>
    </row>
    <row r="68">
      <c r="A68" s="76" t="inlineStr">
        <is>
          <t>Derived rate, unrounded $ millions</t>
        </is>
      </c>
      <c r="B68" s="81" t="n">
        <v>11.77630192990957</v>
      </c>
      <c r="C68" s="76" t="inlineStr">
        <is>
          <t>Q1 2026</t>
        </is>
      </c>
      <c r="D68" s="76" t="inlineStr">
        <is>
          <t>Derived</t>
        </is>
      </c>
      <c r="E68" s="76" t="inlineStr">
        <is>
          <t>(ARPU_26 − ARPU_25) × avg_26 × 3 / 1,000</t>
        </is>
      </c>
      <c r="F68" s="76" t="inlineStr">
        <is>
          <t>Cross-check only. Rounds to +12. Does not override +9.</t>
        </is>
      </c>
    </row>
    <row r="69">
      <c r="A69" s="76" t="inlineStr">
        <is>
          <t>Derived implied rate Q1 2026</t>
        </is>
      </c>
      <c r="B69" s="79" t="n">
        <v>70.72</v>
      </c>
      <c r="C69" s="76" t="inlineStr">
        <is>
          <t>Q1 2026</t>
        </is>
      </c>
      <c r="D69" s="76" t="inlineStr">
        <is>
          <t>Derived</t>
        </is>
      </c>
      <c r="E69" s="76" t="inlineStr">
        <is>
          <t>quarterly Internet $ millions × 1,000 / 3 / average customers (thousands)</t>
        </is>
      </c>
      <c r="F69" s="76" t="inlineStr">
        <is>
          <t>Dollars per month</t>
        </is>
      </c>
    </row>
    <row r="70">
      <c r="A70" s="76" t="inlineStr">
        <is>
          <t>Derived implied rate Q1 2025</t>
        </is>
      </c>
      <c r="B70" s="79" t="n">
        <v>70.58</v>
      </c>
      <c r="C70" s="76" t="inlineStr">
        <is>
          <t>Q1 2025</t>
        </is>
      </c>
      <c r="D70" s="76" t="inlineStr">
        <is>
          <t>Derived</t>
        </is>
      </c>
      <c r="E70" s="76" t="inlineStr">
        <is>
          <t>quarterly Internet $ millions × 1,000 / 3 / average customers (thousands)</t>
        </is>
      </c>
      <c r="F70" s="76" t="inlineStr">
        <is>
          <t>Dollars per month</t>
        </is>
      </c>
    </row>
    <row r="71" ht="30" customHeight="1" s="34">
      <c r="A71" s="76" t="inlineStr">
        <is>
          <t>Derived extra $/month to hold dollars flat</t>
        </is>
      </c>
      <c r="B71" s="79" t="n">
        <v>0.9399999999999999</v>
      </c>
      <c r="C71" s="76" t="inlineStr">
        <is>
          <t>Q1 2026</t>
        </is>
      </c>
      <c r="D71" s="76" t="inlineStr">
        <is>
          <t>Derived</t>
        </is>
      </c>
      <c r="E71" s="76" t="inlineStr">
        <is>
          <t>ARPU to hold dollars flat = Q1 2025 Internet $ × 1,000 / 3 / avg_26; gap = that ARPU − ARPU_26</t>
        </is>
      </c>
      <c r="F71" s="76" t="inlineStr">
        <is>
          <t>On the derived identity only</t>
        </is>
      </c>
    </row>
    <row r="72">
      <c r="A72" s="76" t="inlineStr">
        <is>
          <t>Average residential Internet customers, Q1 2026 (000s)</t>
        </is>
      </c>
      <c r="B72" s="87" t="n">
        <v>27582.5</v>
      </c>
      <c r="C72" s="76" t="inlineStr">
        <is>
          <t>Q1 2026</t>
        </is>
      </c>
      <c r="D72" s="76" t="inlineStr">
        <is>
          <t>Derived</t>
        </is>
      </c>
      <c r="E72" s="76" t="inlineStr">
        <is>
          <t>average = (ending − quarterly net adds + ending) / 2</t>
        </is>
      </c>
      <c r="F72" s="76" t="inlineStr">
        <is>
          <t>Beginning 27,641 thousand; ending 27,524 thousand</t>
        </is>
      </c>
    </row>
    <row r="73">
      <c r="A73" s="76" t="inlineStr">
        <is>
          <t>Average residential Internet customers, Q1 2025 (000s)</t>
        </is>
      </c>
      <c r="B73" s="87" t="n">
        <v>28006.5</v>
      </c>
      <c r="C73" s="76" t="inlineStr">
        <is>
          <t>Q1 2025</t>
        </is>
      </c>
      <c r="D73" s="76" t="inlineStr">
        <is>
          <t>Derived</t>
        </is>
      </c>
      <c r="E73" s="76" t="inlineStr">
        <is>
          <t>average = (ending − quarterly net adds + ending) / 2</t>
        </is>
      </c>
      <c r="F73" s="76" t="inlineStr">
        <is>
          <t>Beginning 28,034 thousand; ending 27,979 thousand</t>
        </is>
      </c>
    </row>
    <row r="77" ht="20" customHeight="1" s="34">
      <c r="A77" s="73" t="inlineStr">
        <is>
          <t>Plant and leverage</t>
        </is>
      </c>
      <c r="B77" s="74" t="n"/>
      <c r="C77" s="74" t="n"/>
      <c r="D77" s="74" t="n"/>
      <c r="E77" s="74" t="n"/>
      <c r="F77" s="74" t="n"/>
    </row>
    <row r="78">
      <c r="A78" s="75" t="inlineStr">
        <is>
          <t>Metric</t>
        </is>
      </c>
      <c r="B78" s="75" t="inlineStr">
        <is>
          <t>Value</t>
        </is>
      </c>
      <c r="C78" s="75" t="inlineStr">
        <is>
          <t>Period</t>
        </is>
      </c>
      <c r="D78" s="75" t="inlineStr">
        <is>
          <t>Retrieved or derived</t>
        </is>
      </c>
      <c r="E78" s="75" t="inlineStr">
        <is>
          <t>Source</t>
        </is>
      </c>
      <c r="F78" s="75" t="inlineStr">
        <is>
          <t>Note</t>
        </is>
      </c>
    </row>
    <row r="79">
      <c r="A79" s="76" t="inlineStr">
        <is>
          <t>Company customer-relationship penetration</t>
        </is>
      </c>
      <c r="B79" s="78" t="n">
        <v>0.54</v>
      </c>
      <c r="C79" s="76" t="inlineStr">
        <is>
          <t>31 Mar 2026</t>
        </is>
      </c>
      <c r="D79" s="76" t="inlineStr">
        <is>
          <t>Retrieved</t>
        </is>
      </c>
      <c r="E79" s="76" t="inlineStr">
        <is>
          <t>Ex99.1 Q1 2026</t>
        </is>
      </c>
      <c r="F79" s="76" t="inlineStr">
        <is>
          <t>31,683 / 58,661 thousand</t>
        </is>
      </c>
    </row>
    <row r="80">
      <c r="A80" s="76" t="inlineStr">
        <is>
          <t>Estimated passings (000s)</t>
        </is>
      </c>
      <c r="B80" s="77" t="n">
        <v>58661</v>
      </c>
      <c r="C80" s="76" t="inlineStr">
        <is>
          <t>31 Mar 2026</t>
        </is>
      </c>
      <c r="D80" s="76" t="inlineStr">
        <is>
          <t>Retrieved</t>
        </is>
      </c>
      <c r="E80" s="76" t="inlineStr">
        <is>
          <t>Ex99.1 Q1 2026</t>
        </is>
      </c>
      <c r="F80" s="76" t="inlineStr">
        <is>
          <t>58.661 million, not a silent 59</t>
        </is>
      </c>
    </row>
    <row r="81">
      <c r="A81" s="76" t="inlineStr">
        <is>
          <t>Rural penetration of activated passings</t>
        </is>
      </c>
      <c r="B81" s="78" t="n">
        <v>0.381</v>
      </c>
      <c r="C81" s="76" t="inlineStr">
        <is>
          <t>Q1 2026</t>
        </is>
      </c>
      <c r="D81" s="76" t="inlineStr">
        <is>
          <t>Retrieved</t>
        </is>
      </c>
      <c r="E81" s="76" t="inlineStr">
        <is>
          <t>Q1 2026 trending schedule</t>
        </is>
      </c>
      <c r="F81" s="76" t="inlineStr">
        <is>
          <t>Printed 38.1%. Talk track said 38%.</t>
        </is>
      </c>
    </row>
    <row r="82">
      <c r="A82" s="76" t="inlineStr">
        <is>
          <t>Rural passings (000s)</t>
        </is>
      </c>
      <c r="B82" s="77" t="n">
        <v>1385</v>
      </c>
      <c r="C82" s="76" t="inlineStr">
        <is>
          <t>Q1 2026</t>
        </is>
      </c>
      <c r="D82" s="76" t="inlineStr">
        <is>
          <t>Retrieved</t>
        </is>
      </c>
      <c r="E82" s="76" t="inlineStr">
        <is>
          <t>Q1 2026 trending schedule</t>
        </is>
      </c>
      <c r="F82" s="76" t="n"/>
    </row>
    <row r="83">
      <c r="A83" s="76" t="inlineStr">
        <is>
          <t>Rural customer relationships (000s)</t>
        </is>
      </c>
      <c r="B83" s="77" t="n">
        <v>527</v>
      </c>
      <c r="C83" s="76" t="inlineStr">
        <is>
          <t>Q1 2026</t>
        </is>
      </c>
      <c r="D83" s="76" t="inlineStr">
        <is>
          <t>Retrieved</t>
        </is>
      </c>
      <c r="E83" s="76" t="inlineStr">
        <is>
          <t>Q1 2026 trending schedule</t>
        </is>
      </c>
      <c r="F83" s="76" t="inlineStr">
        <is>
          <t>527 / 1,385 = 38.1%</t>
        </is>
      </c>
    </row>
    <row r="84">
      <c r="A84" s="76" t="inlineStr">
        <is>
          <t>Subsidized rural construction spend ($ billions)</t>
        </is>
      </c>
      <c r="B84" s="80" t="n">
        <v>7.7</v>
      </c>
      <c r="C84" s="76" t="inlineStr">
        <is>
          <t>2022 through 31 Dec 2025</t>
        </is>
      </c>
      <c r="D84" s="76" t="inlineStr">
        <is>
          <t>Retrieved</t>
        </is>
      </c>
      <c r="E84" s="76" t="inlineStr">
        <is>
          <t>FY2025 10-K</t>
        </is>
      </c>
      <c r="F84" s="76" t="n"/>
    </row>
    <row r="85">
      <c r="A85" s="76" t="inlineStr">
        <is>
          <t>Principal amount of debt ($ billions)</t>
        </is>
      </c>
      <c r="B85" s="80" t="n">
        <v>93.8</v>
      </c>
      <c r="C85" s="76" t="inlineStr">
        <is>
          <t>30 Jun 2026</t>
        </is>
      </c>
      <c r="D85" s="76" t="inlineStr">
        <is>
          <t>Retrieved</t>
        </is>
      </c>
      <c r="E85" s="76" t="inlineStr">
        <is>
          <t>Ex99.1 Q2 2026</t>
        </is>
      </c>
      <c r="F85" s="76" t="n"/>
    </row>
    <row r="86">
      <c r="A86" s="76" t="inlineStr">
        <is>
          <t>Net leverage (times Adjusted EBITDA)</t>
        </is>
      </c>
      <c r="B86" s="81" t="n">
        <v>4.18</v>
      </c>
      <c r="C86" s="76" t="inlineStr">
        <is>
          <t>30 Jun 2026</t>
        </is>
      </c>
      <c r="D86" s="76" t="inlineStr">
        <is>
          <t>Retrieved</t>
        </is>
      </c>
      <c r="E86" s="76" t="inlineStr">
        <is>
          <t>10-Q Q2 2026</t>
        </is>
      </c>
      <c r="F86" s="76" t="n"/>
    </row>
    <row r="87">
      <c r="A87" s="76" t="inlineStr">
        <is>
          <t>Q2 penetration</t>
        </is>
      </c>
      <c r="B87" s="78" t="n">
        <v>0.534</v>
      </c>
      <c r="C87" s="76" t="inlineStr">
        <is>
          <t>30 Jun 2026</t>
        </is>
      </c>
      <c r="D87" s="76" t="inlineStr">
        <is>
          <t>Retrieved</t>
        </is>
      </c>
      <c r="E87" s="76" t="inlineStr">
        <is>
          <t>Ex99.1 Q2 2026</t>
        </is>
      </c>
      <c r="F87" s="76" t="inlineStr">
        <is>
          <t>Later public fact</t>
        </is>
      </c>
    </row>
    <row r="88">
      <c r="A88" s="76" t="inlineStr">
        <is>
          <t>Q2 estimated passings (000s)</t>
        </is>
      </c>
      <c r="B88" s="77" t="n">
        <v>58981</v>
      </c>
      <c r="C88" s="76" t="inlineStr">
        <is>
          <t>30 Jun 2026</t>
        </is>
      </c>
      <c r="D88" s="76" t="inlineStr">
        <is>
          <t>Retrieved</t>
        </is>
      </c>
      <c r="E88" s="76" t="inlineStr">
        <is>
          <t>Ex99.1 Q2 2026</t>
        </is>
      </c>
      <c r="F88" s="76" t="inlineStr">
        <is>
          <t>58.981 million</t>
        </is>
      </c>
    </row>
    <row r="89">
      <c r="A89" s="76" t="inlineStr">
        <is>
          <t>Contribution per incremental Internet PSU</t>
        </is>
      </c>
      <c r="B89" s="76" t="n"/>
      <c r="C89" s="76" t="inlineStr">
        <is>
          <t>—</t>
        </is>
      </c>
      <c r="D89" s="76" t="inlineStr">
        <is>
          <t>Not disclosed</t>
        </is>
      </c>
      <c r="E89" s="76" t="inlineStr">
        <is>
          <t>—</t>
        </is>
      </c>
      <c r="F89" s="76" t="inlineStr">
        <is>
          <t>Blank on purpose</t>
        </is>
      </c>
    </row>
    <row r="90">
      <c r="A90" s="76" t="inlineStr">
        <is>
          <t>Consumer acquisition cost</t>
        </is>
      </c>
      <c r="B90" s="76" t="n"/>
      <c r="C90" s="76" t="inlineStr">
        <is>
          <t>—</t>
        </is>
      </c>
      <c r="D90" s="76" t="inlineStr">
        <is>
          <t>Not disclosed</t>
        </is>
      </c>
      <c r="E90" s="76" t="inlineStr">
        <is>
          <t>—</t>
        </is>
      </c>
      <c r="F90" s="76" t="inlineStr">
        <is>
          <t>Blank on purpose</t>
        </is>
      </c>
    </row>
    <row r="94" ht="20" customHeight="1" s="34">
      <c r="A94" s="73" t="inlineStr">
        <is>
          <t>Play fit</t>
        </is>
      </c>
      <c r="B94" s="74" t="n"/>
      <c r="C94" s="74" t="n"/>
      <c r="D94" s="74" t="n"/>
      <c r="E94" s="74" t="n"/>
      <c r="F94" s="74" t="n"/>
    </row>
    <row r="95">
      <c r="A95" s="75" t="inlineStr">
        <is>
          <t>Loss reason</t>
        </is>
      </c>
      <c r="B95" s="75" t="inlineStr">
        <is>
          <t>Fit</t>
        </is>
      </c>
      <c r="C95" s="75" t="inlineStr">
        <is>
          <t>Action</t>
        </is>
      </c>
      <c r="D95" s="75" t="inlineStr">
        <is>
          <t>Scope</t>
        </is>
      </c>
      <c r="E95" s="75" t="inlineStr">
        <is>
          <t>Chart role</t>
        </is>
      </c>
    </row>
    <row r="96">
      <c r="A96" s="82" t="inlineStr">
        <is>
          <t>Fixed wireless</t>
        </is>
      </c>
      <c r="B96" s="82" t="inlineStr">
        <is>
          <t>Best</t>
        </is>
      </c>
      <c r="C96" s="82" t="inlineStr">
        <is>
          <t>Test</t>
        </is>
      </c>
      <c r="D96" s="82" t="inlineStr">
        <is>
          <t>Authorize only if the tracker fill is this reason</t>
        </is>
      </c>
      <c r="E96" s="82" t="inlineStr">
        <is>
          <t>Accent</t>
        </is>
      </c>
    </row>
    <row r="97">
      <c r="A97" s="76" t="inlineStr">
        <is>
          <t>Fiber</t>
        </is>
      </c>
      <c r="B97" s="76" t="inlineStr">
        <is>
          <t>Works</t>
        </is>
      </c>
      <c r="C97" s="76" t="inlineStr">
        <is>
          <t>Do not lead</t>
        </is>
      </c>
      <c r="D97" s="76" t="inlineStr">
        <is>
          <t>Team score. Earlier validation said no.</t>
        </is>
      </c>
      <c r="E97" s="76" t="inlineStr">
        <is>
          <t>Gray</t>
        </is>
      </c>
    </row>
    <row r="98">
      <c r="A98" s="76" t="inlineStr">
        <is>
          <t>Satellite</t>
        </is>
      </c>
      <c r="B98" s="76" t="inlineStr">
        <is>
          <t>No</t>
        </is>
      </c>
      <c r="C98" s="76" t="inlineStr">
        <is>
          <t>Refuse</t>
        </is>
      </c>
      <c r="D98" s="76" t="inlineStr">
        <is>
          <t>Not an employer-ballot play</t>
        </is>
      </c>
      <c r="E98" s="76" t="inlineStr">
        <is>
          <t>Gray</t>
        </is>
      </c>
    </row>
    <row r="99">
      <c r="A99" s="82" t="inlineStr">
        <is>
          <t>Housing, non-mover</t>
        </is>
      </c>
      <c r="B99" s="82" t="inlineStr">
        <is>
          <t>Best</t>
        </is>
      </c>
      <c r="C99" s="82" t="inlineStr">
        <is>
          <t>Test</t>
        </is>
      </c>
      <c r="D99" s="82" t="inlineStr">
        <is>
          <t>Household that did not move; on plant already passed</t>
        </is>
      </c>
      <c r="E99" s="82" t="inlineStr">
        <is>
          <t>Accent</t>
        </is>
      </c>
    </row>
    <row r="100">
      <c r="A100" s="76" t="inlineStr">
        <is>
          <t>Non-pay</t>
        </is>
      </c>
      <c r="B100" s="76" t="inlineStr">
        <is>
          <t>Works</t>
        </is>
      </c>
      <c r="C100" s="76" t="inlineStr">
        <is>
          <t>Do not lead</t>
        </is>
      </c>
      <c r="D100" s="76" t="inlineStr">
        <is>
          <t>Team score. Earlier validation said no.</t>
        </is>
      </c>
      <c r="E100" s="76" t="inlineStr">
        <is>
          <t>Gray</t>
        </is>
      </c>
    </row>
    <row r="101">
      <c r="A101" s="76" t="inlineStr">
        <is>
          <t>No dominant reason</t>
        </is>
      </c>
      <c r="B101" s="76" t="inlineStr">
        <is>
          <t>No</t>
        </is>
      </c>
      <c r="C101" s="76" t="inlineStr">
        <is>
          <t>Refuse</t>
        </is>
      </c>
      <c r="D101" s="76" t="inlineStr">
        <is>
          <t>Null result</t>
        </is>
      </c>
      <c r="E101" s="76" t="inlineStr">
        <is>
          <t>Gray</t>
        </is>
      </c>
    </row>
    <row r="103" ht="30" customHeight="1" s="34">
      <c r="A103" t="inlineStr">
        <is>
          <t>Does not close</t>
        </is>
      </c>
      <c r="B103" s="6" t="n">
        <v>117000</v>
      </c>
      <c r="C103" t="inlineStr">
        <is>
          <t>No share of the Q1 residential Internet customer loss is claimed. No take-up is invented.</t>
        </is>
      </c>
    </row>
    <row r="104" ht="30" customHeight="1" s="34">
      <c r="A104" t="inlineStr">
        <is>
          <t>Capability</t>
        </is>
      </c>
      <c r="C104" t="inlineStr">
        <is>
          <t>Whether a broker can put Internet on a benefits ballot is unknown. Cell left blank.</t>
        </is>
      </c>
    </row>
    <row r="108" ht="20" customHeight="1" s="34">
      <c r="A108" s="73" t="inlineStr">
        <is>
          <t>Do not claim</t>
        </is>
      </c>
      <c r="B108" s="74" t="n"/>
      <c r="C108" s="74" t="n"/>
      <c r="D108" s="74" t="n"/>
      <c r="E108" s="74" t="n"/>
      <c r="F108" s="74" t="n"/>
    </row>
    <row r="109">
      <c r="A109" s="75" t="inlineStr">
        <is>
          <t>Figure</t>
        </is>
      </c>
      <c r="B109" s="75" t="inlineStr">
        <is>
          <t>What it is not</t>
        </is>
      </c>
      <c r="C109" s="75" t="inlineStr">
        <is>
          <t>Why</t>
        </is>
      </c>
    </row>
    <row r="110">
      <c r="A110" s="76" t="inlineStr">
        <is>
          <t>94.6% of jobs in Charter-present states</t>
        </is>
      </c>
      <c r="B110" s="76" t="inlineStr">
        <is>
          <t>Not serviceable homes</t>
        </is>
      </c>
      <c r="C110" s="76" t="inlineStr">
        <is>
          <t>M5 jobs-in-footprint. Workplace state is not a billable home.</t>
        </is>
      </c>
    </row>
    <row r="111">
      <c r="A111" s="76" t="inlineStr">
        <is>
          <t>54.1% of payroll at firms of 500 or more</t>
        </is>
      </c>
      <c r="B111" s="76" t="inlineStr">
        <is>
          <t>Not covered lives</t>
        </is>
      </c>
      <c r="C111" s="76" t="inlineStr">
        <is>
          <t>SUSB 2022 employment mix. Not a broker book.</t>
        </is>
      </c>
    </row>
    <row r="112">
      <c r="A112" s="76" t="inlineStr">
        <is>
          <t>44% top-10 Form 5500 compensation</t>
        </is>
      </c>
      <c r="B112" s="76" t="inlineStr">
        <is>
          <t>Not covered lives</t>
        </is>
      </c>
      <c r="C112" s="76" t="inlineStr">
        <is>
          <t>PlanOptica compensation share. M2 lives are still blank.</t>
        </is>
      </c>
    </row>
    <row r="113">
      <c r="A113" s="76" t="inlineStr">
        <is>
          <t>13.3% ACS usually works from home</t>
        </is>
      </c>
      <c r="B113" s="76" t="inlineStr">
        <is>
          <t>Not ATUS 32.5%</t>
        </is>
      </c>
      <c r="C113" s="76" t="inlineStr">
        <is>
          <t>Different questions. Do not put them on one unlabeled bar.</t>
        </is>
      </c>
    </row>
    <row r="114">
      <c r="A114" s="76" t="inlineStr">
        <is>
          <t>FCC 19 vs 27 states</t>
        </is>
      </c>
      <c r="B114" s="76" t="inlineStr">
        <is>
          <t>Locations, not subscribers</t>
        </is>
      </c>
      <c r="C114" s="76" t="inlineStr">
        <is>
          <t>Where each company reports more broadband-serviceable places.</t>
        </is>
      </c>
    </row>
    <row r="115">
      <c r="A115" s="76" t="inlineStr">
        <is>
          <t>Mobile +368,000 lines and +$138 million</t>
        </is>
      </c>
      <c r="B115" s="76" t="inlineStr">
        <is>
          <t>Did not replace the Internet print</t>
        </is>
      </c>
      <c r="C115" s="76" t="inlineStr">
        <is>
          <t>Verified in Q1 2026 Ex99.1 before inclusion.</t>
        </is>
      </c>
    </row>
  </sheetData>
  <pageMargins left="0.5" right="0.5" top="0.7" bottom="0.6" header="0.3" footer="0.3"/>
  <pageSetup orientation="landscape" paperSize="3" fitToHeight="0" fitToWidth="1"/>
  <headerFooter>
    <oddHeader>&amp;LEH&amp;B  ·  Charter  ·  Q1 2026 anchor</oddHeader>
    <oddFooter>&amp;LValues copied from EH&amp;B Executive Summary.xlsx. Printed bridge is −$87 / +$9. Derived −$90 / +$12 is a cross-check only.&amp;RPage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2026-09-22T17:04:02Z</dcterms:created>
  <dcterms:modified xmlns:dcterms="http://purl.org/dc/terms/" xmlns:xsi="http://www.w3.org/2001/XMLSchema-instance" xsi:type="dcterms:W3CDTF">2026-09-28T15:10:40Z</dcterms:modified>
  <cp:lastModifiedBy>Conger, Kyle E.</cp:lastModifiedBy>
</cp:coreProperties>
</file>