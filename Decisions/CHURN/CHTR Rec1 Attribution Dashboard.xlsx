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Net-loss tracker" sheetId="3" state="visible" r:id="rId3"/>
    <sheet xmlns:r="http://schemas.openxmlformats.org/officeDocument/2006/relationships" name="Attribution" sheetId="4" state="visible" r:id="rId4"/>
    <sheet xmlns:r="http://schemas.openxmlformats.org/officeDocument/2006/relationships" name="Segments" sheetId="5" state="visible" r:id="rId5"/>
    <sheet xmlns:r="http://schemas.openxmlformats.org/officeDocument/2006/relationships" name="Parameters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Playbook" sheetId="8" state="visible" r:id="rId8"/>
  </sheets>
  <definedNames>
    <definedName name="Param_Quarter">Parameters!$C$5</definedName>
    <definedName name="Param_Dominant">Parameters!$C$8</definedName>
    <definedName name="Param_Mixed">Parameters!$C$9</definedName>
    <definedName name="Param_FWA">Parameters!$C$10</definedName>
    <definedName name="Param_Fiber">Parameters!$C$11</definedName>
    <definedName name="Param_Satellite">Parameters!$C$12</definedName>
    <definedName name="Param_Coequal">Parameters!$C$13</definedName>
    <definedName name="Param_CoreShare">Parameters!$C$14</definedName>
    <definedName name="Param_RateSkew">Parameters!$C$15</definedName>
    <definedName name="Param_TwoQ">Parameters!$C$16</definedName>
    <definedName name="Param_TrackerExists">Parameters!$C$17</definedName>
    <definedName name="Param_CMCSA_On">Parameters!$C$18</definedName>
    <definedName name="Param_InputMode">Parameters!$C$19</definedName>
    <definedName name="Param_CommitExcess">Parameters!$C$22</definedName>
    <definedName name="Dash_Print">Dashboard!$C$8</definedName>
    <definedName name="_xlnm.Print_Titles" localSheetId="0">'Dashboard'!$1:$4</definedName>
    <definedName name="_xlnm.Print_Area" localSheetId="0">'Dashboard'!$A$1:$N$58</definedName>
    <definedName name="_xlnm.Print_Area" localSheetId="1">'Cover'!$A$1:$B$48</definedName>
    <definedName name="_xlnm._FilterDatabase" localSheetId="2" hidden="1">'Net-loss tracker'!$A$5:$P$5</definedName>
    <definedName name="_xlnm.Print_Area" localSheetId="2">'Net-loss tracker'!$A$1:$P$32</definedName>
    <definedName name="_xlnm.Print_Area" localSheetId="3">'Attribution'!$A$1:$P$36</definedName>
    <definedName name="_xlnm.Print_Area" localSheetId="4">'Segments'!$A$1:$P$28</definedName>
    <definedName name="_xlnm.Print_Area" localSheetId="5">'Parameters'!$A$1:$F$40</definedName>
    <definedName name="_xlnm._FilterDatabase" localSheetId="6" hidden="1">'Assumptions'!$A$5:$G$38</definedName>
    <definedName name="_xlnm.Print_Area" localSheetId="6">'Assumptions'!$A$1:$G$80</definedName>
    <definedName name="_xlnm.Print_Area" localSheetId="7">'Playbook'!$A$1:$G$20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;(#,##0);—"/>
    <numFmt numFmtId="166" formatCode="0.00×"/>
  </numFmts>
  <fonts count="11">
    <font>
      <name val="Calibri"/>
      <family val="2"/>
      <color theme="1"/>
      <sz val="11"/>
      <scheme val="minor"/>
    </font>
    <font>
      <name val="Georgia"/>
      <b val="1"/>
      <color rgb="001F4E79"/>
      <sz val="18"/>
    </font>
    <font>
      <name val="Georgia"/>
      <i val="1"/>
      <color rgb="00595959"/>
      <sz val="8"/>
    </font>
    <font>
      <name val="Georgia"/>
      <b val="1"/>
      <color rgb="00FFFFFF"/>
      <sz val="10"/>
    </font>
    <font>
      <name val="Georgia"/>
      <b val="1"/>
      <color rgb="001A1A1A"/>
      <sz val="10"/>
    </font>
    <font>
      <name val="Georgia"/>
      <color rgb="001A1A1A"/>
      <sz val="10"/>
    </font>
    <font>
      <name val="Georgia"/>
      <b val="1"/>
      <color rgb="000000FF"/>
      <sz val="10"/>
    </font>
    <font>
      <name val="Georgia"/>
      <b val="1"/>
      <color rgb="00FFFFFF"/>
      <sz val="11"/>
    </font>
    <font>
      <name val="Georgia"/>
      <color rgb="000000FF"/>
      <sz val="10"/>
    </font>
    <font>
      <name val="Georgia"/>
      <b val="1"/>
      <color rgb="001F4E79"/>
      <sz val="13"/>
    </font>
    <font>
      <name val="Georgia"/>
      <b val="1"/>
      <color rgb="001F4E79"/>
      <sz val="16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F4E79"/>
      </patternFill>
    </fill>
    <fill>
      <patternFill patternType="solid">
        <fgColor rgb="00FFFF99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11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  <border>
      <left style="thin">
        <color rgb="00D0D0D0"/>
      </left>
      <right/>
      <top/>
      <bottom/>
      <diagonal/>
    </border>
    <border>
      <left/>
      <right style="thin">
        <color rgb="00D0D0D0"/>
      </right>
      <top/>
      <bottom/>
      <diagonal/>
    </border>
    <border>
      <left style="thin">
        <color rgb="00D0D0D0"/>
      </left>
      <right/>
      <top/>
      <bottom style="thin">
        <color rgb="00D0D0D0"/>
      </bottom>
      <diagonal/>
    </border>
    <border>
      <left/>
      <right/>
      <top/>
      <bottom style="thin">
        <color rgb="00D0D0D0"/>
      </bottom>
      <diagonal/>
    </border>
    <border>
      <left/>
      <right style="thin">
        <color rgb="00D0D0D0"/>
      </right>
      <top/>
      <bottom style="thin">
        <color rgb="00D0D0D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9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165" fontId="10" fillId="2" borderId="1" applyAlignment="1" pivotButton="0" quotePrefix="0" xfId="0">
      <alignment vertical="center"/>
    </xf>
    <xf numFmtId="0" fontId="10" fillId="2" borderId="1" applyAlignment="1" pivotButton="0" quotePrefix="0" xfId="0">
      <alignment vertical="center"/>
    </xf>
    <xf numFmtId="0" fontId="7" fillId="7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vertical="center"/>
    </xf>
    <xf numFmtId="0" fontId="4" fillId="8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vertical="center"/>
    </xf>
    <xf numFmtId="164" fontId="5" fillId="8" borderId="1" applyAlignment="1" pivotButton="0" quotePrefix="0" xfId="0">
      <alignment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8" fillId="4" borderId="1" applyAlignment="1" applyProtection="1" pivotButton="0" quotePrefix="0" xfId="0">
      <alignment vertical="center"/>
      <protection locked="0" hidden="0"/>
    </xf>
    <xf numFmtId="0" fontId="5" fillId="6" borderId="1" applyAlignment="1" pivotButton="0" quotePrefix="0" xfId="0">
      <alignment vertical="center"/>
    </xf>
    <xf numFmtId="0" fontId="8" fillId="5" borderId="1" applyAlignment="1" applyProtection="1" pivotButton="0" quotePrefix="0" xfId="0">
      <alignment vertical="center"/>
      <protection locked="0" hidden="0"/>
    </xf>
    <xf numFmtId="165" fontId="4" fillId="6" borderId="1" applyAlignment="1" pivotButton="0" quotePrefix="0" xfId="0">
      <alignment vertical="center"/>
    </xf>
    <xf numFmtId="165" fontId="8" fillId="4" borderId="1" applyAlignment="1" applyProtection="1" pivotButton="0" quotePrefix="0" xfId="0">
      <alignment vertical="center"/>
      <protection locked="0" hidden="0"/>
    </xf>
    <xf numFmtId="165" fontId="4" fillId="8" borderId="1" applyAlignment="1" pivotButton="0" quotePrefix="0" xfId="0">
      <alignment vertical="center"/>
    </xf>
    <xf numFmtId="165" fontId="5" fillId="6" borderId="1" applyAlignment="1" pivotButton="0" quotePrefix="0" xfId="0">
      <alignment vertical="center"/>
    </xf>
    <xf numFmtId="10" fontId="5" fillId="8" borderId="1" applyAlignment="1" pivotButton="0" quotePrefix="0" xfId="0">
      <alignment vertical="center"/>
    </xf>
    <xf numFmtId="166" fontId="5" fillId="8" borderId="1" applyAlignment="1" pivotButton="0" quotePrefix="0" xfId="0">
      <alignment vertical="center"/>
    </xf>
    <xf numFmtId="0" fontId="6" fillId="4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applyProtection="1" pivotButton="0" quotePrefix="0" xfId="0">
      <alignment horizontal="center" vertical="center" wrapText="1"/>
      <protection locked="0" hidden="0"/>
    </xf>
    <xf numFmtId="2" fontId="6" fillId="5" borderId="1" applyAlignment="1" applyProtection="1" pivotButton="0" quotePrefix="0" xfId="0">
      <alignment horizontal="center" vertical="center" wrapText="1"/>
      <protection locked="0" hidden="0"/>
    </xf>
    <xf numFmtId="0" fontId="6" fillId="5" borderId="1" applyAlignment="1" applyProtection="1" pivotButton="0" quotePrefix="0" xfId="0">
      <alignment horizontal="center" vertical="center" wrapText="1"/>
      <protection locked="0" hidden="0"/>
    </xf>
    <xf numFmtId="165" fontId="4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name val="Georgia"/>
        <b val="1"/>
        <color rgb="001A1A1A"/>
        <sz val="10"/>
      </font>
      <fill>
        <patternFill patternType="solid">
          <fgColor rgb="00FFF2CC"/>
        </patternFill>
      </fill>
    </dxf>
    <dxf>
      <font>
        <name val="Georgia"/>
        <b val="1"/>
        <color rgb="001A1A1A"/>
        <sz val="10"/>
      </font>
      <fill>
        <patternFill patternType="solid">
          <fgColor rgb="00F8CBAD"/>
        </patternFill>
      </fill>
    </dxf>
    <dxf>
      <font>
        <name val="Georgia"/>
        <b val="1"/>
        <color rgb="001A1A1A"/>
        <sz val="1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strRef>
          <f>'Dashboard'!$B$18</f>
        </strRef>
      </tx>
    </title>
    <plotArea>
      <barChart>
        <barDir val="bar"/>
        <grouping val="stacked"/>
        <ser>
          <idx val="0"/>
          <order val="0"/>
          <tx>
            <strRef>
              <f>'Dashboard'!E19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>
              <a:solidFill>
                <a:srgbClr val="A6A6A6"/>
              </a:solidFill>
              <a:prstDash val="solid"/>
            </a:ln>
          </spPr>
          <cat>
            <numRef>
              <f>'Dashboard'!$B$20:$B$26</f>
            </numRef>
          </cat>
          <val>
            <numRef>
              <f>'Dashboard'!$E$20:$E$26</f>
            </numRef>
          </val>
        </ser>
        <ser>
          <idx val="1"/>
          <order val="1"/>
          <tx>
            <strRef>
              <f>'Dashboard'!F19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cat>
            <numRef>
              <f>'Dashboard'!$B$20:$B$26</f>
            </numRef>
          </cat>
          <val>
            <numRef>
              <f>'Dashboard'!$F$20:$F$26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strRef>
          <f>'Dashboard'!$B$29</f>
        </strRef>
      </tx>
    </title>
    <plotArea>
      <lineChart>
        <grouping val="standard"/>
        <ser>
          <idx val="0"/>
          <order val="0"/>
          <tx>
            <strRef>
              <f>'Dashboard'!B31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2E75B6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marker>
          <cat>
            <numRef>
              <f>'Dashboard'!$C$30:$N$30</f>
            </numRef>
          </cat>
          <val>
            <numRef>
              <f>'Dashboard'!$C$31:$N$31</f>
            </numRef>
          </val>
        </ser>
        <ser>
          <idx val="1"/>
          <order val="1"/>
          <tx>
            <strRef>
              <f>'Dashboard'!B32</f>
            </strRef>
          </tx>
          <spPr>
            <a:solidFill xmlns:a="http://schemas.openxmlformats.org/drawingml/2006/main">
              <a:srgbClr val="A6A6A6"/>
            </a:solidFill>
            <a:ln xmlns:a="http://schemas.openxmlformats.org/drawingml/2006/main">
              <a:solidFill>
                <a:srgbClr val="A6A6A6"/>
              </a:solidFill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>
                <a:prstDash val="solid"/>
              </a:ln>
            </spPr>
          </marker>
          <cat>
            <numRef>
              <f>'Dashboard'!$C$30:$N$30</f>
            </numRef>
          </cat>
          <val>
            <numRef>
              <f>'Dashboard'!$C$32:$N$32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18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33</row>
      <rowOff>0</rowOff>
    </from>
    <ext cx="64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B1:N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8" customWidth="1" min="14" max="14"/>
  </cols>
  <sheetData>
    <row r="1" ht="24" customHeight="1">
      <c r="B1" s="1" t="inlineStr">
        <is>
          <t>CHARTER REC 1  ·  ATTRIBUTION DIAGNOSTIC</t>
        </is>
      </c>
      <c r="C1" s="2" t="n"/>
      <c r="D1" s="2" t="n"/>
      <c r="E1" s="2" t="n"/>
      <c r="F1" s="2" t="n"/>
      <c r="G1" s="2" t="n"/>
      <c r="H1" s="2" t="n"/>
      <c r="I1" s="2" t="n"/>
      <c r="J1" s="3" t="n"/>
    </row>
    <row r="2" ht="28" customHeight="1">
      <c r="B2" s="4">
        <f>IF(C15="","Fill the quarterly net-loss tracker first — attribution cells are empty on purpose.",C15)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</row>
    <row r="3" ht="18" customHeight="1">
      <c r="B3" s="5">
        <f>CONCATENATE("Selected: ",Parameters!C5,"   ·   Units: residential Internet customers   ·   "&amp;"Yellow INPUT on Net-loss tracker / Attribution / Segments   ·   "&amp;"Public spine: Ex99.1 Q1 2026 res. Internet −117,000 · Q2 2026 −166,000 (RETRIEVED)   ·   "&amp;"Template — not a filled mix")</f>
        <v/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3" t="n"/>
    </row>
    <row r="5">
      <c r="B5" s="6" t="inlineStr">
        <is>
          <t>Res. Internet print</t>
        </is>
      </c>
      <c r="C5" s="2" t="n"/>
      <c r="D5" s="3" t="n"/>
      <c r="E5" s="6" t="inlineStr">
        <is>
          <t>vs Comcast (same quarter)</t>
        </is>
      </c>
      <c r="F5" s="2" t="n"/>
      <c r="G5" s="3" t="n"/>
      <c r="H5" s="6" t="inlineStr">
        <is>
          <t>Excess vs peer rate</t>
        </is>
      </c>
      <c r="I5" s="2" t="n"/>
      <c r="J5" s="3" t="n"/>
      <c r="K5" s="6" t="inlineStr">
        <is>
          <t>Largest reason</t>
        </is>
      </c>
      <c r="L5" s="2" t="n"/>
      <c r="M5" s="3" t="n"/>
    </row>
    <row r="6" ht="26" customHeight="1">
      <c r="B6" s="7">
        <f>'Net-loss tracker'!B37</f>
        <v/>
      </c>
      <c r="C6" s="2" t="n"/>
      <c r="D6" s="3" t="n"/>
      <c r="E6" s="7">
        <f>IF(OR(Parameters!C18="No",'Net-loss tracker'!B40=""),"n/a",'Net-loss tracker'!B40)</f>
        <v/>
      </c>
      <c r="F6" s="2" t="n"/>
      <c r="G6" s="3" t="n"/>
      <c r="H6" s="7">
        <f>IF(OR(Parameters!C18="No",'Net-loss tracker'!B46=""),"n/a",'Net-loss tracker'!B46)</f>
        <v/>
      </c>
      <c r="I6" s="2" t="n"/>
      <c r="J6" s="3" t="n"/>
      <c r="K6" s="8">
        <f>IF(Attribution!C49="No","EMPTY",Attribution!D48)</f>
        <v/>
      </c>
      <c r="L6" s="2" t="n"/>
      <c r="M6" s="3" t="n"/>
    </row>
    <row r="7">
      <c r="B7" s="5">
        <f>'Net-loss tracker'!B48</f>
        <v/>
      </c>
      <c r="C7" s="2" t="n"/>
      <c r="D7" s="3" t="n"/>
      <c r="E7" s="5">
        <f>"CMCSA resid. BB"</f>
        <v/>
      </c>
      <c r="F7" s="2" t="n"/>
      <c r="G7" s="3" t="n"/>
      <c r="H7" s="5">
        <f>"Q1 playbook commit 54k"</f>
        <v/>
      </c>
      <c r="I7" s="2" t="n"/>
      <c r="J7" s="3" t="n"/>
      <c r="K7" s="5">
        <f>IF(Attribution!C49="No","do not fire a play",TEXT(Attribution!C48,"0% of disconnects"))</f>
        <v/>
      </c>
      <c r="L7" s="2" t="n"/>
      <c r="M7" s="3" t="n"/>
    </row>
    <row r="9">
      <c r="B9" s="9" t="inlineStr">
        <is>
          <t>DIAGNOSIS PANEL  ·  thresholds live on Parameters (ESTIMATED defaults)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3" t="n"/>
    </row>
    <row r="10">
      <c r="B10" s="10" t="inlineStr">
        <is>
          <t>Test</t>
        </is>
      </c>
      <c r="C10" s="10" t="inlineStr">
        <is>
          <t>Read</t>
        </is>
      </c>
      <c r="D10" s="2" t="n"/>
      <c r="E10" s="2" t="n"/>
      <c r="F10" s="2" t="n"/>
      <c r="G10" s="2" t="n"/>
      <c r="H10" s="2" t="n"/>
      <c r="I10" s="2" t="n"/>
      <c r="J10" s="3" t="n"/>
      <c r="K10" s="10" t="inlineStr">
        <is>
          <t>Light</t>
        </is>
      </c>
      <c r="L10" s="2" t="n"/>
      <c r="M10" s="3" t="n"/>
    </row>
    <row r="11" ht="22" customHeight="1">
      <c r="B11" s="11" t="inlineStr">
        <is>
          <t>G1 tracker</t>
        </is>
      </c>
      <c r="C11" s="12">
        <f>Parameters!C17</f>
        <v/>
      </c>
      <c r="D11" s="2" t="n"/>
      <c r="E11" s="2" t="n"/>
      <c r="F11" s="2" t="n"/>
      <c r="G11" s="2" t="n"/>
      <c r="H11" s="2" t="n"/>
      <c r="I11" s="2" t="n"/>
      <c r="J11" s="3" t="n"/>
      <c r="K11" s="13">
        <f>IF(LEFT(Parameters!C17,3)="Yes","SKIP BUILD","FILL FIRST")</f>
        <v/>
      </c>
      <c r="L11" s="2" t="n"/>
      <c r="M11" s="3" t="n"/>
    </row>
    <row r="12" ht="22" customHeight="1">
      <c r="B12" s="11" t="inlineStr">
        <is>
          <t>Dominant driver (pptx &gt;= P4)</t>
        </is>
      </c>
      <c r="C12" s="12">
        <f>IF(Attribution!C49="No","EMPTY — no reason fill",IF(Attribution!C48&gt;=Parameters!C8,"DOMINANT — "&amp;Attribution!D48&amp;" holds "&amp;TEXT(Attribution!C48,"0%")&amp;" (&gt;= "&amp;TEXT(Parameters!C8,"0%")&amp;")",IF(Attribution!C48&gt;=Parameters!C9,"MIXED — largest is "&amp;TEXT(Attribution!C48,"0%")&amp;" (25-40% band). Run top two as experiments.","NULL — no cohort &gt;= "&amp;TEXT(Parameters!C9,"0%")&amp;". Scenario 6 fires.")))</f>
        <v/>
      </c>
      <c r="D12" s="2" t="n"/>
      <c r="E12" s="2" t="n"/>
      <c r="F12" s="2" t="n"/>
      <c r="G12" s="2" t="n"/>
      <c r="H12" s="2" t="n"/>
      <c r="I12" s="2" t="n"/>
      <c r="J12" s="3" t="n"/>
      <c r="K12" s="13">
        <f>IF(Attribution!C49="No","EMPTY",IF(Attribution!C48&gt;=Parameters!C8,"RED — fire one play",IF(Attribution!C48&gt;=Parameters!C9,"AMBER — experiment","GREEN — null / S6")))</f>
        <v/>
      </c>
      <c r="L12" s="2" t="n"/>
      <c r="M12" s="3" t="n"/>
    </row>
    <row r="13" ht="22" customHeight="1">
      <c r="B13" s="11" t="inlineStr">
        <is>
          <t>Scenario routed</t>
        </is>
      </c>
      <c r="C13" s="12">
        <f>C16</f>
        <v/>
      </c>
      <c r="D13" s="2" t="n"/>
      <c r="E13" s="2" t="n"/>
      <c r="F13" s="2" t="n"/>
      <c r="G13" s="2" t="n"/>
      <c r="H13" s="2" t="n"/>
      <c r="I13" s="2" t="n"/>
      <c r="J13" s="3" t="n"/>
      <c r="K13" s="13">
        <f>IF(Attribution!C49="No","HOLD","SEE PLAYBOOK")</f>
        <v/>
      </c>
      <c r="L13" s="2" t="n"/>
      <c r="M13" s="3" t="n"/>
    </row>
    <row r="14" ht="22" customHeight="1">
      <c r="B14" s="11" t="inlineStr">
        <is>
          <t>WHERE / WHO flag</t>
        </is>
      </c>
      <c r="C14" s="12">
        <f>Segments!C78</f>
        <v/>
      </c>
      <c r="D14" s="2" t="n"/>
      <c r="E14" s="2" t="n"/>
      <c r="F14" s="2" t="n"/>
      <c r="G14" s="2" t="n"/>
      <c r="H14" s="2" t="n"/>
      <c r="I14" s="2" t="n"/>
      <c r="J14" s="3" t="n"/>
      <c r="K14" s="13">
        <f>IF(LEFT(Segments!C78,5)="EMPTY","EMPTY","READ")</f>
        <v/>
      </c>
      <c r="L14" s="2" t="n"/>
      <c r="M14" s="3" t="n"/>
    </row>
    <row r="15" hidden="1">
      <c r="B15" s="6" t="inlineStr">
        <is>
          <t>Takeaway (engine)</t>
        </is>
      </c>
      <c r="C15" s="12">
        <f>IF(Attribution!C49="No","Fill the quarterly net-loss tracker first — attribution cells are empty on purpose.",IF(Attribution!C48&gt;=Parameters!C8,Attribution!D48&amp;" accounts for "&amp;TEXT(Attribution!C48,"0%")&amp;" of disconnects — above the "&amp;TEXT(Parameters!C8,"0%")&amp;" dominant-driver gate. Fire that one play on the core.",IF(Attribution!C48&gt;=Parameters!C9,"Mixed picture: "&amp;Attribution!D48&amp;" is largest at "&amp;TEXT(Attribution!C48,"0%")&amp;" but below "&amp;TEXT(Parameters!C8,"0%")&amp;". Run the top two as controlled experiments.","No dominant driver — no cohort reaches "&amp;TEXT(Parameters!C9,"0%")&amp;" of disconnects. Scenario 6 (null) is the recommendation, not a guess.")))</f>
        <v/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3" t="n"/>
    </row>
    <row r="16" hidden="1">
      <c r="B16" s="6" t="inlineStr">
        <is>
          <t>Scenario (engine)</t>
        </is>
      </c>
      <c r="C16" s="12">
        <f>IF(Attribution!C49="No","HOLD — empty cells. The playbook does not fire.",IF(AND(INDEX(Attribution!D40:D45,1)&gt;=Parameters!C10,N(Segments!D71)&gt;=0.3),"S1 FWA-driven — convergence pricing in FWA zones (kill: no churn split in 2 qtrs / negative bundle margin)",IF(INDEX(Attribution!D40:D45,2)&gt;=Parameters!C11,"S2 Fiber-driven — re-sequence evolution on overlap + symmetric win-back (kill: completed zones bleed at same rate)",IF(INDEX(Attribution!D40:D45,3)&gt;=Parameters!C12,"S3 Satellite-driven — accelerate rural activation (kill: new-passing penetration below underwriting)",IF(INDEX(Attribution!D40:D45,4)&gt;=Parameters!C9,"S4 Housing / move-out — mover capture, not a save-offer (kill: port-out data contradicts the macro story)",IF(INDEX(Attribution!D40:D45,5)&gt;=Parameters!C9,"S5 Non-pay — value tier at delinquency (kill: save-rate economics below LTV)",IF(Attribution!C48&lt;Parameters!C9,"S6 Null — no dominant driver. Market-layer disclosure + spend-capped experiments.","Largest cell is "&amp;Attribution!D48&amp;" — apply the matching lead play; do not fire two expensive levers."))))))</f>
        <v/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3" t="n"/>
    </row>
    <row r="18" ht="22" customHeight="1">
      <c r="B18" s="4">
        <f>IF(Attribution!C49="No","Reason contribution is empty — fill Attribution before this chart can make a claim","Largest leak is "&amp;Attribution!D48&amp;" at "&amp;TEXT(Attribution!C48,"0%")&amp;" of sampled disconnects  ·  gray = the rest  ·  accent = the story bar")</f>
        <v/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3" t="n"/>
    </row>
    <row r="19">
      <c r="B19" s="10" t="inlineStr">
        <is>
          <t>Reason (sorted)</t>
        </is>
      </c>
      <c r="C19" s="10" t="inlineStr">
        <is>
          <t>Disconnects</t>
        </is>
      </c>
      <c r="D19" s="10" t="inlineStr">
        <is>
          <t>Share</t>
        </is>
      </c>
      <c r="E19" s="10" t="inlineStr">
        <is>
          <t>Rest</t>
        </is>
      </c>
      <c r="F19" s="10" t="inlineStr">
        <is>
          <t>Largest</t>
        </is>
      </c>
    </row>
    <row r="20">
      <c r="B20" s="12">
        <f>Attribution!B54</f>
        <v/>
      </c>
      <c r="C20" s="14">
        <f>Attribution!C54</f>
        <v/>
      </c>
      <c r="D20" s="15">
        <f>Attribution!D54</f>
        <v/>
      </c>
      <c r="E20" s="14">
        <f>Attribution!E54</f>
        <v/>
      </c>
      <c r="F20" s="14">
        <f>Attribution!F54</f>
        <v/>
      </c>
    </row>
    <row r="21">
      <c r="B21" s="12">
        <f>Attribution!B55</f>
        <v/>
      </c>
      <c r="C21" s="14">
        <f>Attribution!C55</f>
        <v/>
      </c>
      <c r="D21" s="15">
        <f>Attribution!D55</f>
        <v/>
      </c>
      <c r="E21" s="14">
        <f>Attribution!E55</f>
        <v/>
      </c>
      <c r="F21" s="14">
        <f>Attribution!F55</f>
        <v/>
      </c>
    </row>
    <row r="22">
      <c r="B22" s="12">
        <f>Attribution!B56</f>
        <v/>
      </c>
      <c r="C22" s="14">
        <f>Attribution!C56</f>
        <v/>
      </c>
      <c r="D22" s="15">
        <f>Attribution!D56</f>
        <v/>
      </c>
      <c r="E22" s="14">
        <f>Attribution!E56</f>
        <v/>
      </c>
      <c r="F22" s="14">
        <f>Attribution!F56</f>
        <v/>
      </c>
    </row>
    <row r="23">
      <c r="B23" s="12">
        <f>Attribution!B57</f>
        <v/>
      </c>
      <c r="C23" s="14">
        <f>Attribution!C57</f>
        <v/>
      </c>
      <c r="D23" s="15">
        <f>Attribution!D57</f>
        <v/>
      </c>
      <c r="E23" s="14">
        <f>Attribution!E57</f>
        <v/>
      </c>
      <c r="F23" s="14">
        <f>Attribution!F57</f>
        <v/>
      </c>
    </row>
    <row r="24">
      <c r="B24" s="12">
        <f>Attribution!B58</f>
        <v/>
      </c>
      <c r="C24" s="14">
        <f>Attribution!C58</f>
        <v/>
      </c>
      <c r="D24" s="15">
        <f>Attribution!D58</f>
        <v/>
      </c>
      <c r="E24" s="14">
        <f>Attribution!E58</f>
        <v/>
      </c>
      <c r="F24" s="14">
        <f>Attribution!F58</f>
        <v/>
      </c>
    </row>
    <row r="25">
      <c r="B25" s="12">
        <f>Attribution!B59</f>
        <v/>
      </c>
      <c r="C25" s="14">
        <f>Attribution!C59</f>
        <v/>
      </c>
      <c r="D25" s="15">
        <f>Attribution!D59</f>
        <v/>
      </c>
      <c r="E25" s="14">
        <f>Attribution!E59</f>
        <v/>
      </c>
      <c r="F25" s="14">
        <f>Attribution!F59</f>
        <v/>
      </c>
    </row>
    <row r="26">
      <c r="B26" s="12">
        <f>Attribution!B60</f>
        <v/>
      </c>
      <c r="C26" s="14">
        <f>Attribution!C60</f>
        <v/>
      </c>
      <c r="D26" s="15">
        <f>Attribution!D60</f>
        <v/>
      </c>
      <c r="E26" s="14">
        <f>Attribution!E60</f>
        <v/>
      </c>
      <c r="F26" s="14">
        <f>Attribution!F60</f>
        <v/>
      </c>
    </row>
    <row r="27">
      <c r="B27" s="5" t="inlineStr">
        <is>
          <t>Source: Attribution A1-A7 (user-entered counts) · Residual is derived · Bars begin at zero · One accent (largest) vs gray · Not a pie</t>
        </is>
      </c>
      <c r="C27" s="2" t="n"/>
      <c r="D27" s="2" t="n"/>
      <c r="E27" s="2" t="n"/>
      <c r="F27" s="3" t="n"/>
    </row>
    <row r="29">
      <c r="B29" s="4">
        <f>IF('Net-loss tracker'!J11="","Residential Internet print — public spine only until internals fill","Charter residential Internet stayed worse than Comcast in every quarter both prints exist")</f>
        <v/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3" t="n"/>
    </row>
    <row r="30">
      <c r="B30" s="10" t="inlineStr">
        <is>
          <t>Quarter</t>
        </is>
      </c>
      <c r="C30" s="10" t="inlineStr">
        <is>
          <t>Q1 2024</t>
        </is>
      </c>
      <c r="D30" s="10" t="inlineStr">
        <is>
          <t>Q2 2024</t>
        </is>
      </c>
      <c r="E30" s="10" t="inlineStr">
        <is>
          <t>Q3 2024</t>
        </is>
      </c>
      <c r="F30" s="10" t="inlineStr">
        <is>
          <t>Q4 2024</t>
        </is>
      </c>
      <c r="G30" s="10" t="inlineStr">
        <is>
          <t>Q1 2025</t>
        </is>
      </c>
      <c r="H30" s="10" t="inlineStr">
        <is>
          <t>Q2 2025</t>
        </is>
      </c>
      <c r="I30" s="10" t="inlineStr">
        <is>
          <t>Q3 2025</t>
        </is>
      </c>
      <c r="J30" s="10" t="inlineStr">
        <is>
          <t>Q4 2025</t>
        </is>
      </c>
      <c r="K30" s="10" t="inlineStr">
        <is>
          <t>Q1 2026</t>
        </is>
      </c>
      <c r="L30" s="10" t="inlineStr">
        <is>
          <t>Q2 2026</t>
        </is>
      </c>
      <c r="M30" s="10" t="inlineStr">
        <is>
          <t>Q3 2026</t>
        </is>
      </c>
      <c r="N30" s="10" t="inlineStr">
        <is>
          <t>Q4 2026</t>
        </is>
      </c>
    </row>
    <row r="31">
      <c r="B31" s="11" t="inlineStr">
        <is>
          <t>CHTR res. Internet</t>
        </is>
      </c>
      <c r="C31" s="14">
        <f>IF('Net-loss tracker'!E11="",NA(),'Net-loss tracker'!E11)</f>
        <v/>
      </c>
      <c r="D31" s="14">
        <f>IF('Net-loss tracker'!F11="",NA(),'Net-loss tracker'!F11)</f>
        <v/>
      </c>
      <c r="E31" s="14">
        <f>IF('Net-loss tracker'!G11="",NA(),'Net-loss tracker'!G11)</f>
        <v/>
      </c>
      <c r="F31" s="14">
        <f>IF('Net-loss tracker'!H11="",NA(),'Net-loss tracker'!H11)</f>
        <v/>
      </c>
      <c r="G31" s="14">
        <f>IF('Net-loss tracker'!I11="",NA(),'Net-loss tracker'!I11)</f>
        <v/>
      </c>
      <c r="H31" s="14">
        <f>IF('Net-loss tracker'!J11="",NA(),'Net-loss tracker'!J11)</f>
        <v/>
      </c>
      <c r="I31" s="14">
        <f>IF('Net-loss tracker'!K11="",NA(),'Net-loss tracker'!K11)</f>
        <v/>
      </c>
      <c r="J31" s="14">
        <f>IF('Net-loss tracker'!L11="",NA(),'Net-loss tracker'!L11)</f>
        <v/>
      </c>
      <c r="K31" s="14">
        <f>IF('Net-loss tracker'!M11="",NA(),'Net-loss tracker'!M11)</f>
        <v/>
      </c>
      <c r="L31" s="14">
        <f>IF('Net-loss tracker'!N11="",NA(),'Net-loss tracker'!N11)</f>
        <v/>
      </c>
      <c r="M31" s="14">
        <f>IF('Net-loss tracker'!O11="",NA(),'Net-loss tracker'!O11)</f>
        <v/>
      </c>
      <c r="N31" s="14">
        <f>IF('Net-loss tracker'!P11="",NA(),'Net-loss tracker'!P11)</f>
        <v/>
      </c>
    </row>
    <row r="32">
      <c r="B32" s="6" t="inlineStr">
        <is>
          <t>CMCSA resid. BB</t>
        </is>
      </c>
      <c r="C32" s="14">
        <f>IF('Net-loss tracker'!E14="",NA(),'Net-loss tracker'!E14)</f>
        <v/>
      </c>
      <c r="D32" s="14">
        <f>IF('Net-loss tracker'!F14="",NA(),'Net-loss tracker'!F14)</f>
        <v/>
      </c>
      <c r="E32" s="14">
        <f>IF('Net-loss tracker'!G14="",NA(),'Net-loss tracker'!G14)</f>
        <v/>
      </c>
      <c r="F32" s="14">
        <f>IF('Net-loss tracker'!H14="",NA(),'Net-loss tracker'!H14)</f>
        <v/>
      </c>
      <c r="G32" s="14">
        <f>IF('Net-loss tracker'!I14="",NA(),'Net-loss tracker'!I14)</f>
        <v/>
      </c>
      <c r="H32" s="14">
        <f>IF('Net-loss tracker'!J14="",NA(),'Net-loss tracker'!J14)</f>
        <v/>
      </c>
      <c r="I32" s="14">
        <f>IF('Net-loss tracker'!K14="",NA(),'Net-loss tracker'!K14)</f>
        <v/>
      </c>
      <c r="J32" s="14">
        <f>IF('Net-loss tracker'!L14="",NA(),'Net-loss tracker'!L14)</f>
        <v/>
      </c>
      <c r="K32" s="14">
        <f>IF('Net-loss tracker'!M14="",NA(),'Net-loss tracker'!M14)</f>
        <v/>
      </c>
      <c r="L32" s="14">
        <f>IF('Net-loss tracker'!N14="",NA(),'Net-loss tracker'!N14)</f>
        <v/>
      </c>
      <c r="M32" s="14">
        <f>IF('Net-loss tracker'!O14="",NA(),'Net-loss tracker'!O14)</f>
        <v/>
      </c>
      <c r="N32" s="14">
        <f>IF('Net-loss tracker'!P14="",NA(),'Net-loss tracker'!P14)</f>
        <v/>
      </c>
    </row>
    <row r="33">
      <c r="B33" s="6" t="inlineStr">
        <is>
          <t>Excess vs CMCSA rate</t>
        </is>
      </c>
      <c r="C33" s="14">
        <f>IF('Net-loss tracker'!E20="",NA(),'Net-loss tracker'!E20)</f>
        <v/>
      </c>
      <c r="D33" s="14">
        <f>IF('Net-loss tracker'!F20="",NA(),'Net-loss tracker'!F20)</f>
        <v/>
      </c>
      <c r="E33" s="14">
        <f>IF('Net-loss tracker'!G20="",NA(),'Net-loss tracker'!G20)</f>
        <v/>
      </c>
      <c r="F33" s="14">
        <f>IF('Net-loss tracker'!H20="",NA(),'Net-loss tracker'!H20)</f>
        <v/>
      </c>
      <c r="G33" s="14">
        <f>IF('Net-loss tracker'!I20="",NA(),'Net-loss tracker'!I20)</f>
        <v/>
      </c>
      <c r="H33" s="14">
        <f>IF('Net-loss tracker'!J20="",NA(),'Net-loss tracker'!J20)</f>
        <v/>
      </c>
      <c r="I33" s="14">
        <f>IF('Net-loss tracker'!K20="",NA(),'Net-loss tracker'!K20)</f>
        <v/>
      </c>
      <c r="J33" s="14">
        <f>IF('Net-loss tracker'!L20="",NA(),'Net-loss tracker'!L20)</f>
        <v/>
      </c>
      <c r="K33" s="14">
        <f>IF('Net-loss tracker'!M20="",NA(),'Net-loss tracker'!M20)</f>
        <v/>
      </c>
      <c r="L33" s="14">
        <f>IF('Net-loss tracker'!N20="",NA(),'Net-loss tracker'!N20)</f>
        <v/>
      </c>
      <c r="M33" s="14">
        <f>IF('Net-loss tracker'!O20="",NA(),'Net-loss tracker'!O20)</f>
        <v/>
      </c>
      <c r="N33" s="14">
        <f>IF('Net-loss tracker'!P20="",NA(),'Net-loss tracker'!P20)</f>
        <v/>
      </c>
    </row>
    <row r="34">
      <c r="K34" s="5" t="inlineStr">
        <is>
          <t>Axis note: line chart may zoom off zero because the story is movement in a tight negative band. Bars on this sheet still start at zero.</t>
        </is>
      </c>
      <c r="L34" s="16" t="n"/>
      <c r="M34" s="17" t="n"/>
    </row>
    <row r="35">
      <c r="K35" s="18" t="n"/>
      <c r="M35" s="19" t="n"/>
    </row>
    <row r="36">
      <c r="K36" s="20" t="n"/>
      <c r="L36" s="21" t="n"/>
      <c r="M36" s="22" t="n"/>
    </row>
    <row r="48">
      <c r="B48" s="9" t="inlineStr">
        <is>
          <t>KILL RULES AND UNWILLING-TO-CLAIM  ·  written before the recommendation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3" t="n"/>
    </row>
    <row r="49">
      <c r="B49" s="10" t="inlineStr">
        <is>
          <t>#</t>
        </is>
      </c>
      <c r="C49" s="10" t="inlineStr">
        <is>
          <t>Rule (from pptx + six-recommendation-areas / decisions.md)</t>
        </is>
      </c>
      <c r="D49" s="2" t="n"/>
      <c r="E49" s="2" t="n"/>
      <c r="F49" s="2" t="n"/>
      <c r="G49" s="2" t="n"/>
      <c r="H49" s="2" t="n"/>
      <c r="I49" s="2" t="n"/>
      <c r="J49" s="3" t="n"/>
      <c r="K49" s="10" t="inlineStr">
        <is>
          <t>This quarter</t>
        </is>
      </c>
      <c r="L49" s="2" t="n"/>
      <c r="M49" s="3" t="n"/>
    </row>
    <row r="50" ht="28" customHeight="1">
      <c r="B50" s="11" t="inlineStr">
        <is>
          <t>K1</t>
        </is>
      </c>
      <c r="C50" s="5" t="inlineStr">
        <is>
          <t>Tracker already exists and is used quarterly -&gt; skip Area 1 build; go to mix control.</t>
        </is>
      </c>
      <c r="D50" s="2" t="n"/>
      <c r="E50" s="2" t="n"/>
      <c r="F50" s="2" t="n"/>
      <c r="G50" s="2" t="n"/>
      <c r="H50" s="2" t="n"/>
      <c r="I50" s="2" t="n"/>
      <c r="J50" s="3" t="n"/>
      <c r="K50" s="13">
        <f>IF(LEFT(Parameters!C17,3)="Yes","KILL — skip G1 build","OPEN — fill G1")</f>
        <v/>
      </c>
      <c r="L50" s="2" t="n"/>
      <c r="M50" s="3" t="n"/>
    </row>
    <row r="51" ht="28" customHeight="1">
      <c r="B51" s="11" t="inlineStr">
        <is>
          <t>K2</t>
        </is>
      </c>
      <c r="C51" s="5" t="inlineStr">
        <is>
          <t>Fill shows move-out matching Comcast -&gt; kill Area 2 as a Charter-specific print; Area 6 becomes the CEO-charge answer. Do not add rural miles.</t>
        </is>
      </c>
      <c r="D51" s="2" t="n"/>
      <c r="E51" s="2" t="n"/>
      <c r="F51" s="2" t="n"/>
      <c r="G51" s="2" t="n"/>
      <c r="H51" s="2" t="n"/>
      <c r="I51" s="2" t="n"/>
      <c r="J51" s="3" t="n"/>
      <c r="K51" s="13">
        <f>IF(OR(Attribution!C49="No",'Net-loss tracker'!B46=""),"UNTESTED",IF(AND(Attribution!D48=Parameters!B29,'Net-loss tracker'!B46&lt;=0),"KILL Area 2 — move-out / no excess","OPEN")</f>
        <v/>
      </c>
      <c r="L51" s="2" t="n"/>
      <c r="M51" s="3" t="n"/>
    </row>
    <row r="52" ht="28" customHeight="1">
      <c r="B52" s="11" t="inlineStr">
        <is>
          <t>K3</t>
        </is>
      </c>
      <c r="C52" s="5" t="inlineStr">
        <is>
          <t>Do not fire two expensive levers in the same quarter. Co-equal cells: cheaper first (Parameters P9).</t>
        </is>
      </c>
      <c r="D52" s="2" t="n"/>
      <c r="E52" s="2" t="n"/>
      <c r="F52" s="2" t="n"/>
      <c r="G52" s="2" t="n"/>
      <c r="H52" s="2" t="n"/>
      <c r="I52" s="2" t="n"/>
      <c r="J52" s="3" t="n"/>
      <c r="K52" s="13">
        <f>IF(AND(Attribution!C49="Yes",Attribution!C50&gt;=Parameters!C9,ABS(Attribution!C48-Attribution!C50)&lt;=Parameters!C13),"CO-EQUAL — fire the cheaper lever only","OK")</f>
        <v/>
      </c>
      <c r="L52" s="2" t="n"/>
      <c r="M52" s="3" t="n"/>
    </row>
    <row r="53" ht="28" customHeight="1">
      <c r="B53" s="11" t="inlineStr">
        <is>
          <t>K4</t>
        </is>
      </c>
      <c r="C53" s="5" t="inlineStr">
        <is>
          <t>Do not treat call-center reason codes as the trigger. Sample the disconnect (pptx slide 4).</t>
        </is>
      </c>
      <c r="D53" s="2" t="n"/>
      <c r="E53" s="2" t="n"/>
      <c r="F53" s="2" t="n"/>
      <c r="G53" s="2" t="n"/>
      <c r="H53" s="2" t="n"/>
      <c r="I53" s="2" t="n"/>
      <c r="J53" s="3" t="n"/>
      <c r="K53" s="13" t="inlineStr">
        <is>
          <t>PROCESS — not a cell</t>
        </is>
      </c>
      <c r="L53" s="2" t="n"/>
      <c r="M53" s="3" t="n"/>
    </row>
    <row r="54" ht="28" customHeight="1">
      <c r="B54" s="11" t="inlineStr">
        <is>
          <t>K5</t>
        </is>
      </c>
      <c r="C54" s="5" t="inlineStr">
        <is>
          <t>Do not add rural miles to fix a core leak. Do not fire company-wide upgrade/rebuild as the default to move-out, FWA, nonpay, or off-overlap.</t>
        </is>
      </c>
      <c r="D54" s="2" t="n"/>
      <c r="E54" s="2" t="n"/>
      <c r="F54" s="2" t="n"/>
      <c r="G54" s="2" t="n"/>
      <c r="H54" s="2" t="n"/>
      <c r="I54" s="2" t="n"/>
      <c r="J54" s="3" t="n"/>
      <c r="K54" s="13">
        <f>IF(LEFT(Segments!C79,4)="Core","CORE — no rural miles",IF(LEFT(Segments!C78,5)="EMPTY","UNTESTED","READ F2"))</f>
        <v/>
      </c>
      <c r="L54" s="2" t="n"/>
      <c r="M54" s="3" t="n"/>
    </row>
    <row r="55" ht="28" customHeight="1">
      <c r="B55" s="11" t="inlineStr">
        <is>
          <t>K6</t>
        </is>
      </c>
      <c r="C55" s="5" t="inlineStr">
        <is>
          <t>PPTX interlock: two consecutive quarters before full-scale (experiments may start on one).</t>
        </is>
      </c>
      <c r="D55" s="2" t="n"/>
      <c r="E55" s="2" t="n"/>
      <c r="F55" s="2" t="n"/>
      <c r="G55" s="2" t="n"/>
      <c r="H55" s="2" t="n"/>
      <c r="I55" s="2" t="n"/>
      <c r="J55" s="3" t="n"/>
      <c r="K55" s="13">
        <f>IF(Parameters!C16="Yes","ARMED — full-scale needs 2 qtrs","OFF")</f>
        <v/>
      </c>
      <c r="L55" s="2" t="n"/>
      <c r="M55" s="3" t="n"/>
    </row>
    <row r="56" ht="28" customHeight="1">
      <c r="B56" s="11" t="inlineStr">
        <is>
          <t>K7</t>
        </is>
      </c>
      <c r="C56" s="5" t="inlineStr">
        <is>
          <t>Unwilling to claim: a filled mix, a gross churn rate, that -66k re-rates five-year ~80%, that mobile offsets Internet, that 54k sits in any one cell until the first fill.</t>
        </is>
      </c>
      <c r="D56" s="2" t="n"/>
      <c r="E56" s="2" t="n"/>
      <c r="F56" s="2" t="n"/>
      <c r="G56" s="2" t="n"/>
      <c r="H56" s="2" t="n"/>
      <c r="I56" s="2" t="n"/>
      <c r="J56" s="3" t="n"/>
      <c r="K56" s="13" t="inlineStr">
        <is>
          <t>STANDING</t>
        </is>
      </c>
      <c r="L56" s="2" t="n"/>
      <c r="M56" s="3" t="n"/>
    </row>
    <row r="58">
      <c r="B58" s="5" t="inlineStr">
        <is>
          <t>Print-friendly: this sheet is the exhibit. Backup arithmetic lives on Net-loss tracker, Attribution, Segments, Assumptions. Do not present empty attribution cells as a measured mix. Title (row 2) updates from formulas when numbers are pasted.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3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50">
    <mergeCell ref="B2:M2"/>
    <mergeCell ref="B48:M48"/>
    <mergeCell ref="K50:M50"/>
    <mergeCell ref="C15:M15"/>
    <mergeCell ref="B1:J1"/>
    <mergeCell ref="C14:J14"/>
    <mergeCell ref="K12:M12"/>
    <mergeCell ref="K56:M56"/>
    <mergeCell ref="K52:M52"/>
    <mergeCell ref="B27:F27"/>
    <mergeCell ref="H7:J7"/>
    <mergeCell ref="E6:G6"/>
    <mergeCell ref="B29:M29"/>
    <mergeCell ref="C49:J49"/>
    <mergeCell ref="K14:M14"/>
    <mergeCell ref="C10:J10"/>
    <mergeCell ref="C54:J54"/>
    <mergeCell ref="C50:J50"/>
    <mergeCell ref="C16:M16"/>
    <mergeCell ref="B9:M9"/>
    <mergeCell ref="C55:J55"/>
    <mergeCell ref="E7:G7"/>
    <mergeCell ref="B6:D6"/>
    <mergeCell ref="K7:M7"/>
    <mergeCell ref="K53:M53"/>
    <mergeCell ref="C12:J12"/>
    <mergeCell ref="B5:D5"/>
    <mergeCell ref="C56:J56"/>
    <mergeCell ref="K10:M10"/>
    <mergeCell ref="K6:M6"/>
    <mergeCell ref="K13:M13"/>
    <mergeCell ref="H5:J5"/>
    <mergeCell ref="C11:J11"/>
    <mergeCell ref="C51:J51"/>
    <mergeCell ref="K49:M49"/>
    <mergeCell ref="C52:J52"/>
    <mergeCell ref="B7:D7"/>
    <mergeCell ref="K34:M36"/>
    <mergeCell ref="B3:M3"/>
    <mergeCell ref="E5:G5"/>
    <mergeCell ref="K5:M5"/>
    <mergeCell ref="K54:M54"/>
    <mergeCell ref="K55:M55"/>
    <mergeCell ref="C13:J13"/>
    <mergeCell ref="B18:M18"/>
    <mergeCell ref="K51:M51"/>
    <mergeCell ref="C53:J53"/>
    <mergeCell ref="B58:M58"/>
    <mergeCell ref="K11:M11"/>
    <mergeCell ref="H6:J6"/>
  </mergeCells>
  <conditionalFormatting sqref="K11:M14">
    <cfRule type="expression" priority="1" dxfId="0">
      <formula>LEFT(K11,4)="FILL"</formula>
    </cfRule>
    <cfRule type="expression" priority="2" dxfId="1">
      <formula>LEFT(K11,3)="RED"</formula>
    </cfRule>
    <cfRule type="expression" priority="3" dxfId="0">
      <formula>LEFT(K11,5)="AMBER"</formula>
    </cfRule>
    <cfRule type="expression" priority="4" dxfId="2">
      <formula>LEFT(K11,5)="GREEN"</formula>
    </cfRule>
    <cfRule type="expression" priority="5" dxfId="2">
      <formula>LEFT(K11,4)="SKIP"</formula>
    </cfRule>
  </conditionalFormatting>
  <conditionalFormatting sqref="K50:M56">
    <cfRule type="expression" priority="6" dxfId="1">
      <formula>LEFT(K50,4)="KILL"</formula>
    </cfRule>
    <cfRule type="expression" priority="7" dxfId="0">
      <formula>LEFT(K50,4)="OPEN"</formula>
    </cfRule>
  </conditionalFormatting>
  <pageMargins left="0.4" right="0.4" top="0.5" bottom="0.5" header="0.5" footer="0.5"/>
  <pageSetup orientation="landscape" paperSize="3" fitToHeight="1" fitToWidth="1" horizontalDpi="300"/>
  <headerFooter>
    <oddHeader>&amp;LCHTR Rec 1 · Attribution diagnostic TEMPLATE</oddHeader>
    <oddFooter>&amp;LYellow = INPUT · Green = RETRIEVED Ex99.1 · Gray = formula · Not a filled mix&amp;RPage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B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1" t="inlineStr">
        <is>
          <t>COVER  ·  HOW TO USE THIS TEMPLATE</t>
        </is>
      </c>
      <c r="B1" s="3" t="n"/>
    </row>
    <row r="2" ht="28" customHeight="1">
      <c r="A2" s="4" t="inlineStr">
        <is>
          <t>A diagnostic template for privatized / internal numbers. It is not a filled Charter mix and it does not fire Rec 1 from empty cells.</t>
        </is>
      </c>
      <c r="B2" s="3" t="n"/>
    </row>
    <row r="4">
      <c r="A4" s="9" t="inlineStr">
        <is>
          <t>What this is</t>
        </is>
      </c>
      <c r="B4" s="3" t="n"/>
    </row>
    <row r="5" ht="36" customHeight="1">
      <c r="A5" s="11" t="inlineStr">
        <is>
          <t>Job</t>
        </is>
      </c>
      <c r="B5" s="5" t="inlineStr">
        <is>
          <t>Rec 1 sensor + playbook from CHTR_Rec1_AttributionPlaybook.pptx, wired to the G1 quarterly net-loss tracker language in Decisions/six-recommendation-areas.md and Decisions/decisions.md. Charter (or the case team) pastes internals; Excel diagnoses them.</t>
        </is>
      </c>
    </row>
    <row r="6" ht="36" customHeight="1">
      <c r="A6" s="11" t="inlineStr">
        <is>
          <t>What it is not</t>
        </is>
      </c>
      <c r="B6" s="5" t="inlineStr">
        <is>
          <t>Not a study. Not invented quarterly net-adds presented as Ex99.1. Not a reason play you can take to the CEO while Attribution is empty. Not a password-locked model.</t>
        </is>
      </c>
    </row>
    <row r="8">
      <c r="A8" s="9" t="inlineStr">
        <is>
          <t>Color and tags</t>
        </is>
      </c>
      <c r="B8" s="3" t="n"/>
    </row>
    <row r="9">
      <c r="A9" s="23" t="inlineStr">
        <is>
          <t>Yellow + blue font</t>
        </is>
      </c>
      <c r="B9" s="5" t="inlineStr">
        <is>
          <t>INPUT — user-entered privatized / internal. Unlock these; type over them.</t>
        </is>
      </c>
    </row>
    <row r="10">
      <c r="A10" s="24" t="inlineStr">
        <is>
          <t>Green</t>
        </is>
      </c>
      <c r="B10" s="5" t="inlineStr">
        <is>
          <t>RETRIEVED — public Ex99.1 / trending / CMCSA Ex99.1. Prefill is a citation, not an attribution.</t>
        </is>
      </c>
    </row>
    <row r="11">
      <c r="A11" s="25" t="inlineStr">
        <is>
          <t>Blue fill</t>
        </is>
      </c>
      <c r="B11" s="5" t="inlineStr">
        <is>
          <t>ESTIMATED — template default thresholds from the pptx (40 / 25 / 35). Change them on Parameters before go-live.</t>
        </is>
      </c>
    </row>
    <row r="12">
      <c r="A12" s="12" t="inlineStr">
        <is>
          <t>Gray</t>
        </is>
      </c>
      <c r="B12" s="5" t="inlineStr">
        <is>
          <t>DERIVED — Excel formula. Do not overwrite. Recompute happens in the workbook, not in this cover.</t>
        </is>
      </c>
    </row>
    <row r="14">
      <c r="A14" s="9" t="inlineStr">
        <is>
          <t>How the user fills it</t>
        </is>
      </c>
      <c r="B14" s="3" t="n"/>
    </row>
    <row r="15" ht="48" customHeight="1">
      <c r="A15" s="11" t="inlineStr">
        <is>
          <t>1. Parameters</t>
        </is>
      </c>
      <c r="B15" s="5" t="inlineStr">
        <is>
          <t>Set the selected quarter (default Q1 2026 — the assignment anchor; Q2 is a later public fact). Answer tracker already exists? If yes, skip the G1 build. Confirm Comcast benchmark on, and leave thresholds at pptx defaults unless the executive team ratifies new ones.</t>
        </is>
      </c>
    </row>
    <row r="16" ht="48" customHeight="1">
      <c r="A16" s="11" t="inlineStr">
        <is>
          <t>2. Net-loss tracker first</t>
        </is>
      </c>
      <c r="B16" s="5" t="inlineStr">
        <is>
          <t>Paste beginning residential Internet PSUs, gross adds, and disconnects in yellow. Net is a formula (T2 - T3). Public prints are already filled where Ex99.1 exists (Q1 2026 -117,000; Q2 2026 -166,000). Do not invent internals to match them. Comcast Q1 -65,000 / begin 28,719,000 is filled; other Comcast quarters stay blank.</t>
        </is>
      </c>
    </row>
    <row r="17" ht="48" customHeight="1">
      <c r="A17" s="11" t="inlineStr">
        <is>
          <t>3. Attribution</t>
        </is>
      </c>
      <c r="B17" s="5" t="inlineStr">
        <is>
          <t>Paste sampled disconnect COUNTS by cause-cohort (FWA, fiber, satellite, move-out, non-pay, service/other). Not agent codes. Residual is a formula against tracker disconnects. Exposure-class counts (and optional begin PSUs) test the pptx sensor vs the uncontested control.</t>
        </is>
      </c>
    </row>
    <row r="18" ht="48" customHeight="1">
      <c r="A18" s="11" t="inlineStr">
        <is>
          <t>4. Segments</t>
        </is>
      </c>
      <c r="B18" s="5" t="inlineStr">
        <is>
          <t>Paste WHERE (core / rural / AT&amp;T / Verizon / rest) and WHO (tenure, product at leave, ARPU, audited exit signal). 27% / 16% are footprint mix — do not paste them as losses. Rural CR +41k is not the rural Internet cut.</t>
        </is>
      </c>
    </row>
    <row r="19" ht="48" customHeight="1">
      <c r="A19" s="11" t="inlineStr">
        <is>
          <t>5. Read Dashboard only after 2-4</t>
        </is>
      </c>
      <c r="B19" s="5" t="inlineStr">
        <is>
          <t>Row 2 is the takeaway (formula). Traffic lights apply pptx 40 / 25 / 35 gates. One accent bar vs gray. Kill rules sit on the same page. If Attribution is empty, the title will tell you to fill the tracker first — believe it.</t>
        </is>
      </c>
    </row>
    <row r="21">
      <c r="A21" s="9" t="inlineStr">
        <is>
          <t>Sheet map</t>
        </is>
      </c>
      <c r="B21" s="3" t="n"/>
    </row>
    <row r="22">
      <c r="A22" s="11" t="inlineStr">
        <is>
          <t>Dashboard</t>
        </is>
      </c>
      <c r="B22" s="5" t="inlineStr">
        <is>
          <t>Print-first exhibit. Formula titles, KPIs, reason bars, CHTR vs CMCSA line, diagnosis, kill rules.</t>
        </is>
      </c>
    </row>
    <row r="23">
      <c r="A23" s="11" t="inlineStr">
        <is>
          <t>Cover</t>
        </is>
      </c>
      <c r="B23" s="5" t="inlineStr">
        <is>
          <t>This page.</t>
        </is>
      </c>
    </row>
    <row r="24">
      <c r="A24" s="11" t="inlineStr">
        <is>
          <t>Net-loss tracker</t>
        </is>
      </c>
      <c r="B24" s="5" t="inlineStr">
        <is>
          <t>G1. Quarters as columns. Internals yellow; public prints green; net / rates / excess formulas.</t>
        </is>
      </c>
    </row>
    <row r="25">
      <c r="A25" s="11" t="inlineStr">
        <is>
          <t>Attribution</t>
        </is>
      </c>
      <c r="B25" s="5" t="inlineStr">
        <is>
          <t>Reason counts, residual, shares, contribution, exposure class, sorted chart feed.</t>
        </is>
      </c>
    </row>
    <row r="26">
      <c r="A26" s="11" t="inlineStr">
        <is>
          <t>Segments</t>
        </is>
      </c>
      <c r="B26" s="5" t="inlineStr">
        <is>
          <t>WHERE / WHO input grids + flags (core vs rural, overlap, tenure, exit signal).</t>
        </is>
      </c>
    </row>
    <row r="27">
      <c r="A27" s="11" t="inlineStr">
        <is>
          <t>Parameters</t>
        </is>
      </c>
      <c r="B27" s="5" t="inlineStr">
        <is>
          <t>Quarter, taxonomy, thresholds, Comcast toggle, highlight hex, dropdowns.</t>
        </is>
      </c>
    </row>
    <row r="28">
      <c r="A28" s="11" t="inlineStr">
        <is>
          <t>Assumptions</t>
        </is>
      </c>
      <c r="B28" s="5" t="inlineStr">
        <is>
          <t>One line per input, ID, RETRIEVED vs INPUT vs ESTIMATED, source.</t>
        </is>
      </c>
    </row>
    <row r="29">
      <c r="A29" s="11" t="inlineStr">
        <is>
          <t>Playbook</t>
        </is>
      </c>
      <c r="B29" s="5" t="inlineStr">
        <is>
          <t>Six pptx scenarios + GAP R1-R4: trigger, play, economics gate, proof, kill, fallback. Reference only.</t>
        </is>
      </c>
    </row>
    <row r="31">
      <c r="A31" s="9" t="inlineStr">
        <is>
          <t>Public figures prefilled (RETRIEVED)</t>
        </is>
      </c>
      <c r="B31" s="3" t="n"/>
    </row>
    <row r="32" ht="36" customHeight="1">
      <c r="A32" s="11" t="inlineStr">
        <is>
          <t>Residential Internet</t>
        </is>
      </c>
      <c r="B32" s="5" t="inlineStr">
        <is>
          <t>Q1 2026 -117,000 · Q2 2026 -166,000 · plus 2024-2025 quarterly prints from the Q1 trending schedule. Company Internet -120,000 / -172,000 is context only.</t>
        </is>
      </c>
    </row>
    <row r="33" ht="36" customHeight="1">
      <c r="A33" s="11" t="inlineStr">
        <is>
          <t>Begin PSUs</t>
        </is>
      </c>
      <c r="B33" s="5" t="inlineStr">
        <is>
          <t>Q1 2026 begin 27,641,000 (YE2025 EOP). Other begins from trending EOP identity. Overwrite if the internal census differs.</t>
        </is>
      </c>
    </row>
    <row r="34" ht="36" customHeight="1">
      <c r="A34" s="11" t="inlineStr">
        <is>
          <t>Comcast</t>
        </is>
      </c>
      <c r="B34" s="5" t="inlineStr">
        <is>
          <t>Q1 2026 domestic residential BB -65,000; begin 28,719,000. Excess vs that rate is the 54k identity (commit 54,000, round down from 54.4k) — cited from six-recommendation-areas.md / network_churn_model.py, not the pptx.</t>
        </is>
      </c>
    </row>
    <row r="36">
      <c r="A36" s="9" t="inlineStr">
        <is>
          <t>Could not map from the pptx alone</t>
        </is>
      </c>
      <c r="B36" s="3" t="n"/>
    </row>
    <row r="37" ht="48" customHeight="1">
      <c r="A37" s="11" t="inlineStr">
        <is>
          <t>See return note</t>
        </is>
      </c>
      <c r="B37" s="5" t="inlineStr">
        <is>
          <t>The pptx does not specify the G1 grid, the 54k Comcast excess, product-mix-at-leave, or a numeric satellite threshold. Those come from six-recommendation-areas.md / decisions.md (labeled). MVNO wholesale cost, LTV gates, port-out carrier shares, BDC location joins, and treatment/control results are open client items (pptx slide 12) — they are not fake-filled here.</t>
        </is>
      </c>
    </row>
    <row r="39">
      <c r="A39" s="9" t="inlineStr">
        <is>
          <t>Question for the client</t>
        </is>
      </c>
      <c r="B39" s="3" t="n"/>
    </row>
    <row r="40" ht="32" customHeight="1">
      <c r="A40" s="11" t="inlineStr">
        <is>
          <t>Binary</t>
        </is>
      </c>
      <c r="B40" s="3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10">
    <mergeCell ref="A4:B4"/>
    <mergeCell ref="A31:B31"/>
    <mergeCell ref="A21:B21"/>
    <mergeCell ref="A2:B2"/>
    <mergeCell ref="A36:B36"/>
    <mergeCell ref="A14:B14"/>
    <mergeCell ref="A1:B1"/>
    <mergeCell ref="A40:B40"/>
    <mergeCell ref="A8:B8"/>
    <mergeCell ref="A39:B39"/>
  </mergeCells>
  <pageMargins left="0.4" right="0.4" top="0.5" bottom="0.5" header="0.5" footer="0.5"/>
  <pageSetup orientation="portrait" paperSize="1" fitToHeight="0" fitToWidth="1" horizontalDpi="300"/>
  <headerFooter>
    <oddHeader>&amp;LCHTR Rec 1 · Attribution diagnostic TEMPLATE</oddHeader>
    <oddFooter>&amp;LYellow = INPUT · Green = RETRIEVED Ex99.1 · Gray = formula · Not a filled mix&amp;RPage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FF00"/>
    <outlinePr summaryBelow="1" summaryRight="1"/>
    <pageSetUpPr fitToPage="1"/>
  </sheetPr>
  <dimension ref="A1:P50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3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G1 · QUARTERLY NET-LOSS TRACKER  —  fill this first</t>
        </is>
      </c>
      <c r="B1" s="2" t="n"/>
      <c r="C1" s="2" t="n"/>
      <c r="D1" s="2" t="n"/>
      <c r="E1" s="2" t="n"/>
      <c r="F1" s="2" t="n"/>
      <c r="G1" s="2" t="n"/>
      <c r="H1" s="3" t="n"/>
    </row>
    <row r="2" ht="32" customHeight="1">
      <c r="A2" s="5" t="inlineStr">
        <is>
          <t>six-recommendation-areas.md: “Fill the quarterly net-loss tracker first.” Unit = residential Internet. Prefer gross adds vs disconnects so net is a formula. Yellow = Charter internals (INPUT). Green = public Ex99.1 / trending (RETRIEVED). Do not treat rural CR +41k / +47k as this Internet cut. Do not fire a reason play from empty cells.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7" t="n"/>
    </row>
    <row r="3">
      <c r="A3" s="20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2" t="n"/>
    </row>
    <row r="5" ht="22" customHeight="1">
      <c r="A5" s="10" t="inlineStr">
        <is>
          <t>ID</t>
        </is>
      </c>
      <c r="B5" s="10" t="inlineStr">
        <is>
          <t>Line</t>
        </is>
      </c>
      <c r="C5" s="10" t="inlineStr">
        <is>
          <t>Tag</t>
        </is>
      </c>
      <c r="D5" s="10" t="inlineStr">
        <is>
          <t>Source / formula</t>
        </is>
      </c>
      <c r="E5" s="10" t="inlineStr">
        <is>
          <t>Q1 2024</t>
        </is>
      </c>
      <c r="F5" s="10" t="inlineStr">
        <is>
          <t>Q2 2024</t>
        </is>
      </c>
      <c r="G5" s="10" t="inlineStr">
        <is>
          <t>Q3 2024</t>
        </is>
      </c>
      <c r="H5" s="10" t="inlineStr">
        <is>
          <t>Q4 2024</t>
        </is>
      </c>
      <c r="I5" s="10" t="inlineStr">
        <is>
          <t>Q1 2025</t>
        </is>
      </c>
      <c r="J5" s="10" t="inlineStr">
        <is>
          <t>Q2 2025</t>
        </is>
      </c>
      <c r="K5" s="10" t="inlineStr">
        <is>
          <t>Q3 2025</t>
        </is>
      </c>
      <c r="L5" s="10" t="inlineStr">
        <is>
          <t>Q4 2025</t>
        </is>
      </c>
      <c r="M5" s="10" t="inlineStr">
        <is>
          <t>Q1 2026</t>
        </is>
      </c>
      <c r="N5" s="10" t="inlineStr">
        <is>
          <t>Q2 2026</t>
        </is>
      </c>
      <c r="O5" s="10" t="inlineStr">
        <is>
          <t>Q3 2026</t>
        </is>
      </c>
      <c r="P5" s="10" t="inlineStr">
        <is>
          <t>Q4 2026</t>
        </is>
      </c>
    </row>
    <row r="6" ht="28" customHeight="1">
      <c r="A6" s="11" t="inlineStr">
        <is>
          <t>T1</t>
        </is>
      </c>
      <c r="B6" s="6" t="inlineStr">
        <is>
          <t>Beginning residential Internet PSUs</t>
        </is>
      </c>
      <c r="C6" s="6" t="inlineStr">
        <is>
          <t>see cells</t>
        </is>
      </c>
      <c r="D6" s="5" t="inlineStr">
        <is>
          <t>Prior-quarter EOP. Prefill = trending identity (RETRIEVED). Overwrite if internal census differs.</t>
        </is>
      </c>
      <c r="E6" s="26" t="n">
        <v>28544000</v>
      </c>
      <c r="F6" s="26" t="n">
        <v>28472000</v>
      </c>
      <c r="G6" s="26" t="n">
        <v>28318000</v>
      </c>
      <c r="H6" s="26" t="n">
        <v>28205000</v>
      </c>
      <c r="I6" s="26" t="n">
        <v>28034000</v>
      </c>
      <c r="J6" s="26" t="n">
        <v>27979000</v>
      </c>
      <c r="K6" s="26" t="n">
        <v>27868000</v>
      </c>
      <c r="L6" s="26" t="n">
        <v>27760000</v>
      </c>
      <c r="M6" s="26" t="n">
        <v>27641000</v>
      </c>
      <c r="N6" s="26" t="n">
        <v>27524000</v>
      </c>
      <c r="O6" s="27" t="n"/>
      <c r="P6" s="27" t="n"/>
    </row>
    <row r="7" ht="28" customHeight="1">
      <c r="A7" s="11" t="inlineStr">
        <is>
          <t>T2</t>
        </is>
      </c>
      <c r="B7" s="6" t="inlineStr">
        <is>
          <t>Gross adds (internal)</t>
        </is>
      </c>
      <c r="C7" s="6" t="inlineStr">
        <is>
          <t>INPUT</t>
        </is>
      </c>
      <c r="D7" s="5" t="inlineStr">
        <is>
          <t>Not disclosed. Leave blank until the tracker exists. Sampled, not a guess.</t>
        </is>
      </c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</row>
    <row r="8" ht="28" customHeight="1">
      <c r="A8" s="11" t="inlineStr">
        <is>
          <t>T3</t>
        </is>
      </c>
      <c r="B8" s="6" t="inlineStr">
        <is>
          <t>Disconnects (internal)</t>
        </is>
      </c>
      <c r="C8" s="6" t="inlineStr">
        <is>
          <t>INPUT</t>
        </is>
      </c>
      <c r="D8" s="5" t="inlineStr">
        <is>
          <t>Not disclosed. Sample the disconnect — do not paste agent codes as the file (pptx slide 4).</t>
        </is>
      </c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</row>
    <row r="9" ht="28" customHeight="1">
      <c r="A9" s="11" t="inlineStr">
        <is>
          <t>T4</t>
        </is>
      </c>
      <c r="B9" s="6" t="inlineStr">
        <is>
          <t>Internal net adds  =  T2 − T3</t>
        </is>
      </c>
      <c r="C9" s="6" t="inlineStr">
        <is>
          <t>DERIVED</t>
        </is>
      </c>
      <c r="D9" s="5" t="inlineStr">
        <is>
          <t>Blank until both T2 and T3 are filled. Zero is not a fill.</t>
        </is>
      </c>
      <c r="E9" s="28">
        <f>IF(OR(E7="",E8=""),"",E7-E8)</f>
        <v/>
      </c>
      <c r="F9" s="28">
        <f>IF(OR(F7="",F8=""),"",F7-F8)</f>
        <v/>
      </c>
      <c r="G9" s="28">
        <f>IF(OR(G7="",G8=""),"",G7-G8)</f>
        <v/>
      </c>
      <c r="H9" s="28">
        <f>IF(OR(H7="",H8=""),"",H7-H8)</f>
        <v/>
      </c>
      <c r="I9" s="28">
        <f>IF(OR(I7="",I8=""),"",I7-I8)</f>
        <v/>
      </c>
      <c r="J9" s="28">
        <f>IF(OR(J7="",J8=""),"",J7-J8)</f>
        <v/>
      </c>
      <c r="K9" s="28">
        <f>IF(OR(K7="",K8=""),"",K7-K8)</f>
        <v/>
      </c>
      <c r="L9" s="28">
        <f>IF(OR(L7="",L8=""),"",L7-L8)</f>
        <v/>
      </c>
      <c r="M9" s="28">
        <f>IF(OR(M7="",M8=""),"",M7-M8)</f>
        <v/>
      </c>
      <c r="N9" s="28">
        <f>IF(OR(N7="",N8=""),"",N7-N8)</f>
        <v/>
      </c>
      <c r="O9" s="28">
        <f>IF(OR(O7="",O8=""),"",O7-O8)</f>
        <v/>
      </c>
      <c r="P9" s="28">
        <f>IF(OR(P7="",P8=""),"",P7-P8)</f>
        <v/>
      </c>
    </row>
    <row r="10" ht="28" customHeight="1">
      <c r="A10" s="11" t="inlineStr">
        <is>
          <t>T5</t>
        </is>
      </c>
      <c r="B10" s="6" t="inlineStr">
        <is>
          <t>Public print — res. Internet net adds (Ex99.1)</t>
        </is>
      </c>
      <c r="C10" s="6" t="inlineStr">
        <is>
          <t>RETRIEVED</t>
        </is>
      </c>
      <c r="D10" s="5" t="inlineStr">
        <is>
          <t>CHTR Ex99.1 / Q1 trending. Q1 2026 = −117,000. Q2 2026 = −166,000. FY columns omitted.</t>
        </is>
      </c>
      <c r="E10" s="26" t="n">
        <v>-72000</v>
      </c>
      <c r="F10" s="26" t="n">
        <v>-154000</v>
      </c>
      <c r="G10" s="26" t="n">
        <v>-113000</v>
      </c>
      <c r="H10" s="26" t="n">
        <v>-171000</v>
      </c>
      <c r="I10" s="26" t="n">
        <v>-55000</v>
      </c>
      <c r="J10" s="26" t="n">
        <v>-111000</v>
      </c>
      <c r="K10" s="26" t="n">
        <v>-108000</v>
      </c>
      <c r="L10" s="26" t="n">
        <v>-119000</v>
      </c>
      <c r="M10" s="26" t="n">
        <v>-117000</v>
      </c>
      <c r="N10" s="26" t="n">
        <v>-166000</v>
      </c>
      <c r="O10" s="27" t="n"/>
      <c r="P10" s="27" t="n"/>
    </row>
    <row r="11" ht="28" customHeight="1">
      <c r="A11" s="11" t="inlineStr">
        <is>
          <t>T6</t>
        </is>
      </c>
      <c r="B11" s="6" t="inlineStr">
        <is>
          <t>Print used for diagnosis</t>
        </is>
      </c>
      <c r="C11" s="6" t="inlineStr">
        <is>
          <t>DERIVED</t>
        </is>
      </c>
      <c r="D11" s="5" t="inlineStr">
        <is>
          <t>Internal net if T2 and T3 filled; else public print. Never invent a mix on top of this.</t>
        </is>
      </c>
      <c r="E11" s="28">
        <f>IF(E9&lt;&gt;"",E9,IF(E10&lt;&gt;"",E10,""))</f>
        <v/>
      </c>
      <c r="F11" s="28">
        <f>IF(F9&lt;&gt;"",F9,IF(F10&lt;&gt;"",F10,""))</f>
        <v/>
      </c>
      <c r="G11" s="28">
        <f>IF(G9&lt;&gt;"",G9,IF(G10&lt;&gt;"",G10,""))</f>
        <v/>
      </c>
      <c r="H11" s="28">
        <f>IF(H9&lt;&gt;"",H9,IF(H10&lt;&gt;"",H10,""))</f>
        <v/>
      </c>
      <c r="I11" s="28">
        <f>IF(I9&lt;&gt;"",I9,IF(I10&lt;&gt;"",I10,""))</f>
        <v/>
      </c>
      <c r="J11" s="28">
        <f>IF(J9&lt;&gt;"",J9,IF(J10&lt;&gt;"",J10,""))</f>
        <v/>
      </c>
      <c r="K11" s="28">
        <f>IF(K9&lt;&gt;"",K9,IF(K10&lt;&gt;"",K10,""))</f>
        <v/>
      </c>
      <c r="L11" s="28">
        <f>IF(L9&lt;&gt;"",L9,IF(L10&lt;&gt;"",L10,""))</f>
        <v/>
      </c>
      <c r="M11" s="28">
        <f>IF(M9&lt;&gt;"",M9,IF(M10&lt;&gt;"",M10,""))</f>
        <v/>
      </c>
      <c r="N11" s="28">
        <f>IF(N9&lt;&gt;"",N9,IF(N10&lt;&gt;"",N10,""))</f>
        <v/>
      </c>
      <c r="O11" s="28">
        <f>IF(O9&lt;&gt;"",O9,IF(O10&lt;&gt;"",O10,""))</f>
        <v/>
      </c>
      <c r="P11" s="28">
        <f>IF(P9&lt;&gt;"",P9,IF(P10&lt;&gt;"",P10,""))</f>
        <v/>
      </c>
    </row>
    <row r="12" ht="28" customHeight="1">
      <c r="A12" s="11" t="inlineStr">
        <is>
          <t>T7</t>
        </is>
      </c>
      <c r="B12" s="6" t="inlineStr">
        <is>
          <t>Company Internet net adds (context, not this cut)</t>
        </is>
      </c>
      <c r="C12" s="6" t="inlineStr">
        <is>
          <t>RETRIEVED</t>
        </is>
      </c>
      <c r="D12" s="5" t="inlineStr">
        <is>
          <t>Ex99.1 total Internet. Q1 2026 −120,000 · Q2 2026 −172,000. Includes SMB.</t>
        </is>
      </c>
      <c r="E12" s="29" t="n">
        <v>-72000</v>
      </c>
      <c r="F12" s="29" t="n">
        <v>-148000</v>
      </c>
      <c r="G12" s="29" t="n">
        <v>-110000</v>
      </c>
      <c r="H12" s="29" t="n">
        <v>-177000</v>
      </c>
      <c r="I12" s="29" t="n">
        <v>-59000</v>
      </c>
      <c r="J12" s="29" t="n">
        <v>-116000</v>
      </c>
      <c r="K12" s="29" t="n">
        <v>-109000</v>
      </c>
      <c r="L12" s="29" t="n">
        <v>-119000</v>
      </c>
      <c r="M12" s="29" t="n">
        <v>-120000</v>
      </c>
      <c r="N12" s="29" t="n">
        <v>-172000</v>
      </c>
      <c r="O12" s="27" t="n"/>
      <c r="P12" s="27" t="n"/>
    </row>
    <row r="13" ht="28" customHeight="1">
      <c r="A13" s="11" t="inlineStr">
        <is>
          <t>T8</t>
        </is>
      </c>
      <c r="B13" s="6" t="inlineStr">
        <is>
          <t>Rural CR net adds (NOT an Internet cut)</t>
        </is>
      </c>
      <c r="C13" s="6" t="inlineStr">
        <is>
          <t>RETRIEVED</t>
        </is>
      </c>
      <c r="D13" s="5" t="inlineStr">
        <is>
          <t>Ex99.1 rural-footprint customer relationships. Q1 +41,000 · Q2 +47,000. Do not use as T6.</t>
        </is>
      </c>
      <c r="E13" s="27" t="n"/>
      <c r="F13" s="27" t="n"/>
      <c r="G13" s="27" t="n"/>
      <c r="H13" s="27" t="n"/>
      <c r="I13" s="27" t="n"/>
      <c r="J13" s="27" t="n"/>
      <c r="K13" s="27" t="n"/>
      <c r="L13" s="27" t="n"/>
      <c r="M13" s="29" t="n">
        <v>41000</v>
      </c>
      <c r="N13" s="29" t="n">
        <v>47000</v>
      </c>
      <c r="O13" s="27" t="n"/>
      <c r="P13" s="27" t="n"/>
    </row>
    <row r="14" ht="28" customHeight="1">
      <c r="A14" s="11" t="inlineStr">
        <is>
          <t>T9</t>
        </is>
      </c>
      <c r="B14" s="6" t="inlineStr">
        <is>
          <t>Comcast domestic resid. BB net adds</t>
        </is>
      </c>
      <c r="C14" s="6" t="inlineStr">
        <is>
          <t>see cells</t>
        </is>
      </c>
      <c r="D14" s="5" t="inlineStr">
        <is>
          <t>Q1 2026 −65,000 RETRIEVED (CMCSA Ex99.1). Other quarters INPUT. Leave blank if unused.</t>
        </is>
      </c>
      <c r="E14" s="27" t="n"/>
      <c r="F14" s="27" t="n"/>
      <c r="G14" s="27" t="n"/>
      <c r="H14" s="27" t="n"/>
      <c r="I14" s="27" t="n"/>
      <c r="J14" s="27" t="n"/>
      <c r="K14" s="27" t="n"/>
      <c r="L14" s="27" t="n"/>
      <c r="M14" s="26" t="n">
        <v>-65000</v>
      </c>
      <c r="N14" s="27" t="n"/>
      <c r="O14" s="27" t="n"/>
      <c r="P14" s="27" t="n"/>
    </row>
    <row r="15" ht="28" customHeight="1">
      <c r="A15" s="11" t="inlineStr">
        <is>
          <t>T10</t>
        </is>
      </c>
      <c r="B15" s="6" t="inlineStr">
        <is>
          <t>Comcast resid. BB beginning PSUs</t>
        </is>
      </c>
      <c r="C15" s="6" t="inlineStr">
        <is>
          <t>see cells</t>
        </is>
      </c>
      <c r="D15" s="5" t="inlineStr">
        <is>
          <t>Q1 2026 28,719,000 = 28,654k EOP − (−65k). Other quarters INPUT.</t>
        </is>
      </c>
      <c r="E15" s="27" t="n"/>
      <c r="F15" s="27" t="n"/>
      <c r="G15" s="27" t="n"/>
      <c r="H15" s="27" t="n"/>
      <c r="I15" s="27" t="n"/>
      <c r="J15" s="27" t="n"/>
      <c r="K15" s="27" t="n"/>
      <c r="L15" s="27" t="n"/>
      <c r="M15" s="29" t="n">
        <v>28719000</v>
      </c>
      <c r="N15" s="27" t="n"/>
      <c r="O15" s="27" t="n"/>
      <c r="P15" s="27" t="n"/>
    </row>
    <row r="16" ht="28" customHeight="1">
      <c r="A16" s="11" t="inlineStr">
        <is>
          <t>T11</t>
        </is>
      </c>
      <c r="B16" s="6" t="inlineStr">
        <is>
          <t>Comcast net-loss rate  =  |T9| / T10</t>
        </is>
      </c>
      <c r="C16" s="6" t="inlineStr">
        <is>
          <t>DERIVED</t>
        </is>
      </c>
      <c r="D16" s="5" t="inlineStr">
        <is>
          <t>Only when T9 and T10 are filled.</t>
        </is>
      </c>
      <c r="E16" s="30">
        <f>IF(OR(E14="",E15="",E15=0),"",ABS(E14)/E15)</f>
        <v/>
      </c>
      <c r="F16" s="30">
        <f>IF(OR(F14="",F15="",F15=0),"",ABS(F14)/F15)</f>
        <v/>
      </c>
      <c r="G16" s="30">
        <f>IF(OR(G14="",G15="",G15=0),"",ABS(G14)/G15)</f>
        <v/>
      </c>
      <c r="H16" s="30">
        <f>IF(OR(H14="",H15="",H15=0),"",ABS(H14)/H15)</f>
        <v/>
      </c>
      <c r="I16" s="30">
        <f>IF(OR(I14="",I15="",I15=0),"",ABS(I14)/I15)</f>
        <v/>
      </c>
      <c r="J16" s="30">
        <f>IF(OR(J14="",J15="",J15=0),"",ABS(J14)/J15)</f>
        <v/>
      </c>
      <c r="K16" s="30">
        <f>IF(OR(K14="",K15="",K15=0),"",ABS(K14)/K15)</f>
        <v/>
      </c>
      <c r="L16" s="30">
        <f>IF(OR(L14="",L15="",L15=0),"",ABS(L14)/L15)</f>
        <v/>
      </c>
      <c r="M16" s="30">
        <f>IF(OR(M14="",M15="",M15=0),"",ABS(M14)/M15)</f>
        <v/>
      </c>
      <c r="N16" s="30">
        <f>IF(OR(N14="",N15="",N15=0),"",ABS(N14)/N15)</f>
        <v/>
      </c>
      <c r="O16" s="30">
        <f>IF(OR(O14="",O15="",O15=0),"",ABS(O14)/O15)</f>
        <v/>
      </c>
      <c r="P16" s="30">
        <f>IF(OR(P14="",P15="",P15=0),"",ABS(P14)/P15)</f>
        <v/>
      </c>
    </row>
    <row r="17" ht="28" customHeight="1">
      <c r="A17" s="11" t="inlineStr">
        <is>
          <t>T12</t>
        </is>
      </c>
      <c r="B17" s="6" t="inlineStr">
        <is>
          <t>Charter res. net-loss rate  =  |T6| / T1</t>
        </is>
      </c>
      <c r="C17" s="6" t="inlineStr">
        <is>
          <t>DERIVED</t>
        </is>
      </c>
      <c r="D17" s="5" t="inlineStr">
        <is>
          <t>Net-loss rate, not gross churn. Gross churn is unused because it is not disclosed.</t>
        </is>
      </c>
      <c r="E17" s="30">
        <f>IF(OR(E11="",E6="",E6=0),"",ABS(E11)/E6)</f>
        <v/>
      </c>
      <c r="F17" s="30">
        <f>IF(OR(F11="",F6="",F6=0),"",ABS(F11)/F6)</f>
        <v/>
      </c>
      <c r="G17" s="30">
        <f>IF(OR(G11="",G6="",G6=0),"",ABS(G11)/G6)</f>
        <v/>
      </c>
      <c r="H17" s="30">
        <f>IF(OR(H11="",H6="",H6=0),"",ABS(H11)/H6)</f>
        <v/>
      </c>
      <c r="I17" s="30">
        <f>IF(OR(I11="",I6="",I6=0),"",ABS(I11)/I6)</f>
        <v/>
      </c>
      <c r="J17" s="30">
        <f>IF(OR(J11="",J6="",J6=0),"",ABS(J11)/J6)</f>
        <v/>
      </c>
      <c r="K17" s="30">
        <f>IF(OR(K11="",K6="",K6=0),"",ABS(K11)/K6)</f>
        <v/>
      </c>
      <c r="L17" s="30">
        <f>IF(OR(L11="",L6="",L6=0),"",ABS(L11)/L6)</f>
        <v/>
      </c>
      <c r="M17" s="30">
        <f>IF(OR(M11="",M6="",M6=0),"",ABS(M11)/M6)</f>
        <v/>
      </c>
      <c r="N17" s="30">
        <f>IF(OR(N11="",N6="",N6=0),"",ABS(N11)/N6)</f>
        <v/>
      </c>
      <c r="O17" s="30">
        <f>IF(OR(O11="",O6="",O6=0),"",ABS(O11)/O6)</f>
        <v/>
      </c>
      <c r="P17" s="30">
        <f>IF(OR(P11="",P6="",P6=0),"",ABS(P11)/P6)</f>
        <v/>
      </c>
    </row>
    <row r="18" ht="28" customHeight="1">
      <c r="A18" s="11" t="inlineStr">
        <is>
          <t>T13</t>
        </is>
      </c>
      <c r="B18" s="6" t="inlineStr">
        <is>
          <t>Rate ratio vs Comcast  =  T12 / T11</t>
        </is>
      </c>
      <c r="C18" s="6" t="inlineStr">
        <is>
          <t>DERIVED</t>
        </is>
      </c>
      <c r="D18" s="5" t="inlineStr">
        <is>
          <t>Q1 playbook commit 1.8× (round down from 1.87×).</t>
        </is>
      </c>
      <c r="E18" s="31">
        <f>IF(OR(E16="",E17="",E16=0),"",E17/E16)</f>
        <v/>
      </c>
      <c r="F18" s="31">
        <f>IF(OR(F16="",F17="",F16=0),"",F17/F16)</f>
        <v/>
      </c>
      <c r="G18" s="31">
        <f>IF(OR(G16="",G17="",G16=0),"",G17/G16)</f>
        <v/>
      </c>
      <c r="H18" s="31">
        <f>IF(OR(H16="",H17="",H16=0),"",H17/H16)</f>
        <v/>
      </c>
      <c r="I18" s="31">
        <f>IF(OR(I16="",I17="",I16=0),"",I17/I16)</f>
        <v/>
      </c>
      <c r="J18" s="31">
        <f>IF(OR(J16="",J17="",J16=0),"",J17/J16)</f>
        <v/>
      </c>
      <c r="K18" s="31">
        <f>IF(OR(K16="",K17="",K16=0),"",K17/K16)</f>
        <v/>
      </c>
      <c r="L18" s="31">
        <f>IF(OR(L16="",L17="",L16=0),"",L17/L16)</f>
        <v/>
      </c>
      <c r="M18" s="31">
        <f>IF(OR(M16="",M17="",M16=0),"",M17/M16)</f>
        <v/>
      </c>
      <c r="N18" s="31">
        <f>IF(OR(N16="",N17="",N16=0),"",N17/N16)</f>
        <v/>
      </c>
      <c r="O18" s="31">
        <f>IF(OR(O16="",O17="",O16=0),"",O17/O16)</f>
        <v/>
      </c>
      <c r="P18" s="31">
        <f>IF(OR(P16="",P17="",P16=0),"",P17/P16)</f>
        <v/>
      </c>
    </row>
    <row r="19" ht="28" customHeight="1">
      <c r="A19" s="11" t="inlineStr">
        <is>
          <t>T14</t>
        </is>
      </c>
      <c r="B19" s="6" t="inlineStr">
        <is>
          <t>Expected CHTR losses at CMCSA rate  =  T11 × T1</t>
        </is>
      </c>
      <c r="C19" s="6" t="inlineStr">
        <is>
          <t>DERIVED</t>
        </is>
      </c>
      <c r="D19" s="5" t="inlineStr">
        <is>
          <t>Build 2 in ifxy-stock-signal.md / network_churn_model.py.</t>
        </is>
      </c>
      <c r="E19" s="14">
        <f>IF(OR(E16="",E6=""),"",E16*E6)</f>
        <v/>
      </c>
      <c r="F19" s="14">
        <f>IF(OR(F16="",F6=""),"",F16*F6)</f>
        <v/>
      </c>
      <c r="G19" s="14">
        <f>IF(OR(G16="",G6=""),"",G16*G6)</f>
        <v/>
      </c>
      <c r="H19" s="14">
        <f>IF(OR(H16="",H6=""),"",H16*H6)</f>
        <v/>
      </c>
      <c r="I19" s="14">
        <f>IF(OR(I16="",I6=""),"",I16*I6)</f>
        <v/>
      </c>
      <c r="J19" s="14">
        <f>IF(OR(J16="",J6=""),"",J16*J6)</f>
        <v/>
      </c>
      <c r="K19" s="14">
        <f>IF(OR(K16="",K6=""),"",K16*K6)</f>
        <v/>
      </c>
      <c r="L19" s="14">
        <f>IF(OR(L16="",L6=""),"",L16*L6)</f>
        <v/>
      </c>
      <c r="M19" s="14">
        <f>IF(OR(M16="",M6=""),"",M16*M6)</f>
        <v/>
      </c>
      <c r="N19" s="14">
        <f>IF(OR(N16="",N6=""),"",N16*N6)</f>
        <v/>
      </c>
      <c r="O19" s="14">
        <f>IF(OR(O16="",O6=""),"",O16*O6)</f>
        <v/>
      </c>
      <c r="P19" s="14">
        <f>IF(OR(P16="",P6=""),"",P16*P6)</f>
        <v/>
      </c>
    </row>
    <row r="20" ht="28" customHeight="1">
      <c r="A20" s="11" t="inlineStr">
        <is>
          <t>T15</t>
        </is>
      </c>
      <c r="B20" s="6" t="inlineStr">
        <is>
          <t>Excess vs Comcast  =  |T6| − T14</t>
        </is>
      </c>
      <c r="C20" s="6" t="inlineStr">
        <is>
          <t>DERIVED</t>
        </is>
      </c>
      <c r="D20" s="5" t="inlineStr">
        <is>
          <t>Q1 identity ≈ 54.4k; playbook commits 54k (Parameters P18). Cite six-recommendation-areas.md.</t>
        </is>
      </c>
      <c r="E20" s="28">
        <f>IF(OR(E11="",E19=""),"",ABS(E11)-E19)</f>
        <v/>
      </c>
      <c r="F20" s="28">
        <f>IF(OR(F11="",F19=""),"",ABS(F11)-F19)</f>
        <v/>
      </c>
      <c r="G20" s="28">
        <f>IF(OR(G11="",G19=""),"",ABS(G11)-G19)</f>
        <v/>
      </c>
      <c r="H20" s="28">
        <f>IF(OR(H11="",H19=""),"",ABS(H11)-H19)</f>
        <v/>
      </c>
      <c r="I20" s="28">
        <f>IF(OR(I11="",I19=""),"",ABS(I11)-I19)</f>
        <v/>
      </c>
      <c r="J20" s="28">
        <f>IF(OR(J11="",J19=""),"",ABS(J11)-J19)</f>
        <v/>
      </c>
      <c r="K20" s="28">
        <f>IF(OR(K11="",K19=""),"",ABS(K11)-K19)</f>
        <v/>
      </c>
      <c r="L20" s="28">
        <f>IF(OR(L11="",L19=""),"",ABS(L11)-L19)</f>
        <v/>
      </c>
      <c r="M20" s="28">
        <f>IF(OR(M11="",M19=""),"",ABS(M11)-M19)</f>
        <v/>
      </c>
      <c r="N20" s="28">
        <f>IF(OR(N11="",N19=""),"",ABS(N11)-N19)</f>
        <v/>
      </c>
      <c r="O20" s="28">
        <f>IF(OR(O11="",O19=""),"",ABS(O11)-O19)</f>
        <v/>
      </c>
      <c r="P20" s="28">
        <f>IF(OR(P11="",P19=""),"",ABS(P11)-P19)</f>
        <v/>
      </c>
    </row>
    <row r="21" ht="28" customHeight="1">
      <c r="A21" s="11" t="inlineStr">
        <is>
          <t>T16</t>
        </is>
      </c>
      <c r="B21" s="6" t="inlineStr">
        <is>
          <t>Ending PSUs  =  T1 + T6</t>
        </is>
      </c>
      <c r="C21" s="6" t="inlineStr">
        <is>
          <t>DERIVED</t>
        </is>
      </c>
      <c r="D21" s="5" t="inlineStr">
        <is>
          <t>Identity check vs trending EOP when public print is used.</t>
        </is>
      </c>
      <c r="E21" s="14">
        <f>IF(OR(E6="",E11=""),"",E6+E11)</f>
        <v/>
      </c>
      <c r="F21" s="14">
        <f>IF(OR(F6="",F11=""),"",F6+F11)</f>
        <v/>
      </c>
      <c r="G21" s="14">
        <f>IF(OR(G6="",G11=""),"",G6+G11)</f>
        <v/>
      </c>
      <c r="H21" s="14">
        <f>IF(OR(H6="",H11=""),"",H6+H11)</f>
        <v/>
      </c>
      <c r="I21" s="14">
        <f>IF(OR(I6="",I11=""),"",I6+I11)</f>
        <v/>
      </c>
      <c r="J21" s="14">
        <f>IF(OR(J6="",J11=""),"",J6+J11)</f>
        <v/>
      </c>
      <c r="K21" s="14">
        <f>IF(OR(K6="",K11=""),"",K6+K11)</f>
        <v/>
      </c>
      <c r="L21" s="14">
        <f>IF(OR(L6="",L11=""),"",L6+L11)</f>
        <v/>
      </c>
      <c r="M21" s="14">
        <f>IF(OR(M6="",M11=""),"",M6+M11)</f>
        <v/>
      </c>
      <c r="N21" s="14">
        <f>IF(OR(N6="",N11=""),"",N6+N11)</f>
        <v/>
      </c>
      <c r="O21" s="14">
        <f>IF(OR(O6="",O11=""),"",O6+O11)</f>
        <v/>
      </c>
      <c r="P21" s="14">
        <f>IF(OR(P6="",P11=""),"",P6+P11)</f>
        <v/>
      </c>
    </row>
    <row r="22" ht="28" customHeight="1">
      <c r="A22" s="11" t="inlineStr">
        <is>
          <t>T17</t>
        </is>
      </c>
      <c r="B22" s="6" t="inlineStr">
        <is>
          <t>Internal vs public reconcile</t>
        </is>
      </c>
      <c r="C22" s="6" t="inlineStr">
        <is>
          <t>DERIVED</t>
        </is>
      </c>
      <c r="D22" s="5" t="inlineStr">
        <is>
          <t>OK if internals blank or match public print; FLAG if they differ.</t>
        </is>
      </c>
      <c r="E22" s="12">
        <f>IF(E9="",IF(E10="","PLACEHOLDER — no print","Public print only — internals empty"),IF(E10="","Internal only",IF(ABS(E9-E10)&lt;500,"OK — internal matches public","FLAG — internal ≠ public print")))</f>
        <v/>
      </c>
      <c r="F22" s="12">
        <f>IF(F9="",IF(F10="","PLACEHOLDER — no print","Public print only — internals empty"),IF(F10="","Internal only",IF(ABS(F9-F10)&lt;500,"OK — internal matches public","FLAG — internal ≠ public print")))</f>
        <v/>
      </c>
      <c r="G22" s="12">
        <f>IF(G9="",IF(G10="","PLACEHOLDER — no print","Public print only — internals empty"),IF(G10="","Internal only",IF(ABS(G9-G10)&lt;500,"OK — internal matches public","FLAG — internal ≠ public print")))</f>
        <v/>
      </c>
      <c r="H22" s="12">
        <f>IF(H9="",IF(H10="","PLACEHOLDER — no print","Public print only — internals empty"),IF(H10="","Internal only",IF(ABS(H9-H10)&lt;500,"OK — internal matches public","FLAG — internal ≠ public print")))</f>
        <v/>
      </c>
      <c r="I22" s="12">
        <f>IF(I9="",IF(I10="","PLACEHOLDER — no print","Public print only — internals empty"),IF(I10="","Internal only",IF(ABS(I9-I10)&lt;500,"OK — internal matches public","FLAG — internal ≠ public print")))</f>
        <v/>
      </c>
      <c r="J22" s="12">
        <f>IF(J9="",IF(J10="","PLACEHOLDER — no print","Public print only — internals empty"),IF(J10="","Internal only",IF(ABS(J9-J10)&lt;500,"OK — internal matches public","FLAG — internal ≠ public print")))</f>
        <v/>
      </c>
      <c r="K22" s="12">
        <f>IF(K9="",IF(K10="","PLACEHOLDER — no print","Public print only — internals empty"),IF(K10="","Internal only",IF(ABS(K9-K10)&lt;500,"OK — internal matches public","FLAG — internal ≠ public print")))</f>
        <v/>
      </c>
      <c r="L22" s="12">
        <f>IF(L9="",IF(L10="","PLACEHOLDER — no print","Public print only — internals empty"),IF(L10="","Internal only",IF(ABS(L9-L10)&lt;500,"OK — internal matches public","FLAG — internal ≠ public print")))</f>
        <v/>
      </c>
      <c r="M22" s="12">
        <f>IF(M9="",IF(M10="","PLACEHOLDER — no print","Public print only — internals empty"),IF(M10="","Internal only",IF(ABS(M9-M10)&lt;500,"OK — internal matches public","FLAG — internal ≠ public print")))</f>
        <v/>
      </c>
      <c r="N22" s="12">
        <f>IF(N9="",IF(N10="","PLACEHOLDER — no print","Public print only — internals empty"),IF(N10="","Internal only",IF(ABS(N9-N10)&lt;500,"OK — internal matches public","FLAG — internal ≠ public print")))</f>
        <v/>
      </c>
      <c r="O22" s="12">
        <f>IF(O9="",IF(O10="","PLACEHOLDER — no print","Public print only — internals empty"),IF(O10="","Internal only",IF(ABS(O9-O10)&lt;500,"OK — internal matches public","FLAG — internal ≠ public print")))</f>
        <v/>
      </c>
      <c r="P22" s="12">
        <f>IF(P9="",IF(P10="","PLACEHOLDER — no print","Public print only — internals empty"),IF(P10="","Internal only",IF(ABS(P9-P10)&lt;500,"OK — internal matches public","FLAG — internal ≠ public print")))</f>
        <v/>
      </c>
    </row>
    <row r="24">
      <c r="A24" s="9" t="inlineStr">
        <is>
          <t>HOW TO READ THIS SHEET</t>
        </is>
      </c>
      <c r="B24" s="2" t="n"/>
      <c r="C24" s="2" t="n"/>
      <c r="D24" s="2" t="n"/>
      <c r="E24" s="2" t="n"/>
      <c r="F24" s="2" t="n"/>
      <c r="G24" s="2" t="n"/>
      <c r="H24" s="3" t="n"/>
    </row>
    <row r="25">
      <c r="A25" s="5" t="inlineStr">
        <is>
          <t>1. Paste starting PSUs / gross adds / disconnects in yellow. Net (T4) and print used (T6) are formulas.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3" t="n"/>
    </row>
    <row r="26">
      <c r="A26" s="5" t="inlineStr">
        <is>
          <t>2. Public −117,000 (Q1 2026) and −166,000 (Q2 2026) are RETRIEVED Ex99.1 residential Internet — not a filled attribution.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3" t="n"/>
    </row>
    <row r="27">
      <c r="A27" s="5" t="inlineStr">
        <is>
          <t>3. Excess vs Comcast (T15) is the 54k figure’s identity for Q1 only (CMCSA rate × CHTR begin − |print|). Other quarters compute only when Comcast cells are filled.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3" t="n"/>
    </row>
    <row r="28">
      <c r="A28" s="5" t="inlineStr">
        <is>
          <t>4. Rural CR is on this sheet so nobody confuses +41k / +47k with residential Internet. It is not T6.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3" t="n"/>
    </row>
    <row r="29">
      <c r="A29" s="5" t="inlineStr">
        <is>
          <t>5. Kill: if Parameters says the tracker already exists, skip building G1 — paste the last eight quarters and go to Attribution.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3" t="n"/>
    </row>
    <row r="31">
      <c r="A31" s="9" t="inlineStr">
        <is>
          <t>Selected-quarter pull (engine — do not edit)</t>
        </is>
      </c>
      <c r="B31" s="2" t="n"/>
      <c r="C31" s="2" t="n"/>
      <c r="D31" s="3" t="n"/>
    </row>
    <row r="32">
      <c r="A32" s="6" t="inlineStr">
        <is>
          <t>Begin PSUs</t>
        </is>
      </c>
      <c r="B32" s="14">
        <f>IFERROR(INDEX('Net-loss tracker'!$E$6:$P$6,MATCH(Param_Quarter,'Net-loss tracker'!$E$5:$P$5,0)),"")</f>
        <v/>
      </c>
    </row>
    <row r="33">
      <c r="A33" s="6" t="inlineStr">
        <is>
          <t>Gross adds</t>
        </is>
      </c>
      <c r="B33" s="14">
        <f>IFERROR(INDEX('Net-loss tracker'!$E$7:$P$7,MATCH(Param_Quarter,'Net-loss tracker'!$E$5:$P$5,0)),"")</f>
        <v/>
      </c>
    </row>
    <row r="34">
      <c r="A34" s="6" t="inlineStr">
        <is>
          <t>Disconnects</t>
        </is>
      </c>
      <c r="B34" s="14">
        <f>IFERROR(INDEX('Net-loss tracker'!$E$8:$P$8,MATCH(Param_Quarter,'Net-loss tracker'!$E$5:$P$5,0)),"")</f>
        <v/>
      </c>
    </row>
    <row r="35">
      <c r="A35" s="6" t="inlineStr">
        <is>
          <t>Internal net</t>
        </is>
      </c>
      <c r="B35" s="14">
        <f>IFERROR(INDEX('Net-loss tracker'!$E$9:$P$9,MATCH(Param_Quarter,'Net-loss tracker'!$E$5:$P$5,0)),"")</f>
        <v/>
      </c>
    </row>
    <row r="36">
      <c r="A36" s="6" t="inlineStr">
        <is>
          <t>Public print</t>
        </is>
      </c>
      <c r="B36" s="14">
        <f>IFERROR(INDEX('Net-loss tracker'!$E$10:$P$10,MATCH(Param_Quarter,'Net-loss tracker'!$E$5:$P$5,0)),"")</f>
        <v/>
      </c>
    </row>
    <row r="37">
      <c r="A37" s="6" t="inlineStr">
        <is>
          <t>Print used</t>
        </is>
      </c>
      <c r="B37" s="14">
        <f>IFERROR(INDEX('Net-loss tracker'!$E$11:$P$11,MATCH(Param_Quarter,'Net-loss tracker'!$E$5:$P$5,0)),"")</f>
        <v/>
      </c>
    </row>
    <row r="38">
      <c r="A38" s="6" t="inlineStr">
        <is>
          <t>Company Internet</t>
        </is>
      </c>
      <c r="B38" s="14">
        <f>IFERROR(INDEX('Net-loss tracker'!$E$12:$P$12,MATCH(Param_Quarter,'Net-loss tracker'!$E$5:$P$5,0)),"")</f>
        <v/>
      </c>
    </row>
    <row r="39">
      <c r="A39" s="6" t="inlineStr">
        <is>
          <t>Rural CR</t>
        </is>
      </c>
      <c r="B39" s="14">
        <f>IFERROR(INDEX('Net-loss tracker'!$E$13:$P$13,MATCH(Param_Quarter,'Net-loss tracker'!$E$5:$P$5,0)),"")</f>
        <v/>
      </c>
    </row>
    <row r="40">
      <c r="A40" s="6" t="inlineStr">
        <is>
          <t>CMCSA net</t>
        </is>
      </c>
      <c r="B40" s="14">
        <f>IFERROR(INDEX('Net-loss tracker'!$E$14:$P$14,MATCH(Param_Quarter,'Net-loss tracker'!$E$5:$P$5,0)),"")</f>
        <v/>
      </c>
    </row>
    <row r="41">
      <c r="A41" s="6" t="inlineStr">
        <is>
          <t>CMCSA begin</t>
        </is>
      </c>
      <c r="B41" s="14">
        <f>IFERROR(INDEX('Net-loss tracker'!$E$15:$P$15,MATCH(Param_Quarter,'Net-loss tracker'!$E$5:$P$5,0)),"")</f>
        <v/>
      </c>
    </row>
    <row r="42">
      <c r="A42" s="6" t="inlineStr">
        <is>
          <t>CMCSA rate</t>
        </is>
      </c>
      <c r="B42" s="30">
        <f>IFERROR(INDEX('Net-loss tracker'!$E$16:$P$16,MATCH(Param_Quarter,'Net-loss tracker'!$E$5:$P$5,0)),"")</f>
        <v/>
      </c>
    </row>
    <row r="43">
      <c r="A43" s="6" t="inlineStr">
        <is>
          <t>CHTR rate</t>
        </is>
      </c>
      <c r="B43" s="30">
        <f>IFERROR(INDEX('Net-loss tracker'!$E$17:$P$17,MATCH(Param_Quarter,'Net-loss tracker'!$E$5:$P$5,0)),"")</f>
        <v/>
      </c>
    </row>
    <row r="44">
      <c r="A44" s="6" t="inlineStr">
        <is>
          <t>Rate ratio</t>
        </is>
      </c>
      <c r="B44" s="31">
        <f>IFERROR(INDEX('Net-loss tracker'!$E$18:$P$18,MATCH(Param_Quarter,'Net-loss tracker'!$E$5:$P$5,0)),"")</f>
        <v/>
      </c>
    </row>
    <row r="45">
      <c r="A45" s="6" t="inlineStr">
        <is>
          <t>Expected losses</t>
        </is>
      </c>
      <c r="B45" s="14">
        <f>IFERROR(INDEX('Net-loss tracker'!$E$19:$P$19,MATCH(Param_Quarter,'Net-loss tracker'!$E$5:$P$5,0)),"")</f>
        <v/>
      </c>
    </row>
    <row r="46">
      <c r="A46" s="6" t="inlineStr">
        <is>
          <t>Excess vs CMCSA</t>
        </is>
      </c>
      <c r="B46" s="14">
        <f>IFERROR(INDEX('Net-loss tracker'!$E$20:$P$20,MATCH(Param_Quarter,'Net-loss tracker'!$E$5:$P$5,0)),"")</f>
        <v/>
      </c>
    </row>
    <row r="47">
      <c r="A47" s="6" t="inlineStr">
        <is>
          <t>Ending PSUs</t>
        </is>
      </c>
      <c r="B47" s="14">
        <f>IFERROR(INDEX('Net-loss tracker'!$E$21:$P$21,MATCH(Param_Quarter,'Net-loss tracker'!$E$5:$P$5,0)),"")</f>
        <v/>
      </c>
    </row>
    <row r="48">
      <c r="A48" s="6" t="inlineStr">
        <is>
          <t>Reconcile</t>
        </is>
      </c>
      <c r="B48" s="12">
        <f>IFERROR(INDEX('Net-loss tracker'!$E$22:$P$22,MATCH(Param_Quarter,'Net-loss tracker'!$E$5:$P$5,0)),"")</f>
        <v/>
      </c>
    </row>
    <row r="50">
      <c r="A50" s="5" t="inlineStr">
        <is>
          <t>Engine rows 32–48 feed the Dashboard. Q3–Q4 2026 begin/print stay blank until Ex99.1 or internals exist.</t>
        </is>
      </c>
      <c r="B50" s="2" t="n"/>
      <c r="C50" s="2" t="n"/>
      <c r="D50" s="2" t="n"/>
      <c r="E50" s="2" t="n"/>
      <c r="F50" s="2" t="n"/>
      <c r="G50" s="2" t="n"/>
      <c r="H50" s="3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autoFilter ref="A5:P5"/>
  <mergeCells count="10">
    <mergeCell ref="A26:L26"/>
    <mergeCell ref="A27:L27"/>
    <mergeCell ref="A50:H50"/>
    <mergeCell ref="A29:L29"/>
    <mergeCell ref="A2:L3"/>
    <mergeCell ref="A25:L25"/>
    <mergeCell ref="A31:D31"/>
    <mergeCell ref="A24:H24"/>
    <mergeCell ref="A28:L28"/>
    <mergeCell ref="A1:H1"/>
  </mergeCells>
  <pageMargins left="0.4" right="0.4" top="0.5" bottom="0.5" header="0.5" footer="0.5"/>
  <pageSetup orientation="landscape" paperSize="3" fitToHeight="0" fitToWidth="1" horizontalDpi="300"/>
  <headerFooter>
    <oddHeader>&amp;LCHTR Rec 1 · Attribution diagnostic TEMPLATE</oddHeader>
    <oddFooter>&amp;LYellow = INPUT · Green = RETRIEVED Ex99.1 · Gray = formula · Not a filled mix&amp;RPage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FF00"/>
    <outlinePr summaryBelow="1" summaryRight="1"/>
    <pageSetUpPr fitToPage="1"/>
  </sheetPr>
  <dimension ref="A1:P82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14" customWidth="1" min="3" max="3"/>
    <col width="28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ATTRIBUTION · REASON PLAY  —  sampled disconnects, not agent codes</t>
        </is>
      </c>
      <c r="B1" s="2" t="n"/>
      <c r="C1" s="2" t="n"/>
      <c r="D1" s="2" t="n"/>
      <c r="E1" s="2" t="n"/>
      <c r="F1" s="2" t="n"/>
      <c r="G1" s="2" t="n"/>
      <c r="H1" s="3" t="n"/>
    </row>
    <row r="2" ht="32" customHeight="1">
      <c r="A2" s="5" t="inlineStr">
        <is>
          <t>PPTX cause-cohorts: FWA-covered · fiber-overbuilt · satellite-only · housing/move-out · non-pay · residual. GAP R1–R4 maps onto the same rows (satellite is pptx-only). Enter COUNTS of sampled disconnects (yellow). Residual is a formula. Empty cells are on purpose — the playbook will not fire from a guess.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7" t="n"/>
    </row>
    <row r="3">
      <c r="A3" s="20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2" t="n"/>
    </row>
    <row r="5" ht="22" customHeight="1">
      <c r="A5" s="10" t="inlineStr">
        <is>
          <t>ID</t>
        </is>
      </c>
      <c r="B5" s="10" t="inlineStr">
        <is>
          <t>Cause-cohort (label from Parameters)</t>
        </is>
      </c>
      <c r="C5" s="10" t="inlineStr">
        <is>
          <t>Tag</t>
        </is>
      </c>
      <c r="D5" s="10" t="inlineStr">
        <is>
          <t>PPTX / GAP</t>
        </is>
      </c>
      <c r="E5" s="10" t="inlineStr">
        <is>
          <t>Q1 2024</t>
        </is>
      </c>
      <c r="F5" s="10" t="inlineStr">
        <is>
          <t>Q2 2024</t>
        </is>
      </c>
      <c r="G5" s="10" t="inlineStr">
        <is>
          <t>Q3 2024</t>
        </is>
      </c>
      <c r="H5" s="10" t="inlineStr">
        <is>
          <t>Q4 2024</t>
        </is>
      </c>
      <c r="I5" s="10" t="inlineStr">
        <is>
          <t>Q1 2025</t>
        </is>
      </c>
      <c r="J5" s="10" t="inlineStr">
        <is>
          <t>Q2 2025</t>
        </is>
      </c>
      <c r="K5" s="10" t="inlineStr">
        <is>
          <t>Q3 2025</t>
        </is>
      </c>
      <c r="L5" s="10" t="inlineStr">
        <is>
          <t>Q4 2025</t>
        </is>
      </c>
      <c r="M5" s="10" t="inlineStr">
        <is>
          <t>Q1 2026</t>
        </is>
      </c>
      <c r="N5" s="10" t="inlineStr">
        <is>
          <t>Q2 2026</t>
        </is>
      </c>
      <c r="O5" s="10" t="inlineStr">
        <is>
          <t>Q3 2026</t>
        </is>
      </c>
      <c r="P5" s="10" t="inlineStr">
        <is>
          <t>Q4 2026</t>
        </is>
      </c>
    </row>
    <row r="6">
      <c r="A6" s="11" t="inlineStr">
        <is>
          <t>A1</t>
        </is>
      </c>
      <c r="B6" s="12">
        <f>Parameters!B26</f>
        <v/>
      </c>
      <c r="C6" s="6" t="inlineStr">
        <is>
          <t>INPUT</t>
        </is>
      </c>
      <c r="D6" s="5" t="inlineStr">
        <is>
          <t>S1 / R2</t>
        </is>
      </c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</row>
    <row r="7">
      <c r="A7" s="11" t="inlineStr">
        <is>
          <t>A2</t>
        </is>
      </c>
      <c r="B7" s="12">
        <f>Parameters!B27</f>
        <v/>
      </c>
      <c r="C7" s="6" t="inlineStr">
        <is>
          <t>INPUT</t>
        </is>
      </c>
      <c r="D7" s="5" t="inlineStr">
        <is>
          <t>S2 / R3</t>
        </is>
      </c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</row>
    <row r="8">
      <c r="A8" s="11" t="inlineStr">
        <is>
          <t>A3</t>
        </is>
      </c>
      <c r="B8" s="12">
        <f>Parameters!B28</f>
        <v/>
      </c>
      <c r="C8" s="6" t="inlineStr">
        <is>
          <t>INPUT</t>
        </is>
      </c>
      <c r="D8" s="5" t="inlineStr">
        <is>
          <t>S3 / W2</t>
        </is>
      </c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</row>
    <row r="9">
      <c r="A9" s="11" t="inlineStr">
        <is>
          <t>A4</t>
        </is>
      </c>
      <c r="B9" s="12">
        <f>Parameters!B29</f>
        <v/>
      </c>
      <c r="C9" s="6" t="inlineStr">
        <is>
          <t>INPUT</t>
        </is>
      </c>
      <c r="D9" s="5" t="inlineStr">
        <is>
          <t>S4 / R1</t>
        </is>
      </c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</row>
    <row r="10">
      <c r="A10" s="11" t="inlineStr">
        <is>
          <t>A5</t>
        </is>
      </c>
      <c r="B10" s="12">
        <f>Parameters!B30</f>
        <v/>
      </c>
      <c r="C10" s="6" t="inlineStr">
        <is>
          <t>INPUT</t>
        </is>
      </c>
      <c r="D10" s="5" t="inlineStr">
        <is>
          <t>S5 / R4</t>
        </is>
      </c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</row>
    <row r="11">
      <c r="A11" s="11" t="inlineStr">
        <is>
          <t>A6</t>
        </is>
      </c>
      <c r="B11" s="12">
        <f>Parameters!B31</f>
        <v/>
      </c>
      <c r="C11" s="6" t="inlineStr">
        <is>
          <t>INPUT</t>
        </is>
      </c>
      <c r="D11" s="5" t="inlineStr">
        <is>
          <t>Residual</t>
        </is>
      </c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</row>
    <row r="12">
      <c r="A12" s="11" t="inlineStr">
        <is>
          <t>A7</t>
        </is>
      </c>
      <c r="B12" s="6" t="inlineStr">
        <is>
          <t>Residual (tracker disconnects − sum of A1–A6)</t>
        </is>
      </c>
      <c r="C12" s="6" t="inlineStr">
        <is>
          <t>DERIVED</t>
        </is>
      </c>
      <c r="D12" s="5" t="inlineStr">
        <is>
          <t>Largest residual is a data-quality flag</t>
        </is>
      </c>
      <c r="E12" s="28">
        <f>IF(E14="","",E14-SUM(E6:E11))</f>
        <v/>
      </c>
      <c r="F12" s="28">
        <f>IF(F14="","",F14-SUM(F6:F11))</f>
        <v/>
      </c>
      <c r="G12" s="28">
        <f>IF(G14="","",G14-SUM(G6:G11))</f>
        <v/>
      </c>
      <c r="H12" s="28">
        <f>IF(H14="","",H14-SUM(H6:H11))</f>
        <v/>
      </c>
      <c r="I12" s="28">
        <f>IF(I14="","",I14-SUM(I6:I11))</f>
        <v/>
      </c>
      <c r="J12" s="28">
        <f>IF(J14="","",J14-SUM(J6:J11))</f>
        <v/>
      </c>
      <c r="K12" s="28">
        <f>IF(K14="","",K14-SUM(K6:K11))</f>
        <v/>
      </c>
      <c r="L12" s="28">
        <f>IF(L14="","",L14-SUM(L6:L11))</f>
        <v/>
      </c>
      <c r="M12" s="28">
        <f>IF(M14="","",M14-SUM(M6:M11))</f>
        <v/>
      </c>
      <c r="N12" s="28">
        <f>IF(N14="","",N14-SUM(N6:N11))</f>
        <v/>
      </c>
      <c r="O12" s="28">
        <f>IF(O14="","",O14-SUM(O6:O11))</f>
        <v/>
      </c>
      <c r="P12" s="28">
        <f>IF(P14="","",P14-SUM(P6:P11))</f>
        <v/>
      </c>
    </row>
    <row r="13">
      <c r="A13" s="11" t="inlineStr">
        <is>
          <t>A8</t>
        </is>
      </c>
      <c r="B13" s="6" t="inlineStr">
        <is>
          <t>Sum of entered reason counts (A1–A6)</t>
        </is>
      </c>
      <c r="C13" s="6" t="inlineStr">
        <is>
          <t>DERIVED</t>
        </is>
      </c>
      <c r="D13" s="5" t="inlineStr">
        <is>
          <t>Does not include residual</t>
        </is>
      </c>
      <c r="E13" s="14">
        <f>IF(COUNT(E6:E11)=0,"",SUM(E6:E11))</f>
        <v/>
      </c>
      <c r="F13" s="14">
        <f>IF(COUNT(F6:F11)=0,"",SUM(F6:F11))</f>
        <v/>
      </c>
      <c r="G13" s="14">
        <f>IF(COUNT(G6:G11)=0,"",SUM(G6:G11))</f>
        <v/>
      </c>
      <c r="H13" s="14">
        <f>IF(COUNT(H6:H11)=0,"",SUM(H6:H11))</f>
        <v/>
      </c>
      <c r="I13" s="14">
        <f>IF(COUNT(I6:I11)=0,"",SUM(I6:I11))</f>
        <v/>
      </c>
      <c r="J13" s="14">
        <f>IF(COUNT(J6:J11)=0,"",SUM(J6:J11))</f>
        <v/>
      </c>
      <c r="K13" s="14">
        <f>IF(COUNT(K6:K11)=0,"",SUM(K6:K11))</f>
        <v/>
      </c>
      <c r="L13" s="14">
        <f>IF(COUNT(L6:L11)=0,"",SUM(L6:L11))</f>
        <v/>
      </c>
      <c r="M13" s="14">
        <f>IF(COUNT(M6:M11)=0,"",SUM(M6:M11))</f>
        <v/>
      </c>
      <c r="N13" s="14">
        <f>IF(COUNT(N6:N11)=0,"",SUM(N6:N11))</f>
        <v/>
      </c>
      <c r="O13" s="14">
        <f>IF(COUNT(O6:O11)=0,"",SUM(O6:O11))</f>
        <v/>
      </c>
      <c r="P13" s="14">
        <f>IF(COUNT(P6:P11)=0,"",SUM(P6:P11))</f>
        <v/>
      </c>
    </row>
    <row r="14">
      <c r="A14" s="11" t="inlineStr">
        <is>
          <t>A9</t>
        </is>
      </c>
      <c r="B14" s="6" t="inlineStr">
        <is>
          <t>Tracker disconnects (T3) — or |print| placeholder</t>
        </is>
      </c>
      <c r="C14" s="6" t="inlineStr">
        <is>
          <t>DERIVED</t>
        </is>
      </c>
      <c r="D14" s="5" t="inlineStr">
        <is>
          <t>If T3 blank and mode is Percent, uses |T6| and labels PLACEHOLDER</t>
        </is>
      </c>
      <c r="E14" s="14">
        <f>IF('Net-loss tracker'!E8&lt;&gt;"",'Net-loss tracker'!E8,IF(AND(Parameters!$C$19="Percent",'Net-loss tracker'!E11&lt;&gt;""),ABS('Net-loss tracker'!E11),""))</f>
        <v/>
      </c>
      <c r="F14" s="14">
        <f>IF('Net-loss tracker'!F8&lt;&gt;"",'Net-loss tracker'!F8,IF(AND(Parameters!$C$19="Percent",'Net-loss tracker'!F11&lt;&gt;""),ABS('Net-loss tracker'!F11),""))</f>
        <v/>
      </c>
      <c r="G14" s="14">
        <f>IF('Net-loss tracker'!G8&lt;&gt;"",'Net-loss tracker'!G8,IF(AND(Parameters!$C$19="Percent",'Net-loss tracker'!G11&lt;&gt;""),ABS('Net-loss tracker'!G11),""))</f>
        <v/>
      </c>
      <c r="H14" s="14">
        <f>IF('Net-loss tracker'!H8&lt;&gt;"",'Net-loss tracker'!H8,IF(AND(Parameters!$C$19="Percent",'Net-loss tracker'!H11&lt;&gt;""),ABS('Net-loss tracker'!H11),""))</f>
        <v/>
      </c>
      <c r="I14" s="14">
        <f>IF('Net-loss tracker'!I8&lt;&gt;"",'Net-loss tracker'!I8,IF(AND(Parameters!$C$19="Percent",'Net-loss tracker'!I11&lt;&gt;""),ABS('Net-loss tracker'!I11),""))</f>
        <v/>
      </c>
      <c r="J14" s="14">
        <f>IF('Net-loss tracker'!J8&lt;&gt;"",'Net-loss tracker'!J8,IF(AND(Parameters!$C$19="Percent",'Net-loss tracker'!J11&lt;&gt;""),ABS('Net-loss tracker'!J11),""))</f>
        <v/>
      </c>
      <c r="K14" s="14">
        <f>IF('Net-loss tracker'!K8&lt;&gt;"",'Net-loss tracker'!K8,IF(AND(Parameters!$C$19="Percent",'Net-loss tracker'!K11&lt;&gt;""),ABS('Net-loss tracker'!K11),""))</f>
        <v/>
      </c>
      <c r="L14" s="14">
        <f>IF('Net-loss tracker'!L8&lt;&gt;"",'Net-loss tracker'!L8,IF(AND(Parameters!$C$19="Percent",'Net-loss tracker'!L11&lt;&gt;""),ABS('Net-loss tracker'!L11),""))</f>
        <v/>
      </c>
      <c r="M14" s="14">
        <f>IF('Net-loss tracker'!M8&lt;&gt;"",'Net-loss tracker'!M8,IF(AND(Parameters!$C$19="Percent",'Net-loss tracker'!M11&lt;&gt;""),ABS('Net-loss tracker'!M11),""))</f>
        <v/>
      </c>
      <c r="N14" s="14">
        <f>IF('Net-loss tracker'!N8&lt;&gt;"",'Net-loss tracker'!N8,IF(AND(Parameters!$C$19="Percent",'Net-loss tracker'!N11&lt;&gt;""),ABS('Net-loss tracker'!N11),""))</f>
        <v/>
      </c>
      <c r="O14" s="14">
        <f>IF('Net-loss tracker'!O8&lt;&gt;"",'Net-loss tracker'!O8,IF(AND(Parameters!$C$19="Percent",'Net-loss tracker'!O11&lt;&gt;""),ABS('Net-loss tracker'!O11),""))</f>
        <v/>
      </c>
      <c r="P14" s="14">
        <f>IF('Net-loss tracker'!P8&lt;&gt;"",'Net-loss tracker'!P8,IF(AND(Parameters!$C$19="Percent",'Net-loss tracker'!P11&lt;&gt;""),ABS('Net-loss tracker'!P11),""))</f>
        <v/>
      </c>
    </row>
    <row r="15">
      <c r="A15" s="11" t="inlineStr">
        <is>
          <t>A10</t>
        </is>
      </c>
      <c r="B15" s="6" t="inlineStr">
        <is>
          <t>Mix status</t>
        </is>
      </c>
      <c r="C15" s="6" t="inlineStr">
        <is>
          <t>DERIVED</t>
        </is>
      </c>
      <c r="D15" s="5" t="inlineStr">
        <is>
          <t>Empty until a reason or residual exists</t>
        </is>
      </c>
      <c r="E15" s="12">
        <f>IF(AND(COUNT(E6:E11)=0,E14=""),"EMPTY — do not fire a play",IF('Net-loss tracker'!E8="","PLACEHOLDER — allocating |print|, not a churn mix",IF(ABS(N(E12))&gt;0.02*MAX(1,N(E14)),"FLAG — residual is material","OK — reasons reconcile")))</f>
        <v/>
      </c>
      <c r="F15" s="12">
        <f>IF(AND(COUNT(F6:F11)=0,F14=""),"EMPTY — do not fire a play",IF('Net-loss tracker'!F8="","PLACEHOLDER — allocating |print|, not a churn mix",IF(ABS(N(F12))&gt;0.02*MAX(1,N(F14)),"FLAG — residual is material","OK — reasons reconcile")))</f>
        <v/>
      </c>
      <c r="G15" s="12">
        <f>IF(AND(COUNT(G6:G11)=0,G14=""),"EMPTY — do not fire a play",IF('Net-loss tracker'!G8="","PLACEHOLDER — allocating |print|, not a churn mix",IF(ABS(N(G12))&gt;0.02*MAX(1,N(G14)),"FLAG — residual is material","OK — reasons reconcile")))</f>
        <v/>
      </c>
      <c r="H15" s="12">
        <f>IF(AND(COUNT(H6:H11)=0,H14=""),"EMPTY — do not fire a play",IF('Net-loss tracker'!H8="","PLACEHOLDER — allocating |print|, not a churn mix",IF(ABS(N(H12))&gt;0.02*MAX(1,N(H14)),"FLAG — residual is material","OK — reasons reconcile")))</f>
        <v/>
      </c>
      <c r="I15" s="12">
        <f>IF(AND(COUNT(I6:I11)=0,I14=""),"EMPTY — do not fire a play",IF('Net-loss tracker'!I8="","PLACEHOLDER — allocating |print|, not a churn mix",IF(ABS(N(I12))&gt;0.02*MAX(1,N(I14)),"FLAG — residual is material","OK — reasons reconcile")))</f>
        <v/>
      </c>
      <c r="J15" s="12">
        <f>IF(AND(COUNT(J6:J11)=0,J14=""),"EMPTY — do not fire a play",IF('Net-loss tracker'!J8="","PLACEHOLDER — allocating |print|, not a churn mix",IF(ABS(N(J12))&gt;0.02*MAX(1,N(J14)),"FLAG — residual is material","OK — reasons reconcile")))</f>
        <v/>
      </c>
      <c r="K15" s="12">
        <f>IF(AND(COUNT(K6:K11)=0,K14=""),"EMPTY — do not fire a play",IF('Net-loss tracker'!K8="","PLACEHOLDER — allocating |print|, not a churn mix",IF(ABS(N(K12))&gt;0.02*MAX(1,N(K14)),"FLAG — residual is material","OK — reasons reconcile")))</f>
        <v/>
      </c>
      <c r="L15" s="12">
        <f>IF(AND(COUNT(L6:L11)=0,L14=""),"EMPTY — do not fire a play",IF('Net-loss tracker'!L8="","PLACEHOLDER — allocating |print|, not a churn mix",IF(ABS(N(L12))&gt;0.02*MAX(1,N(L14)),"FLAG — residual is material","OK — reasons reconcile")))</f>
        <v/>
      </c>
      <c r="M15" s="12">
        <f>IF(AND(COUNT(M6:M11)=0,M14=""),"EMPTY — do not fire a play",IF('Net-loss tracker'!M8="","PLACEHOLDER — allocating |print|, not a churn mix",IF(ABS(N(M12))&gt;0.02*MAX(1,N(M14)),"FLAG — residual is material","OK — reasons reconcile")))</f>
        <v/>
      </c>
      <c r="N15" s="12">
        <f>IF(AND(COUNT(N6:N11)=0,N14=""),"EMPTY — do not fire a play",IF('Net-loss tracker'!N8="","PLACEHOLDER — allocating |print|, not a churn mix",IF(ABS(N(N12))&gt;0.02*MAX(1,N(N14)),"FLAG — residual is material","OK — reasons reconcile")))</f>
        <v/>
      </c>
      <c r="O15" s="12">
        <f>IF(AND(COUNT(O6:O11)=0,O14=""),"EMPTY — do not fire a play",IF('Net-loss tracker'!O8="","PLACEHOLDER — allocating |print|, not a churn mix",IF(ABS(N(O12))&gt;0.02*MAX(1,N(O14)),"FLAG — residual is material","OK — reasons reconcile")))</f>
        <v/>
      </c>
      <c r="P15" s="12">
        <f>IF(AND(COUNT(P6:P11)=0,P14=""),"EMPTY — do not fire a play",IF('Net-loss tracker'!P8="","PLACEHOLDER — allocating |print|, not a churn mix",IF(ABS(N(P12))&gt;0.02*MAX(1,N(P14)),"FLAG — residual is material","OK — reasons reconcile")))</f>
        <v/>
      </c>
    </row>
    <row r="17">
      <c r="A17" s="9" t="inlineStr">
        <is>
          <t>SHARE OF DISCONNECTS (formula)</t>
        </is>
      </c>
      <c r="B17" s="2" t="n"/>
      <c r="C17" s="2" t="n"/>
      <c r="D17" s="3" t="n"/>
    </row>
    <row r="18">
      <c r="A18" s="10" t="inlineStr">
        <is>
          <t>ID</t>
        </is>
      </c>
      <c r="B18" s="10" t="inlineStr">
        <is>
          <t>Cause-cohort</t>
        </is>
      </c>
      <c r="C18" s="10" t="inlineStr">
        <is>
          <t>Tag</t>
        </is>
      </c>
      <c r="D18" s="10" t="inlineStr">
        <is>
          <t>Share formula</t>
        </is>
      </c>
      <c r="E18" s="10" t="inlineStr">
        <is>
          <t>Q1 2024</t>
        </is>
      </c>
      <c r="F18" s="10" t="inlineStr">
        <is>
          <t>Q2 2024</t>
        </is>
      </c>
      <c r="G18" s="10" t="inlineStr">
        <is>
          <t>Q3 2024</t>
        </is>
      </c>
      <c r="H18" s="10" t="inlineStr">
        <is>
          <t>Q4 2024</t>
        </is>
      </c>
      <c r="I18" s="10" t="inlineStr">
        <is>
          <t>Q1 2025</t>
        </is>
      </c>
      <c r="J18" s="10" t="inlineStr">
        <is>
          <t>Q2 2025</t>
        </is>
      </c>
      <c r="K18" s="10" t="inlineStr">
        <is>
          <t>Q3 2025</t>
        </is>
      </c>
      <c r="L18" s="10" t="inlineStr">
        <is>
          <t>Q4 2025</t>
        </is>
      </c>
      <c r="M18" s="10" t="inlineStr">
        <is>
          <t>Q1 2026</t>
        </is>
      </c>
      <c r="N18" s="10" t="inlineStr">
        <is>
          <t>Q2 2026</t>
        </is>
      </c>
      <c r="O18" s="10" t="inlineStr">
        <is>
          <t>Q3 2026</t>
        </is>
      </c>
      <c r="P18" s="10" t="inlineStr">
        <is>
          <t>Q4 2026</t>
        </is>
      </c>
    </row>
    <row r="19">
      <c r="A19" s="11" t="inlineStr">
        <is>
          <t>S1</t>
        </is>
      </c>
      <c r="B19" s="12">
        <f>B6</f>
        <v/>
      </c>
      <c r="C19" s="6" t="inlineStr">
        <is>
          <t>DERIVED</t>
        </is>
      </c>
      <c r="D19" s="5" t="inlineStr">
        <is>
          <t>A1 / (A8+A7) or A7/base</t>
        </is>
      </c>
      <c r="E19" s="15">
        <f>IF(OR(E14="",E14=0),"",N(E6)/E14)</f>
        <v/>
      </c>
      <c r="F19" s="15">
        <f>IF(OR(F14="",F14=0),"",N(F6)/F14)</f>
        <v/>
      </c>
      <c r="G19" s="15">
        <f>IF(OR(G14="",G14=0),"",N(G6)/G14)</f>
        <v/>
      </c>
      <c r="H19" s="15">
        <f>IF(OR(H14="",H14=0),"",N(H6)/H14)</f>
        <v/>
      </c>
      <c r="I19" s="15">
        <f>IF(OR(I14="",I14=0),"",N(I6)/I14)</f>
        <v/>
      </c>
      <c r="J19" s="15">
        <f>IF(OR(J14="",J14=0),"",N(J6)/J14)</f>
        <v/>
      </c>
      <c r="K19" s="15">
        <f>IF(OR(K14="",K14=0),"",N(K6)/K14)</f>
        <v/>
      </c>
      <c r="L19" s="15">
        <f>IF(OR(L14="",L14=0),"",N(L6)/L14)</f>
        <v/>
      </c>
      <c r="M19" s="15">
        <f>IF(OR(M14="",M14=0),"",N(M6)/M14)</f>
        <v/>
      </c>
      <c r="N19" s="15">
        <f>IF(OR(N14="",N14=0),"",N(N6)/N14)</f>
        <v/>
      </c>
      <c r="O19" s="15">
        <f>IF(OR(O14="",O14=0),"",N(O6)/O14)</f>
        <v/>
      </c>
      <c r="P19" s="15">
        <f>IF(OR(P14="",P14=0),"",N(P6)/P14)</f>
        <v/>
      </c>
    </row>
    <row r="20">
      <c r="A20" s="11" t="inlineStr">
        <is>
          <t>S2</t>
        </is>
      </c>
      <c r="B20" s="12">
        <f>B7</f>
        <v/>
      </c>
      <c r="C20" s="6" t="inlineStr">
        <is>
          <t>DERIVED</t>
        </is>
      </c>
      <c r="D20" s="5" t="inlineStr">
        <is>
          <t>A2 / (A8+A7) or A7/base</t>
        </is>
      </c>
      <c r="E20" s="15">
        <f>IF(OR(E14="",E14=0),"",N(E7)/E14)</f>
        <v/>
      </c>
      <c r="F20" s="15">
        <f>IF(OR(F14="",F14=0),"",N(F7)/F14)</f>
        <v/>
      </c>
      <c r="G20" s="15">
        <f>IF(OR(G14="",G14=0),"",N(G7)/G14)</f>
        <v/>
      </c>
      <c r="H20" s="15">
        <f>IF(OR(H14="",H14=0),"",N(H7)/H14)</f>
        <v/>
      </c>
      <c r="I20" s="15">
        <f>IF(OR(I14="",I14=0),"",N(I7)/I14)</f>
        <v/>
      </c>
      <c r="J20" s="15">
        <f>IF(OR(J14="",J14=0),"",N(J7)/J14)</f>
        <v/>
      </c>
      <c r="K20" s="15">
        <f>IF(OR(K14="",K14=0),"",N(K7)/K14)</f>
        <v/>
      </c>
      <c r="L20" s="15">
        <f>IF(OR(L14="",L14=0),"",N(L7)/L14)</f>
        <v/>
      </c>
      <c r="M20" s="15">
        <f>IF(OR(M14="",M14=0),"",N(M7)/M14)</f>
        <v/>
      </c>
      <c r="N20" s="15">
        <f>IF(OR(N14="",N14=0),"",N(N7)/N14)</f>
        <v/>
      </c>
      <c r="O20" s="15">
        <f>IF(OR(O14="",O14=0),"",N(O7)/O14)</f>
        <v/>
      </c>
      <c r="P20" s="15">
        <f>IF(OR(P14="",P14=0),"",N(P7)/P14)</f>
        <v/>
      </c>
    </row>
    <row r="21">
      <c r="A21" s="11" t="inlineStr">
        <is>
          <t>S3</t>
        </is>
      </c>
      <c r="B21" s="12">
        <f>B8</f>
        <v/>
      </c>
      <c r="C21" s="6" t="inlineStr">
        <is>
          <t>DERIVED</t>
        </is>
      </c>
      <c r="D21" s="5" t="inlineStr">
        <is>
          <t>A3 / (A8+A7) or A7/base</t>
        </is>
      </c>
      <c r="E21" s="15">
        <f>IF(OR(E14="",E14=0),"",N(E8)/E14)</f>
        <v/>
      </c>
      <c r="F21" s="15">
        <f>IF(OR(F14="",F14=0),"",N(F8)/F14)</f>
        <v/>
      </c>
      <c r="G21" s="15">
        <f>IF(OR(G14="",G14=0),"",N(G8)/G14)</f>
        <v/>
      </c>
      <c r="H21" s="15">
        <f>IF(OR(H14="",H14=0),"",N(H8)/H14)</f>
        <v/>
      </c>
      <c r="I21" s="15">
        <f>IF(OR(I14="",I14=0),"",N(I8)/I14)</f>
        <v/>
      </c>
      <c r="J21" s="15">
        <f>IF(OR(J14="",J14=0),"",N(J8)/J14)</f>
        <v/>
      </c>
      <c r="K21" s="15">
        <f>IF(OR(K14="",K14=0),"",N(K8)/K14)</f>
        <v/>
      </c>
      <c r="L21" s="15">
        <f>IF(OR(L14="",L14=0),"",N(L8)/L14)</f>
        <v/>
      </c>
      <c r="M21" s="15">
        <f>IF(OR(M14="",M14=0),"",N(M8)/M14)</f>
        <v/>
      </c>
      <c r="N21" s="15">
        <f>IF(OR(N14="",N14=0),"",N(N8)/N14)</f>
        <v/>
      </c>
      <c r="O21" s="15">
        <f>IF(OR(O14="",O14=0),"",N(O8)/O14)</f>
        <v/>
      </c>
      <c r="P21" s="15">
        <f>IF(OR(P14="",P14=0),"",N(P8)/P14)</f>
        <v/>
      </c>
    </row>
    <row r="22">
      <c r="A22" s="11" t="inlineStr">
        <is>
          <t>S4</t>
        </is>
      </c>
      <c r="B22" s="12">
        <f>B9</f>
        <v/>
      </c>
      <c r="C22" s="6" t="inlineStr">
        <is>
          <t>DERIVED</t>
        </is>
      </c>
      <c r="D22" s="5" t="inlineStr">
        <is>
          <t>A4 / (A8+A7) or A7/base</t>
        </is>
      </c>
      <c r="E22" s="15">
        <f>IF(OR(E14="",E14=0),"",N(E9)/E14)</f>
        <v/>
      </c>
      <c r="F22" s="15">
        <f>IF(OR(F14="",F14=0),"",N(F9)/F14)</f>
        <v/>
      </c>
      <c r="G22" s="15">
        <f>IF(OR(G14="",G14=0),"",N(G9)/G14)</f>
        <v/>
      </c>
      <c r="H22" s="15">
        <f>IF(OR(H14="",H14=0),"",N(H9)/H14)</f>
        <v/>
      </c>
      <c r="I22" s="15">
        <f>IF(OR(I14="",I14=0),"",N(I9)/I14)</f>
        <v/>
      </c>
      <c r="J22" s="15">
        <f>IF(OR(J14="",J14=0),"",N(J9)/J14)</f>
        <v/>
      </c>
      <c r="K22" s="15">
        <f>IF(OR(K14="",K14=0),"",N(K9)/K14)</f>
        <v/>
      </c>
      <c r="L22" s="15">
        <f>IF(OR(L14="",L14=0),"",N(L9)/L14)</f>
        <v/>
      </c>
      <c r="M22" s="15">
        <f>IF(OR(M14="",M14=0),"",N(M9)/M14)</f>
        <v/>
      </c>
      <c r="N22" s="15">
        <f>IF(OR(N14="",N14=0),"",N(N9)/N14)</f>
        <v/>
      </c>
      <c r="O22" s="15">
        <f>IF(OR(O14="",O14=0),"",N(O9)/O14)</f>
        <v/>
      </c>
      <c r="P22" s="15">
        <f>IF(OR(P14="",P14=0),"",N(P9)/P14)</f>
        <v/>
      </c>
    </row>
    <row r="23">
      <c r="A23" s="11" t="inlineStr">
        <is>
          <t>S5</t>
        </is>
      </c>
      <c r="B23" s="12">
        <f>B10</f>
        <v/>
      </c>
      <c r="C23" s="6" t="inlineStr">
        <is>
          <t>DERIVED</t>
        </is>
      </c>
      <c r="D23" s="5" t="inlineStr">
        <is>
          <t>A5 / (A8+A7) or A7/base</t>
        </is>
      </c>
      <c r="E23" s="15">
        <f>IF(OR(E14="",E14=0),"",N(E10)/E14)</f>
        <v/>
      </c>
      <c r="F23" s="15">
        <f>IF(OR(F14="",F14=0),"",N(F10)/F14)</f>
        <v/>
      </c>
      <c r="G23" s="15">
        <f>IF(OR(G14="",G14=0),"",N(G10)/G14)</f>
        <v/>
      </c>
      <c r="H23" s="15">
        <f>IF(OR(H14="",H14=0),"",N(H10)/H14)</f>
        <v/>
      </c>
      <c r="I23" s="15">
        <f>IF(OR(I14="",I14=0),"",N(I10)/I14)</f>
        <v/>
      </c>
      <c r="J23" s="15">
        <f>IF(OR(J14="",J14=0),"",N(J10)/J14)</f>
        <v/>
      </c>
      <c r="K23" s="15">
        <f>IF(OR(K14="",K14=0),"",N(K10)/K14)</f>
        <v/>
      </c>
      <c r="L23" s="15">
        <f>IF(OR(L14="",L14=0),"",N(L10)/L14)</f>
        <v/>
      </c>
      <c r="M23" s="15">
        <f>IF(OR(M14="",M14=0),"",N(M10)/M14)</f>
        <v/>
      </c>
      <c r="N23" s="15">
        <f>IF(OR(N14="",N14=0),"",N(N10)/N14)</f>
        <v/>
      </c>
      <c r="O23" s="15">
        <f>IF(OR(O14="",O14=0),"",N(O10)/O14)</f>
        <v/>
      </c>
      <c r="P23" s="15">
        <f>IF(OR(P14="",P14=0),"",N(P10)/P14)</f>
        <v/>
      </c>
    </row>
    <row r="24">
      <c r="A24" s="11" t="inlineStr">
        <is>
          <t>S6</t>
        </is>
      </c>
      <c r="B24" s="12">
        <f>B11</f>
        <v/>
      </c>
      <c r="C24" s="6" t="inlineStr">
        <is>
          <t>DERIVED</t>
        </is>
      </c>
      <c r="D24" s="5" t="inlineStr">
        <is>
          <t>A6 / (A8+A7) or A7/base</t>
        </is>
      </c>
      <c r="E24" s="15">
        <f>IF(OR(E14="",E14=0),"",N(E11)/E14)</f>
        <v/>
      </c>
      <c r="F24" s="15">
        <f>IF(OR(F14="",F14=0),"",N(F11)/F14)</f>
        <v/>
      </c>
      <c r="G24" s="15">
        <f>IF(OR(G14="",G14=0),"",N(G11)/G14)</f>
        <v/>
      </c>
      <c r="H24" s="15">
        <f>IF(OR(H14="",H14=0),"",N(H11)/H14)</f>
        <v/>
      </c>
      <c r="I24" s="15">
        <f>IF(OR(I14="",I14=0),"",N(I11)/I14)</f>
        <v/>
      </c>
      <c r="J24" s="15">
        <f>IF(OR(J14="",J14=0),"",N(J11)/J14)</f>
        <v/>
      </c>
      <c r="K24" s="15">
        <f>IF(OR(K14="",K14=0),"",N(K11)/K14)</f>
        <v/>
      </c>
      <c r="L24" s="15">
        <f>IF(OR(L14="",L14=0),"",N(L11)/L14)</f>
        <v/>
      </c>
      <c r="M24" s="15">
        <f>IF(OR(M14="",M14=0),"",N(M11)/M14)</f>
        <v/>
      </c>
      <c r="N24" s="15">
        <f>IF(OR(N14="",N14=0),"",N(N11)/N14)</f>
        <v/>
      </c>
      <c r="O24" s="15">
        <f>IF(OR(O14="",O14=0),"",N(O11)/O14)</f>
        <v/>
      </c>
      <c r="P24" s="15">
        <f>IF(OR(P14="",P14=0),"",N(P11)/P14)</f>
        <v/>
      </c>
    </row>
    <row r="25">
      <c r="A25" s="11" t="inlineStr">
        <is>
          <t>S7</t>
        </is>
      </c>
      <c r="B25" s="12">
        <f>B12</f>
        <v/>
      </c>
      <c r="C25" s="6" t="inlineStr">
        <is>
          <t>DERIVED</t>
        </is>
      </c>
      <c r="D25" s="5" t="inlineStr">
        <is>
          <t>A7 / (A8+A7) or A7/base</t>
        </is>
      </c>
      <c r="E25" s="15">
        <f>IF(OR(E14="",E14=0),"",N(E12)/E14)</f>
        <v/>
      </c>
      <c r="F25" s="15">
        <f>IF(OR(F14="",F14=0),"",N(F12)/F14)</f>
        <v/>
      </c>
      <c r="G25" s="15">
        <f>IF(OR(G14="",G14=0),"",N(G12)/G14)</f>
        <v/>
      </c>
      <c r="H25" s="15">
        <f>IF(OR(H14="",H14=0),"",N(H12)/H14)</f>
        <v/>
      </c>
      <c r="I25" s="15">
        <f>IF(OR(I14="",I14=0),"",N(I12)/I14)</f>
        <v/>
      </c>
      <c r="J25" s="15">
        <f>IF(OR(J14="",J14=0),"",N(J12)/J14)</f>
        <v/>
      </c>
      <c r="K25" s="15">
        <f>IF(OR(K14="",K14=0),"",N(K12)/K14)</f>
        <v/>
      </c>
      <c r="L25" s="15">
        <f>IF(OR(L14="",L14=0),"",N(L12)/L14)</f>
        <v/>
      </c>
      <c r="M25" s="15">
        <f>IF(OR(M14="",M14=0),"",N(M12)/M14)</f>
        <v/>
      </c>
      <c r="N25" s="15">
        <f>IF(OR(N14="",N14=0),"",N(N12)/N14)</f>
        <v/>
      </c>
      <c r="O25" s="15">
        <f>IF(OR(O14="",O14=0),"",N(O12)/O14)</f>
        <v/>
      </c>
      <c r="P25" s="15">
        <f>IF(OR(P14="",P14=0),"",N(P12)/P14)</f>
        <v/>
      </c>
    </row>
    <row r="27">
      <c r="A27" s="9" t="inlineStr">
        <is>
          <t>CONTRIBUTION TO THE NET PRINT (formula)</t>
        </is>
      </c>
      <c r="B27" s="2" t="n"/>
      <c r="C27" s="2" t="n"/>
      <c r="D27" s="3" t="n"/>
    </row>
    <row r="28">
      <c r="A28" s="10" t="inlineStr">
        <is>
          <t>ID</t>
        </is>
      </c>
      <c r="B28" s="10" t="inlineStr">
        <is>
          <t>Cause-cohort</t>
        </is>
      </c>
      <c r="C28" s="10" t="inlineStr">
        <is>
          <t>Tag</t>
        </is>
      </c>
      <c r="D28" s="10" t="inlineStr">
        <is>
          <t>If gross adds exist, housing also shows failed-acquisition residual</t>
        </is>
      </c>
      <c r="E28" s="10" t="inlineStr">
        <is>
          <t>Q1 2024</t>
        </is>
      </c>
      <c r="F28" s="10" t="inlineStr">
        <is>
          <t>Q2 2024</t>
        </is>
      </c>
      <c r="G28" s="10" t="inlineStr">
        <is>
          <t>Q3 2024</t>
        </is>
      </c>
      <c r="H28" s="10" t="inlineStr">
        <is>
          <t>Q4 2024</t>
        </is>
      </c>
      <c r="I28" s="10" t="inlineStr">
        <is>
          <t>Q1 2025</t>
        </is>
      </c>
      <c r="J28" s="10" t="inlineStr">
        <is>
          <t>Q2 2025</t>
        </is>
      </c>
      <c r="K28" s="10" t="inlineStr">
        <is>
          <t>Q3 2025</t>
        </is>
      </c>
      <c r="L28" s="10" t="inlineStr">
        <is>
          <t>Q4 2025</t>
        </is>
      </c>
      <c r="M28" s="10" t="inlineStr">
        <is>
          <t>Q1 2026</t>
        </is>
      </c>
      <c r="N28" s="10" t="inlineStr">
        <is>
          <t>Q2 2026</t>
        </is>
      </c>
      <c r="O28" s="10" t="inlineStr">
        <is>
          <t>Q3 2026</t>
        </is>
      </c>
      <c r="P28" s="10" t="inlineStr">
        <is>
          <t>Q4 2026</t>
        </is>
      </c>
    </row>
    <row r="29">
      <c r="A29" s="11" t="inlineStr">
        <is>
          <t>C1</t>
        </is>
      </c>
      <c r="B29" s="12">
        <f>B6</f>
        <v/>
      </c>
      <c r="C29" s="6" t="inlineStr">
        <is>
          <t>DERIVED</t>
        </is>
      </c>
      <c r="D29" s="5" t="inlineStr">
        <is>
          <t>− count  (disconnects reduce the print)</t>
        </is>
      </c>
      <c r="E29" s="14">
        <f>IF(E6="","",-E6)</f>
        <v/>
      </c>
      <c r="F29" s="14">
        <f>IF(F6="","",-F6)</f>
        <v/>
      </c>
      <c r="G29" s="14">
        <f>IF(G6="","",-G6)</f>
        <v/>
      </c>
      <c r="H29" s="14">
        <f>IF(H6="","",-H6)</f>
        <v/>
      </c>
      <c r="I29" s="14">
        <f>IF(I6="","",-I6)</f>
        <v/>
      </c>
      <c r="J29" s="14">
        <f>IF(J6="","",-J6)</f>
        <v/>
      </c>
      <c r="K29" s="14">
        <f>IF(K6="","",-K6)</f>
        <v/>
      </c>
      <c r="L29" s="14">
        <f>IF(L6="","",-L6)</f>
        <v/>
      </c>
      <c r="M29" s="14">
        <f>IF(M6="","",-M6)</f>
        <v/>
      </c>
      <c r="N29" s="14">
        <f>IF(N6="","",-N6)</f>
        <v/>
      </c>
      <c r="O29" s="14">
        <f>IF(O6="","",-O6)</f>
        <v/>
      </c>
      <c r="P29" s="14">
        <f>IF(P6="","",-P6)</f>
        <v/>
      </c>
    </row>
    <row r="30">
      <c r="A30" s="11" t="inlineStr">
        <is>
          <t>C2</t>
        </is>
      </c>
      <c r="B30" s="12">
        <f>B7</f>
        <v/>
      </c>
      <c r="C30" s="6" t="inlineStr">
        <is>
          <t>DERIVED</t>
        </is>
      </c>
      <c r="D30" s="5" t="inlineStr">
        <is>
          <t>− count  (disconnects reduce the print)</t>
        </is>
      </c>
      <c r="E30" s="14">
        <f>IF(E7="","",-E7)</f>
        <v/>
      </c>
      <c r="F30" s="14">
        <f>IF(F7="","",-F7)</f>
        <v/>
      </c>
      <c r="G30" s="14">
        <f>IF(G7="","",-G7)</f>
        <v/>
      </c>
      <c r="H30" s="14">
        <f>IF(H7="","",-H7)</f>
        <v/>
      </c>
      <c r="I30" s="14">
        <f>IF(I7="","",-I7)</f>
        <v/>
      </c>
      <c r="J30" s="14">
        <f>IF(J7="","",-J7)</f>
        <v/>
      </c>
      <c r="K30" s="14">
        <f>IF(K7="","",-K7)</f>
        <v/>
      </c>
      <c r="L30" s="14">
        <f>IF(L7="","",-L7)</f>
        <v/>
      </c>
      <c r="M30" s="14">
        <f>IF(M7="","",-M7)</f>
        <v/>
      </c>
      <c r="N30" s="14">
        <f>IF(N7="","",-N7)</f>
        <v/>
      </c>
      <c r="O30" s="14">
        <f>IF(O7="","",-O7)</f>
        <v/>
      </c>
      <c r="P30" s="14">
        <f>IF(P7="","",-P7)</f>
        <v/>
      </c>
    </row>
    <row r="31">
      <c r="A31" s="11" t="inlineStr">
        <is>
          <t>C3</t>
        </is>
      </c>
      <c r="B31" s="12">
        <f>B8</f>
        <v/>
      </c>
      <c r="C31" s="6" t="inlineStr">
        <is>
          <t>DERIVED</t>
        </is>
      </c>
      <c r="D31" s="5" t="inlineStr">
        <is>
          <t>− count  (disconnects reduce the print)</t>
        </is>
      </c>
      <c r="E31" s="14">
        <f>IF(E8="","",-E8)</f>
        <v/>
      </c>
      <c r="F31" s="14">
        <f>IF(F8="","",-F8)</f>
        <v/>
      </c>
      <c r="G31" s="14">
        <f>IF(G8="","",-G8)</f>
        <v/>
      </c>
      <c r="H31" s="14">
        <f>IF(H8="","",-H8)</f>
        <v/>
      </c>
      <c r="I31" s="14">
        <f>IF(I8="","",-I8)</f>
        <v/>
      </c>
      <c r="J31" s="14">
        <f>IF(J8="","",-J8)</f>
        <v/>
      </c>
      <c r="K31" s="14">
        <f>IF(K8="","",-K8)</f>
        <v/>
      </c>
      <c r="L31" s="14">
        <f>IF(L8="","",-L8)</f>
        <v/>
      </c>
      <c r="M31" s="14">
        <f>IF(M8="","",-M8)</f>
        <v/>
      </c>
      <c r="N31" s="14">
        <f>IF(N8="","",-N8)</f>
        <v/>
      </c>
      <c r="O31" s="14">
        <f>IF(O8="","",-O8)</f>
        <v/>
      </c>
      <c r="P31" s="14">
        <f>IF(P8="","",-P8)</f>
        <v/>
      </c>
    </row>
    <row r="32">
      <c r="A32" s="11" t="inlineStr">
        <is>
          <t>C4</t>
        </is>
      </c>
      <c r="B32" s="12">
        <f>B9</f>
        <v/>
      </c>
      <c r="C32" s="6" t="inlineStr">
        <is>
          <t>DERIVED</t>
        </is>
      </c>
      <c r="D32" s="5" t="inlineStr">
        <is>
          <t>− count  (disconnects reduce the print)</t>
        </is>
      </c>
      <c r="E32" s="14">
        <f>IF(E9="","",-E9)</f>
        <v/>
      </c>
      <c r="F32" s="14">
        <f>IF(F9="","",-F9)</f>
        <v/>
      </c>
      <c r="G32" s="14">
        <f>IF(G9="","",-G9)</f>
        <v/>
      </c>
      <c r="H32" s="14">
        <f>IF(H9="","",-H9)</f>
        <v/>
      </c>
      <c r="I32" s="14">
        <f>IF(I9="","",-I9)</f>
        <v/>
      </c>
      <c r="J32" s="14">
        <f>IF(J9="","",-J9)</f>
        <v/>
      </c>
      <c r="K32" s="14">
        <f>IF(K9="","",-K9)</f>
        <v/>
      </c>
      <c r="L32" s="14">
        <f>IF(L9="","",-L9)</f>
        <v/>
      </c>
      <c r="M32" s="14">
        <f>IF(M9="","",-M9)</f>
        <v/>
      </c>
      <c r="N32" s="14">
        <f>IF(N9="","",-N9)</f>
        <v/>
      </c>
      <c r="O32" s="14">
        <f>IF(O9="","",-O9)</f>
        <v/>
      </c>
      <c r="P32" s="14">
        <f>IF(P9="","",-P9)</f>
        <v/>
      </c>
    </row>
    <row r="33">
      <c r="A33" s="11" t="inlineStr">
        <is>
          <t>C5</t>
        </is>
      </c>
      <c r="B33" s="12">
        <f>B10</f>
        <v/>
      </c>
      <c r="C33" s="6" t="inlineStr">
        <is>
          <t>DERIVED</t>
        </is>
      </c>
      <c r="D33" s="5" t="inlineStr">
        <is>
          <t>− count  (disconnects reduce the print)</t>
        </is>
      </c>
      <c r="E33" s="14">
        <f>IF(E10="","",-E10)</f>
        <v/>
      </c>
      <c r="F33" s="14">
        <f>IF(F10="","",-F10)</f>
        <v/>
      </c>
      <c r="G33" s="14">
        <f>IF(G10="","",-G10)</f>
        <v/>
      </c>
      <c r="H33" s="14">
        <f>IF(H10="","",-H10)</f>
        <v/>
      </c>
      <c r="I33" s="14">
        <f>IF(I10="","",-I10)</f>
        <v/>
      </c>
      <c r="J33" s="14">
        <f>IF(J10="","",-J10)</f>
        <v/>
      </c>
      <c r="K33" s="14">
        <f>IF(K10="","",-K10)</f>
        <v/>
      </c>
      <c r="L33" s="14">
        <f>IF(L10="","",-L10)</f>
        <v/>
      </c>
      <c r="M33" s="14">
        <f>IF(M10="","",-M10)</f>
        <v/>
      </c>
      <c r="N33" s="14">
        <f>IF(N10="","",-N10)</f>
        <v/>
      </c>
      <c r="O33" s="14">
        <f>IF(O10="","",-O10)</f>
        <v/>
      </c>
      <c r="P33" s="14">
        <f>IF(P10="","",-P10)</f>
        <v/>
      </c>
    </row>
    <row r="34">
      <c r="A34" s="11" t="inlineStr">
        <is>
          <t>C6</t>
        </is>
      </c>
      <c r="B34" s="12">
        <f>B11</f>
        <v/>
      </c>
      <c r="C34" s="6" t="inlineStr">
        <is>
          <t>DERIVED</t>
        </is>
      </c>
      <c r="D34" s="5" t="inlineStr">
        <is>
          <t>− count  (disconnects reduce the print)</t>
        </is>
      </c>
      <c r="E34" s="14">
        <f>IF(E11="","",-E11)</f>
        <v/>
      </c>
      <c r="F34" s="14">
        <f>IF(F11="","",-F11)</f>
        <v/>
      </c>
      <c r="G34" s="14">
        <f>IF(G11="","",-G11)</f>
        <v/>
      </c>
      <c r="H34" s="14">
        <f>IF(H11="","",-H11)</f>
        <v/>
      </c>
      <c r="I34" s="14">
        <f>IF(I11="","",-I11)</f>
        <v/>
      </c>
      <c r="J34" s="14">
        <f>IF(J11="","",-J11)</f>
        <v/>
      </c>
      <c r="K34" s="14">
        <f>IF(K11="","",-K11)</f>
        <v/>
      </c>
      <c r="L34" s="14">
        <f>IF(L11="","",-L11)</f>
        <v/>
      </c>
      <c r="M34" s="14">
        <f>IF(M11="","",-M11)</f>
        <v/>
      </c>
      <c r="N34" s="14">
        <f>IF(N11="","",-N11)</f>
        <v/>
      </c>
      <c r="O34" s="14">
        <f>IF(O11="","",-O11)</f>
        <v/>
      </c>
      <c r="P34" s="14">
        <f>IF(P11="","",-P11)</f>
        <v/>
      </c>
    </row>
    <row r="35">
      <c r="A35" s="11" t="inlineStr">
        <is>
          <t>C7</t>
        </is>
      </c>
      <c r="B35" s="12">
        <f>B12</f>
        <v/>
      </c>
      <c r="C35" s="6" t="inlineStr">
        <is>
          <t>DERIVED</t>
        </is>
      </c>
      <c r="D35" s="5" t="inlineStr">
        <is>
          <t>− count  (disconnects reduce the print)</t>
        </is>
      </c>
      <c r="E35" s="14">
        <f>IF(E12="","",-E12)</f>
        <v/>
      </c>
      <c r="F35" s="14">
        <f>IF(F12="","",-F12)</f>
        <v/>
      </c>
      <c r="G35" s="14">
        <f>IF(G12="","",-G12)</f>
        <v/>
      </c>
      <c r="H35" s="14">
        <f>IF(H12="","",-H12)</f>
        <v/>
      </c>
      <c r="I35" s="14">
        <f>IF(I12="","",-I12)</f>
        <v/>
      </c>
      <c r="J35" s="14">
        <f>IF(J12="","",-J12)</f>
        <v/>
      </c>
      <c r="K35" s="14">
        <f>IF(K12="","",-K12)</f>
        <v/>
      </c>
      <c r="L35" s="14">
        <f>IF(L12="","",-L12)</f>
        <v/>
      </c>
      <c r="M35" s="14">
        <f>IF(M12="","",-M12)</f>
        <v/>
      </c>
      <c r="N35" s="14">
        <f>IF(N12="","",-N12)</f>
        <v/>
      </c>
      <c r="O35" s="14">
        <f>IF(O12="","",-O12)</f>
        <v/>
      </c>
      <c r="P35" s="14">
        <f>IF(P12="","",-P12)</f>
        <v/>
      </c>
    </row>
    <row r="38">
      <c r="A38" s="9" t="inlineStr">
        <is>
          <t>SELECTED-QUARTER ENGINE (Dashboard feed — do not edit)</t>
        </is>
      </c>
      <c r="B38" s="2" t="n"/>
      <c r="C38" s="2" t="n"/>
      <c r="D38" s="2" t="n"/>
      <c r="E38" s="2" t="n"/>
      <c r="F38" s="3" t="n"/>
    </row>
    <row r="39">
      <c r="A39" s="10" t="inlineStr">
        <is>
          <t>#</t>
        </is>
      </c>
      <c r="B39" s="10" t="inlineStr">
        <is>
          <t>Reason</t>
        </is>
      </c>
      <c r="C39" s="10" t="inlineStr">
        <is>
          <t>Count</t>
        </is>
      </c>
      <c r="D39" s="10" t="inlineStr">
        <is>
          <t>Share</t>
        </is>
      </c>
      <c r="E39" s="10" t="inlineStr">
        <is>
          <t>Contribution</t>
        </is>
      </c>
      <c r="F39" s="10" t="inlineStr">
        <is>
          <t>Abs contrib</t>
        </is>
      </c>
      <c r="G39" s="10" t="inlineStr">
        <is>
          <t>Rank</t>
        </is>
      </c>
      <c r="H39" s="10" t="inlineStr">
        <is>
          <t>Is largest?</t>
        </is>
      </c>
      <c r="I39" s="10" t="inlineStr">
        <is>
          <t>Rest (gray)</t>
        </is>
      </c>
      <c r="J39" s="10" t="inlineStr">
        <is>
          <t>Largest (accent)</t>
        </is>
      </c>
    </row>
    <row r="40">
      <c r="A40" s="6" t="n">
        <v>1</v>
      </c>
      <c r="B40" s="12">
        <f>B6</f>
        <v/>
      </c>
      <c r="C40" s="14">
        <f>IFERROR(INDEX('Attribution'!$E$6:$P$6,MATCH(Param_Quarter,'Attribution'!$E$5:$P$5,0)),"")</f>
        <v/>
      </c>
      <c r="D40" s="15">
        <f>IF(OR(C40="",$C$47="",$C$47=0),"",C40/$C$47)</f>
        <v/>
      </c>
      <c r="E40" s="14">
        <f>IF(C40="","",-C40)</f>
        <v/>
      </c>
      <c r="F40" s="14">
        <f>IF(C40="",0,ABS(C40))</f>
        <v/>
      </c>
      <c r="G40" s="12">
        <f>IF(SUM($F$40:$F$46)=0,"",RANK(F40,$F$40:$F$46,0))</f>
        <v/>
      </c>
      <c r="H40" s="12">
        <f>IF(G40=1,"LARGEST","")</f>
        <v/>
      </c>
      <c r="I40" s="14">
        <f>IF(G40=1,0,IF(C40="",NA(),C40))</f>
        <v/>
      </c>
      <c r="J40" s="14">
        <f>IF(G40=1,IF(C40="",NA(),C40),0)</f>
        <v/>
      </c>
    </row>
    <row r="41">
      <c r="A41" s="6" t="n">
        <v>2</v>
      </c>
      <c r="B41" s="12">
        <f>B7</f>
        <v/>
      </c>
      <c r="C41" s="14">
        <f>IFERROR(INDEX('Attribution'!$E$7:$P$7,MATCH(Param_Quarter,'Attribution'!$E$5:$P$5,0)),"")</f>
        <v/>
      </c>
      <c r="D41" s="15">
        <f>IF(OR(C41="",$C$47="",$C$47=0),"",C41/$C$47)</f>
        <v/>
      </c>
      <c r="E41" s="14">
        <f>IF(C41="","",-C41)</f>
        <v/>
      </c>
      <c r="F41" s="14">
        <f>IF(C41="",0,ABS(C41))</f>
        <v/>
      </c>
      <c r="G41" s="12">
        <f>IF(SUM($F$40:$F$46)=0,"",RANK(F41,$F$40:$F$46,0))</f>
        <v/>
      </c>
      <c r="H41" s="12">
        <f>IF(G41=1,"LARGEST","")</f>
        <v/>
      </c>
      <c r="I41" s="14">
        <f>IF(G41=1,0,IF(C41="",NA(),C41))</f>
        <v/>
      </c>
      <c r="J41" s="14">
        <f>IF(G41=1,IF(C41="",NA(),C41),0)</f>
        <v/>
      </c>
    </row>
    <row r="42">
      <c r="A42" s="6" t="n">
        <v>3</v>
      </c>
      <c r="B42" s="12">
        <f>B8</f>
        <v/>
      </c>
      <c r="C42" s="14">
        <f>IFERROR(INDEX('Attribution'!$E$8:$P$8,MATCH(Param_Quarter,'Attribution'!$E$5:$P$5,0)),"")</f>
        <v/>
      </c>
      <c r="D42" s="15">
        <f>IF(OR(C42="",$C$47="",$C$47=0),"",C42/$C$47)</f>
        <v/>
      </c>
      <c r="E42" s="14">
        <f>IF(C42="","",-C42)</f>
        <v/>
      </c>
      <c r="F42" s="14">
        <f>IF(C42="",0,ABS(C42))</f>
        <v/>
      </c>
      <c r="G42" s="12">
        <f>IF(SUM($F$40:$F$46)=0,"",RANK(F42,$F$40:$F$46,0))</f>
        <v/>
      </c>
      <c r="H42" s="12">
        <f>IF(G42=1,"LARGEST","")</f>
        <v/>
      </c>
      <c r="I42" s="14">
        <f>IF(G42=1,0,IF(C42="",NA(),C42))</f>
        <v/>
      </c>
      <c r="J42" s="14">
        <f>IF(G42=1,IF(C42="",NA(),C42),0)</f>
        <v/>
      </c>
    </row>
    <row r="43">
      <c r="A43" s="6" t="n">
        <v>4</v>
      </c>
      <c r="B43" s="12">
        <f>B9</f>
        <v/>
      </c>
      <c r="C43" s="14">
        <f>IFERROR(INDEX('Attribution'!$E$9:$P$9,MATCH(Param_Quarter,'Attribution'!$E$5:$P$5,0)),"")</f>
        <v/>
      </c>
      <c r="D43" s="15">
        <f>IF(OR(C43="",$C$47="",$C$47=0),"",C43/$C$47)</f>
        <v/>
      </c>
      <c r="E43" s="14">
        <f>IF(C43="","",-C43)</f>
        <v/>
      </c>
      <c r="F43" s="14">
        <f>IF(C43="",0,ABS(C43))</f>
        <v/>
      </c>
      <c r="G43" s="12">
        <f>IF(SUM($F$40:$F$46)=0,"",RANK(F43,$F$40:$F$46,0))</f>
        <v/>
      </c>
      <c r="H43" s="12">
        <f>IF(G43=1,"LARGEST","")</f>
        <v/>
      </c>
      <c r="I43" s="14">
        <f>IF(G43=1,0,IF(C43="",NA(),C43))</f>
        <v/>
      </c>
      <c r="J43" s="14">
        <f>IF(G43=1,IF(C43="",NA(),C43),0)</f>
        <v/>
      </c>
    </row>
    <row r="44">
      <c r="A44" s="6" t="n">
        <v>5</v>
      </c>
      <c r="B44" s="12">
        <f>B10</f>
        <v/>
      </c>
      <c r="C44" s="14">
        <f>IFERROR(INDEX('Attribution'!$E$10:$P$10,MATCH(Param_Quarter,'Attribution'!$E$5:$P$5,0)),"")</f>
        <v/>
      </c>
      <c r="D44" s="15">
        <f>IF(OR(C44="",$C$47="",$C$47=0),"",C44/$C$47)</f>
        <v/>
      </c>
      <c r="E44" s="14">
        <f>IF(C44="","",-C44)</f>
        <v/>
      </c>
      <c r="F44" s="14">
        <f>IF(C44="",0,ABS(C44))</f>
        <v/>
      </c>
      <c r="G44" s="12">
        <f>IF(SUM($F$40:$F$46)=0,"",RANK(F44,$F$40:$F$46,0))</f>
        <v/>
      </c>
      <c r="H44" s="12">
        <f>IF(G44=1,"LARGEST","")</f>
        <v/>
      </c>
      <c r="I44" s="14">
        <f>IF(G44=1,0,IF(C44="",NA(),C44))</f>
        <v/>
      </c>
      <c r="J44" s="14">
        <f>IF(G44=1,IF(C44="",NA(),C44),0)</f>
        <v/>
      </c>
    </row>
    <row r="45">
      <c r="A45" s="6" t="n">
        <v>6</v>
      </c>
      <c r="B45" s="12">
        <f>B11</f>
        <v/>
      </c>
      <c r="C45" s="14">
        <f>IFERROR(INDEX('Attribution'!$E$11:$P$11,MATCH(Param_Quarter,'Attribution'!$E$5:$P$5,0)),"")</f>
        <v/>
      </c>
      <c r="D45" s="15">
        <f>IF(OR(C45="",$C$47="",$C$47=0),"",C45/$C$47)</f>
        <v/>
      </c>
      <c r="E45" s="14">
        <f>IF(C45="","",-C45)</f>
        <v/>
      </c>
      <c r="F45" s="14">
        <f>IF(C45="",0,ABS(C45))</f>
        <v/>
      </c>
      <c r="G45" s="12">
        <f>IF(SUM($F$40:$F$46)=0,"",RANK(F45,$F$40:$F$46,0))</f>
        <v/>
      </c>
      <c r="H45" s="12">
        <f>IF(G45=1,"LARGEST","")</f>
        <v/>
      </c>
      <c r="I45" s="14">
        <f>IF(G45=1,0,IF(C45="",NA(),C45))</f>
        <v/>
      </c>
      <c r="J45" s="14">
        <f>IF(G45=1,IF(C45="",NA(),C45),0)</f>
        <v/>
      </c>
    </row>
    <row r="46">
      <c r="A46" s="6" t="n">
        <v>7</v>
      </c>
      <c r="B46" s="12">
        <f>B12</f>
        <v/>
      </c>
      <c r="C46" s="14">
        <f>IFERROR(INDEX('Attribution'!$E$12:$P$12,MATCH(Param_Quarter,'Attribution'!$E$5:$P$5,0)),"")</f>
        <v/>
      </c>
      <c r="D46" s="15">
        <f>IF(OR(C46="",$C$47="",$C$47=0),"",C46/$C$47)</f>
        <v/>
      </c>
      <c r="E46" s="14">
        <f>IF(C46="","",-C46)</f>
        <v/>
      </c>
      <c r="F46" s="14">
        <f>IF(C46="",0,ABS(C46))</f>
        <v/>
      </c>
      <c r="G46" s="12">
        <f>IF(SUM($F$40:$F$46)=0,"",RANK(F46,$F$40:$F$46,0))</f>
        <v/>
      </c>
      <c r="H46" s="12">
        <f>IF(G46=1,"LARGEST","")</f>
        <v/>
      </c>
      <c r="I46" s="14">
        <f>IF(G46=1,0,IF(C46="",NA(),C46))</f>
        <v/>
      </c>
      <c r="J46" s="14">
        <f>IF(G46=1,IF(C46="",NA(),C46),0)</f>
        <v/>
      </c>
    </row>
    <row r="47">
      <c r="A47" s="11" t="inlineStr">
        <is>
          <t>Base</t>
        </is>
      </c>
      <c r="B47" s="6" t="inlineStr">
        <is>
          <t>Disconnects / allocation base</t>
        </is>
      </c>
      <c r="C47" s="14">
        <f>IFERROR(INDEX('Attribution'!$E$14:$P$14,MATCH(Param_Quarter,'Attribution'!$E$5:$P$5,0)),"")</f>
        <v/>
      </c>
    </row>
    <row r="48">
      <c r="A48" s="11" t="inlineStr">
        <is>
          <t>Max share</t>
        </is>
      </c>
      <c r="B48" s="6" t="inlineStr">
        <is>
          <t>Largest reason share of base</t>
        </is>
      </c>
      <c r="C48" s="15">
        <f>IF(COUNT(D40:D46)=0,"",MAX(D40:D46))</f>
        <v/>
      </c>
      <c r="D48" s="12">
        <f>IF(C48="","",INDEX(B40:B46,MATCH(C48,D40:D46,0)))</f>
        <v/>
      </c>
    </row>
    <row r="49">
      <c r="A49" s="11" t="inlineStr">
        <is>
          <t>Entered?</t>
        </is>
      </c>
      <c r="B49" s="6" t="inlineStr">
        <is>
          <t>Any reason count filled this quarter?</t>
        </is>
      </c>
      <c r="C49" s="12">
        <f>IF(COUNT(C40:C45)=0,"No","Yes")</f>
        <v/>
      </c>
    </row>
    <row r="50">
      <c r="A50" s="6" t="inlineStr">
        <is>
          <t>Second share</t>
        </is>
      </c>
      <c r="B50" s="6" t="inlineStr">
        <is>
          <t>2nd-largest share (mixed test)</t>
        </is>
      </c>
      <c r="C50" s="15">
        <f>IF(COUNT(D40:D46)&lt;2,"",LARGE(D40:D46,2))</f>
        <v/>
      </c>
    </row>
    <row r="52">
      <c r="A52" s="9" t="inlineStr">
        <is>
          <t>SORTED FOR CHART (magnitude descending)</t>
        </is>
      </c>
      <c r="B52" s="2" t="n"/>
      <c r="C52" s="2" t="n"/>
      <c r="D52" s="2" t="n"/>
      <c r="E52" s="2" t="n"/>
      <c r="F52" s="3" t="n"/>
    </row>
    <row r="53">
      <c r="A53" s="10" t="inlineStr">
        <is>
          <t>Rank</t>
        </is>
      </c>
      <c r="B53" s="10" t="inlineStr">
        <is>
          <t>Reason</t>
        </is>
      </c>
      <c r="C53" s="10" t="inlineStr">
        <is>
          <t>Count</t>
        </is>
      </c>
      <c r="D53" s="10" t="inlineStr">
        <is>
          <t>Share</t>
        </is>
      </c>
      <c r="E53" s="10" t="inlineStr">
        <is>
          <t>Rest (gray)</t>
        </is>
      </c>
      <c r="F53" s="10" t="inlineStr">
        <is>
          <t>Largest (accent)</t>
        </is>
      </c>
    </row>
    <row r="54">
      <c r="A54" s="6" t="n">
        <v>1</v>
      </c>
      <c r="B54" s="12">
        <f>IF($C$49="No","",IFERROR(INDEX($B$40:$B$46,MATCH(1,$G$40:$G$46,0)),""))</f>
        <v/>
      </c>
      <c r="C54" s="14">
        <f>IF(B54="","",IFERROR(INDEX($C$40:$C$46,MATCH(1,$G$40:$G$46,0)),""))</f>
        <v/>
      </c>
      <c r="D54" s="15">
        <f>IF(B54="","",IFERROR(INDEX($D$40:$D$46,MATCH(1,$G$40:$G$46,0)),""))</f>
        <v/>
      </c>
      <c r="E54" s="14">
        <f>IF(OR(B54="",C54=""),NA(),IF(A54=1,0,C54))</f>
        <v/>
      </c>
      <c r="F54" s="14">
        <f>IF(OR(B54="",C54=""),NA(),IF(A54=1,C54,0))</f>
        <v/>
      </c>
    </row>
    <row r="55">
      <c r="A55" s="6" t="n">
        <v>2</v>
      </c>
      <c r="B55" s="12">
        <f>IF($C$49="No","",IFERROR(INDEX($B$40:$B$46,MATCH(2,$G$40:$G$46,0)),""))</f>
        <v/>
      </c>
      <c r="C55" s="14">
        <f>IF(B55="","",IFERROR(INDEX($C$40:$C$46,MATCH(2,$G$40:$G$46,0)),""))</f>
        <v/>
      </c>
      <c r="D55" s="15">
        <f>IF(B55="","",IFERROR(INDEX($D$40:$D$46,MATCH(2,$G$40:$G$46,0)),""))</f>
        <v/>
      </c>
      <c r="E55" s="14">
        <f>IF(OR(B55="",C55=""),NA(),IF(A55=1,0,C55))</f>
        <v/>
      </c>
      <c r="F55" s="14">
        <f>IF(OR(B55="",C55=""),NA(),IF(A55=1,C55,0))</f>
        <v/>
      </c>
    </row>
    <row r="56">
      <c r="A56" s="6" t="n">
        <v>3</v>
      </c>
      <c r="B56" s="12">
        <f>IF($C$49="No","",IFERROR(INDEX($B$40:$B$46,MATCH(3,$G$40:$G$46,0)),""))</f>
        <v/>
      </c>
      <c r="C56" s="14">
        <f>IF(B56="","",IFERROR(INDEX($C$40:$C$46,MATCH(3,$G$40:$G$46,0)),""))</f>
        <v/>
      </c>
      <c r="D56" s="15">
        <f>IF(B56="","",IFERROR(INDEX($D$40:$D$46,MATCH(3,$G$40:$G$46,0)),""))</f>
        <v/>
      </c>
      <c r="E56" s="14">
        <f>IF(OR(B56="",C56=""),NA(),IF(A56=1,0,C56))</f>
        <v/>
      </c>
      <c r="F56" s="14">
        <f>IF(OR(B56="",C56=""),NA(),IF(A56=1,C56,0))</f>
        <v/>
      </c>
    </row>
    <row r="57">
      <c r="A57" s="6" t="n">
        <v>4</v>
      </c>
      <c r="B57" s="12">
        <f>IF($C$49="No","",IFERROR(INDEX($B$40:$B$46,MATCH(4,$G$40:$G$46,0)),""))</f>
        <v/>
      </c>
      <c r="C57" s="14">
        <f>IF(B57="","",IFERROR(INDEX($C$40:$C$46,MATCH(4,$G$40:$G$46,0)),""))</f>
        <v/>
      </c>
      <c r="D57" s="15">
        <f>IF(B57="","",IFERROR(INDEX($D$40:$D$46,MATCH(4,$G$40:$G$46,0)),""))</f>
        <v/>
      </c>
      <c r="E57" s="14">
        <f>IF(OR(B57="",C57=""),NA(),IF(A57=1,0,C57))</f>
        <v/>
      </c>
      <c r="F57" s="14">
        <f>IF(OR(B57="",C57=""),NA(),IF(A57=1,C57,0))</f>
        <v/>
      </c>
    </row>
    <row r="58">
      <c r="A58" s="6" t="n">
        <v>5</v>
      </c>
      <c r="B58" s="12">
        <f>IF($C$49="No","",IFERROR(INDEX($B$40:$B$46,MATCH(5,$G$40:$G$46,0)),""))</f>
        <v/>
      </c>
      <c r="C58" s="14">
        <f>IF(B58="","",IFERROR(INDEX($C$40:$C$46,MATCH(5,$G$40:$G$46,0)),""))</f>
        <v/>
      </c>
      <c r="D58" s="15">
        <f>IF(B58="","",IFERROR(INDEX($D$40:$D$46,MATCH(5,$G$40:$G$46,0)),""))</f>
        <v/>
      </c>
      <c r="E58" s="14">
        <f>IF(OR(B58="",C58=""),NA(),IF(A58=1,0,C58))</f>
        <v/>
      </c>
      <c r="F58" s="14">
        <f>IF(OR(B58="",C58=""),NA(),IF(A58=1,C58,0))</f>
        <v/>
      </c>
    </row>
    <row r="59">
      <c r="A59" s="6" t="n">
        <v>6</v>
      </c>
      <c r="B59" s="12">
        <f>IF($C$49="No","",IFERROR(INDEX($B$40:$B$46,MATCH(6,$G$40:$G$46,0)),""))</f>
        <v/>
      </c>
      <c r="C59" s="14">
        <f>IF(B59="","",IFERROR(INDEX($C$40:$C$46,MATCH(6,$G$40:$G$46,0)),""))</f>
        <v/>
      </c>
      <c r="D59" s="15">
        <f>IF(B59="","",IFERROR(INDEX($D$40:$D$46,MATCH(6,$G$40:$G$46,0)),""))</f>
        <v/>
      </c>
      <c r="E59" s="14">
        <f>IF(OR(B59="",C59=""),NA(),IF(A59=1,0,C59))</f>
        <v/>
      </c>
      <c r="F59" s="14">
        <f>IF(OR(B59="",C59=""),NA(),IF(A59=1,C59,0))</f>
        <v/>
      </c>
    </row>
    <row r="60">
      <c r="A60" s="6" t="n">
        <v>7</v>
      </c>
      <c r="B60" s="12">
        <f>IF($C$49="No","",IFERROR(INDEX($B$40:$B$46,MATCH(7,$G$40:$G$46,0)),""))</f>
        <v/>
      </c>
      <c r="C60" s="14">
        <f>IF(B60="","",IFERROR(INDEX($C$40:$C$46,MATCH(7,$G$40:$G$46,0)),""))</f>
        <v/>
      </c>
      <c r="D60" s="15">
        <f>IF(B60="","",IFERROR(INDEX($D$40:$D$46,MATCH(7,$G$40:$G$46,0)),""))</f>
        <v/>
      </c>
      <c r="E60" s="14">
        <f>IF(OR(B60="",C60=""),NA(),IF(A60=1,0,C60))</f>
        <v/>
      </c>
      <c r="F60" s="14">
        <f>IF(OR(B60="",C60=""),NA(),IF(A60=1,C60,0))</f>
        <v/>
      </c>
    </row>
    <row r="63">
      <c r="A63" s="9" t="inlineStr">
        <is>
          <t>EXPOSURE CLASS · pptx sensor (fiber-overbuilt / FWA / satellite-only / uncontested)</t>
        </is>
      </c>
      <c r="B63" s="2" t="n"/>
      <c r="C63" s="2" t="n"/>
      <c r="D63" s="2" t="n"/>
      <c r="E63" s="2" t="n"/>
      <c r="F63" s="2" t="n"/>
      <c r="G63" s="2" t="n"/>
      <c r="H63" s="3" t="n"/>
    </row>
    <row r="64">
      <c r="A64" s="5" t="inlineStr">
        <is>
          <t>Primary exposure — assign each disconnect one class (MECE for the template; addresses can overlap in the real BDC join).</t>
        </is>
      </c>
      <c r="B64" s="2" t="n"/>
      <c r="C64" s="2" t="n"/>
      <c r="D64" s="2" t="n"/>
      <c r="E64" s="2" t="n"/>
      <c r="F64" s="2" t="n"/>
      <c r="G64" s="2" t="n"/>
      <c r="H64" s="3" t="n"/>
    </row>
    <row r="65">
      <c r="A65" s="10" t="inlineStr">
        <is>
          <t>ID</t>
        </is>
      </c>
      <c r="B65" s="10" t="inlineStr">
        <is>
          <t>Exposure class</t>
        </is>
      </c>
      <c r="C65" s="10" t="inlineStr">
        <is>
          <t>Tag</t>
        </is>
      </c>
      <c r="D65" s="10" t="inlineStr">
        <is>
          <t>What it tests</t>
        </is>
      </c>
      <c r="E65" s="10" t="inlineStr">
        <is>
          <t>Q1 2024</t>
        </is>
      </c>
      <c r="F65" s="10" t="inlineStr">
        <is>
          <t>Q2 2024</t>
        </is>
      </c>
      <c r="G65" s="10" t="inlineStr">
        <is>
          <t>Q3 2024</t>
        </is>
      </c>
      <c r="H65" s="10" t="inlineStr">
        <is>
          <t>Q4 2024</t>
        </is>
      </c>
      <c r="I65" s="10" t="inlineStr">
        <is>
          <t>Q1 2025</t>
        </is>
      </c>
      <c r="J65" s="10" t="inlineStr">
        <is>
          <t>Q2 2025</t>
        </is>
      </c>
      <c r="K65" s="10" t="inlineStr">
        <is>
          <t>Q3 2025</t>
        </is>
      </c>
      <c r="L65" s="10" t="inlineStr">
        <is>
          <t>Q4 2025</t>
        </is>
      </c>
      <c r="M65" s="10" t="inlineStr">
        <is>
          <t>Q1 2026</t>
        </is>
      </c>
      <c r="N65" s="10" t="inlineStr">
        <is>
          <t>Q2 2026</t>
        </is>
      </c>
      <c r="O65" s="10" t="inlineStr">
        <is>
          <t>Q3 2026</t>
        </is>
      </c>
      <c r="P65" s="10" t="inlineStr">
        <is>
          <t>Q4 2026</t>
        </is>
      </c>
    </row>
    <row r="66">
      <c r="A66" s="11" t="inlineStr">
        <is>
          <t>E1</t>
        </is>
      </c>
      <c r="B66" s="6" t="inlineStr">
        <is>
          <t>Fiber-overbuilt</t>
        </is>
      </c>
      <c r="C66" s="6" t="inlineStr">
        <is>
          <t>INPUT</t>
        </is>
      </c>
      <c r="D66" s="5" t="inlineStr">
        <is>
          <t>Disconnect counts in this class</t>
        </is>
      </c>
      <c r="E66" s="27" t="n"/>
      <c r="F66" s="27" t="n"/>
      <c r="G66" s="27" t="n"/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</row>
    <row r="67">
      <c r="A67" s="11" t="inlineStr">
        <is>
          <t>E2</t>
        </is>
      </c>
      <c r="B67" s="6" t="inlineStr">
        <is>
          <t>FWA-covered</t>
        </is>
      </c>
      <c r="C67" s="6" t="inlineStr">
        <is>
          <t>INPUT</t>
        </is>
      </c>
      <c r="D67" s="5" t="inlineStr">
        <is>
          <t>Disconnect counts in this class</t>
        </is>
      </c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</row>
    <row r="68">
      <c r="A68" s="11" t="inlineStr">
        <is>
          <t>E3</t>
        </is>
      </c>
      <c r="B68" s="6" t="inlineStr">
        <is>
          <t>Satellite-only</t>
        </is>
      </c>
      <c r="C68" s="6" t="inlineStr">
        <is>
          <t>INPUT</t>
        </is>
      </c>
      <c r="D68" s="5" t="inlineStr">
        <is>
          <t>Disconnect counts in this class</t>
        </is>
      </c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</row>
    <row r="69">
      <c r="A69" s="11" t="inlineStr">
        <is>
          <t>E4</t>
        </is>
      </c>
      <c r="B69" s="6" t="inlineStr">
        <is>
          <t>Uncontested (control)</t>
        </is>
      </c>
      <c r="C69" s="6" t="inlineStr">
        <is>
          <t>INPUT</t>
        </is>
      </c>
      <c r="D69" s="5" t="inlineStr">
        <is>
          <t>Disconnect counts in this class</t>
        </is>
      </c>
      <c r="E69" s="27" t="n"/>
      <c r="F69" s="27" t="n"/>
      <c r="G69" s="27" t="n"/>
      <c r="H69" s="27" t="n"/>
      <c r="I69" s="27" t="n"/>
      <c r="J69" s="27" t="n"/>
      <c r="K69" s="27" t="n"/>
      <c r="L69" s="27" t="n"/>
      <c r="M69" s="27" t="n"/>
      <c r="N69" s="27" t="n"/>
      <c r="O69" s="27" t="n"/>
      <c r="P69" s="27" t="n"/>
    </row>
    <row r="70">
      <c r="A70" s="11" t="inlineStr">
        <is>
          <t>E5</t>
        </is>
      </c>
      <c r="B70" s="6" t="inlineStr">
        <is>
          <t>Beginning PSUs in class — Uncontested (control)</t>
        </is>
      </c>
      <c r="C70" s="6" t="inlineStr">
        <is>
          <t>INPUT</t>
        </is>
      </c>
      <c r="D70" s="5" t="inlineStr">
        <is>
          <t>Needed for rate vs control (pptx slide 4 validation)</t>
        </is>
      </c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27" t="n"/>
      <c r="P70" s="27" t="n"/>
    </row>
    <row r="71">
      <c r="A71" s="11" t="inlineStr">
        <is>
          <t>E6</t>
        </is>
      </c>
      <c r="B71" s="6" t="inlineStr">
        <is>
          <t>Beginning PSUs — Fiber-overbuilt</t>
        </is>
      </c>
      <c r="C71" s="6" t="inlineStr">
        <is>
          <t>INPUT</t>
        </is>
      </c>
      <c r="D71" s="5" t="inlineStr">
        <is>
          <t>Optional — rate = disconnects / begin</t>
        </is>
      </c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7" t="n"/>
    </row>
    <row r="72">
      <c r="A72" s="11" t="inlineStr">
        <is>
          <t>E7</t>
        </is>
      </c>
      <c r="B72" s="6" t="inlineStr">
        <is>
          <t>Beginning PSUs — FWA-covered</t>
        </is>
      </c>
      <c r="C72" s="6" t="inlineStr">
        <is>
          <t>INPUT</t>
        </is>
      </c>
      <c r="D72" s="5" t="inlineStr">
        <is>
          <t>Optional</t>
        </is>
      </c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</row>
    <row r="73">
      <c r="A73" s="11" t="inlineStr">
        <is>
          <t>E8</t>
        </is>
      </c>
      <c r="B73" s="6" t="inlineStr">
        <is>
          <t>Beginning PSUs — Satellite-only</t>
        </is>
      </c>
      <c r="C73" s="6" t="inlineStr">
        <is>
          <t>INPUT</t>
        </is>
      </c>
      <c r="D73" s="5" t="inlineStr">
        <is>
          <t>Optional</t>
        </is>
      </c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</row>
    <row r="75">
      <c r="A75" s="9" t="inlineStr">
        <is>
          <t>EXPOSURE RATES vs UNCONTESTED CONTROL (pptx validation)</t>
        </is>
      </c>
      <c r="B75" s="2" t="n"/>
      <c r="C75" s="2" t="n"/>
      <c r="D75" s="3" t="n"/>
    </row>
    <row r="76">
      <c r="A76" s="10" t="inlineStr">
        <is>
          <t>Class</t>
        </is>
      </c>
      <c r="B76" s="10" t="inlineStr">
        <is>
          <t>Disconnects (selected qtr)</t>
        </is>
      </c>
      <c r="C76" s="10" t="inlineStr">
        <is>
          <t>Begin PSUs</t>
        </is>
      </c>
      <c r="D76" s="10" t="inlineStr">
        <is>
          <t>Churn proxy (disc/begin)</t>
        </is>
      </c>
      <c r="E76" s="10" t="inlineStr">
        <is>
          <t>vs uncontested</t>
        </is>
      </c>
    </row>
    <row r="77">
      <c r="A77" s="6" t="inlineStr">
        <is>
          <t>Fiber-overbuilt</t>
        </is>
      </c>
      <c r="B77" s="14">
        <f>IFERROR(INDEX('Attribution'!$E$66:$P$66,MATCH(Param_Quarter,'Attribution'!$E$5:$P$5,0)),"")</f>
        <v/>
      </c>
      <c r="C77" s="14">
        <f>IFERROR(INDEX('Attribution'!$E$71:$P$71,MATCH(Param_Quarter,'Attribution'!$E$5:$P$5,0)),"")</f>
        <v/>
      </c>
      <c r="D77" s="30">
        <f>IF(OR(B77="",C77="",C77=0),"",B77/C77)</f>
        <v/>
      </c>
      <c r="E77" s="31">
        <f>IF(OR(D77="",$D$80=""),"",D77/$D$80)</f>
        <v/>
      </c>
    </row>
    <row r="78">
      <c r="A78" s="6" t="inlineStr">
        <is>
          <t>FWA-covered</t>
        </is>
      </c>
      <c r="B78" s="14">
        <f>IFERROR(INDEX('Attribution'!$E$67:$P$67,MATCH(Param_Quarter,'Attribution'!$E$5:$P$5,0)),"")</f>
        <v/>
      </c>
      <c r="C78" s="14">
        <f>IFERROR(INDEX('Attribution'!$E$72:$P$72,MATCH(Param_Quarter,'Attribution'!$E$5:$P$5,0)),"")</f>
        <v/>
      </c>
      <c r="D78" s="30">
        <f>IF(OR(B78="",C78="",C78=0),"",B78/C78)</f>
        <v/>
      </c>
      <c r="E78" s="31">
        <f>IF(OR(D78="",$D$80=""),"",D78/$D$80)</f>
        <v/>
      </c>
    </row>
    <row r="79">
      <c r="A79" s="6" t="inlineStr">
        <is>
          <t>Satellite-only</t>
        </is>
      </c>
      <c r="B79" s="14">
        <f>IFERROR(INDEX('Attribution'!$E$68:$P$68,MATCH(Param_Quarter,'Attribution'!$E$5:$P$5,0)),"")</f>
        <v/>
      </c>
      <c r="C79" s="14">
        <f>IFERROR(INDEX('Attribution'!$E$73:$P$73,MATCH(Param_Quarter,'Attribution'!$E$5:$P$5,0)),"")</f>
        <v/>
      </c>
      <c r="D79" s="30">
        <f>IF(OR(B79="",C79="",C79=0),"",B79/C79)</f>
        <v/>
      </c>
      <c r="E79" s="31">
        <f>IF(OR(D79="",$D$80=""),"",D79/$D$80)</f>
        <v/>
      </c>
    </row>
    <row r="80">
      <c r="A80" s="6" t="inlineStr">
        <is>
          <t>Uncontested (control)</t>
        </is>
      </c>
      <c r="B80" s="14">
        <f>IFERROR(INDEX('Attribution'!$E$69:$P$69,MATCH(Param_Quarter,'Attribution'!$E$5:$P$5,0)),"")</f>
        <v/>
      </c>
      <c r="C80" s="14">
        <f>IFERROR(INDEX('Attribution'!$E$70:$P$70,MATCH(Param_Quarter,'Attribution'!$E$5:$P$5,0)),"")</f>
        <v/>
      </c>
      <c r="D80" s="30">
        <f>IF(OR(B80="",C80="",C80=0),"",B80/C80)</f>
        <v/>
      </c>
      <c r="E80" s="31">
        <f>IF(OR(D80="",$D$80=""),"",D80/$D$80)</f>
        <v/>
      </c>
    </row>
    <row r="82">
      <c r="A82" s="5" t="inlineStr">
        <is>
          <t>Uncontested is the control group every other cohort is measured against (pptx slide 4). If fiber or FWA rate ≈ uncontested, the exposure map is not the attacker.</t>
        </is>
      </c>
      <c r="B82" s="2" t="n"/>
      <c r="C82" s="2" t="n"/>
      <c r="D82" s="2" t="n"/>
      <c r="E82" s="2" t="n"/>
      <c r="F82" s="3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10">
    <mergeCell ref="A38:F38"/>
    <mergeCell ref="A17:D17"/>
    <mergeCell ref="A52:F52"/>
    <mergeCell ref="A27:D27"/>
    <mergeCell ref="A2:L3"/>
    <mergeCell ref="A75:D75"/>
    <mergeCell ref="A82:F82"/>
    <mergeCell ref="A63:H63"/>
    <mergeCell ref="A64:H64"/>
    <mergeCell ref="A1:H1"/>
  </mergeCells>
  <pageMargins left="0.4" right="0.4" top="0.5" bottom="0.5" header="0.5" footer="0.5"/>
  <pageSetup orientation="landscape" paperSize="3" fitToHeight="0" fitToWidth="1" horizontalDpi="300"/>
  <headerFooter>
    <oddHeader>&amp;LCHTR Rec 1 · Attribution diagnostic TEMPLATE</oddHeader>
    <oddFooter>&amp;LYellow = INPUT · Green = RETRIEVED Ex99.1 · Gray = formula · Not a filled mix&amp;RPage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FFFF00"/>
    <outlinePr summaryBelow="1" summaryRight="1"/>
    <pageSetUpPr fitToPage="1"/>
  </sheetPr>
  <dimension ref="A1:P85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3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SEGMENT CUTS  —  WHERE and WHO overlay the reason tree</t>
        </is>
      </c>
      <c r="B1" s="2" t="n"/>
      <c r="C1" s="2" t="n"/>
      <c r="D1" s="2" t="n"/>
      <c r="E1" s="2" t="n"/>
      <c r="F1" s="2" t="n"/>
      <c r="G1" s="2" t="n"/>
      <c r="H1" s="3" t="n"/>
    </row>
    <row r="2" ht="36" customHeight="1">
      <c r="A2" s="5" t="inlineStr">
        <is>
          <t>PPTX: tenure · ARPU tier · exposure class (on Attribution) · rural as Scenario 3 (satellite/low-density). G1 / six-recommendation-areas also require: core vs rural Internet; AT&amp;T ~27% / Verizon ~16% overlap vs rest (those shares are footprint mix, not losses); product mix at leave; sampled exit signal. Yellow = INPUT counts of disconnects (or net adds if labeled). Blank = not tracked.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7" t="n"/>
    </row>
    <row r="3">
      <c r="A3" s="20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2" t="n"/>
    </row>
    <row r="5">
      <c r="A5" s="9" t="inlineStr">
        <is>
          <t>WHERE · core vs rural · overlap vs rest</t>
        </is>
      </c>
      <c r="B5" s="2" t="n"/>
      <c r="C5" s="2" t="n"/>
      <c r="D5" s="2" t="n"/>
      <c r="E5" s="2" t="n"/>
      <c r="F5" s="2" t="n"/>
      <c r="G5" s="2" t="n"/>
      <c r="H5" s="3" t="n"/>
    </row>
    <row r="6" ht="22" customHeight="1">
      <c r="A6" s="10" t="inlineStr">
        <is>
          <t>ID</t>
        </is>
      </c>
      <c r="B6" s="10" t="inlineStr">
        <is>
          <t>Cut</t>
        </is>
      </c>
      <c r="C6" s="10" t="inlineStr">
        <is>
          <t>Tag</t>
        </is>
      </c>
      <c r="D6" s="10" t="inlineStr">
        <is>
          <t>AT&amp;T ~27% / Verizon ~16% = footprint mix (10-K), not a loss split</t>
        </is>
      </c>
      <c r="E6" s="10" t="inlineStr">
        <is>
          <t>Q1 2024</t>
        </is>
      </c>
      <c r="F6" s="10" t="inlineStr">
        <is>
          <t>Q2 2024</t>
        </is>
      </c>
      <c r="G6" s="10" t="inlineStr">
        <is>
          <t>Q3 2024</t>
        </is>
      </c>
      <c r="H6" s="10" t="inlineStr">
        <is>
          <t>Q4 2024</t>
        </is>
      </c>
      <c r="I6" s="10" t="inlineStr">
        <is>
          <t>Q1 2025</t>
        </is>
      </c>
      <c r="J6" s="10" t="inlineStr">
        <is>
          <t>Q2 2025</t>
        </is>
      </c>
      <c r="K6" s="10" t="inlineStr">
        <is>
          <t>Q3 2025</t>
        </is>
      </c>
      <c r="L6" s="10" t="inlineStr">
        <is>
          <t>Q4 2025</t>
        </is>
      </c>
      <c r="M6" s="10" t="inlineStr">
        <is>
          <t>Q1 2026</t>
        </is>
      </c>
      <c r="N6" s="10" t="inlineStr">
        <is>
          <t>Q2 2026</t>
        </is>
      </c>
      <c r="O6" s="10" t="inlineStr">
        <is>
          <t>Q3 2026</t>
        </is>
      </c>
      <c r="P6" s="10" t="inlineStr">
        <is>
          <t>Q4 2026</t>
        </is>
      </c>
    </row>
    <row r="7">
      <c r="A7" s="11" t="inlineStr">
        <is>
          <t>W1</t>
        </is>
      </c>
      <c r="B7" s="6" t="inlineStr">
        <is>
          <t>Core</t>
        </is>
      </c>
      <c r="C7" s="6" t="inlineStr">
        <is>
          <t>INPUT</t>
        </is>
      </c>
      <c r="D7" s="5" t="inlineStr">
        <is>
          <t>Disconnect counts</t>
        </is>
      </c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</row>
    <row r="8">
      <c r="A8" s="11" t="inlineStr">
        <is>
          <t>W2</t>
        </is>
      </c>
      <c r="B8" s="6" t="inlineStr">
        <is>
          <t>Rural</t>
        </is>
      </c>
      <c r="C8" s="6" t="inlineStr">
        <is>
          <t>INPUT</t>
        </is>
      </c>
      <c r="D8" s="5" t="inlineStr">
        <is>
          <t>Disconnect counts</t>
        </is>
      </c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</row>
    <row r="9">
      <c r="A9" s="11" t="inlineStr">
        <is>
          <t>W3</t>
        </is>
      </c>
      <c r="B9" s="6" t="inlineStr">
        <is>
          <t>AT&amp;T overlap</t>
        </is>
      </c>
      <c r="C9" s="6" t="inlineStr">
        <is>
          <t>INPUT</t>
        </is>
      </c>
      <c r="D9" s="5" t="inlineStr">
        <is>
          <t>Disconnect counts</t>
        </is>
      </c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</row>
    <row r="10">
      <c r="A10" s="11" t="inlineStr">
        <is>
          <t>W4</t>
        </is>
      </c>
      <c r="B10" s="6" t="inlineStr">
        <is>
          <t>Verizon overlap</t>
        </is>
      </c>
      <c r="C10" s="6" t="inlineStr">
        <is>
          <t>INPUT</t>
        </is>
      </c>
      <c r="D10" s="5" t="inlineStr">
        <is>
          <t>Disconnect counts</t>
        </is>
      </c>
      <c r="E10" s="27" t="n"/>
      <c r="F10" s="27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</row>
    <row r="11">
      <c r="A11" s="11" t="inlineStr">
        <is>
          <t>W5</t>
        </is>
      </c>
      <c r="B11" s="6" t="inlineStr">
        <is>
          <t>Rest of footprint</t>
        </is>
      </c>
      <c r="C11" s="6" t="inlineStr">
        <is>
          <t>INPUT</t>
        </is>
      </c>
      <c r="D11" s="5" t="inlineStr">
        <is>
          <t>Disconnect counts</t>
        </is>
      </c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</row>
    <row r="12">
      <c r="A12" s="6" t="inlineStr"/>
      <c r="B12" s="11" t="inlineStr">
        <is>
          <t>Sum (formula)</t>
        </is>
      </c>
      <c r="C12" s="6" t="inlineStr">
        <is>
          <t>DERIVED</t>
        </is>
      </c>
      <c r="D12" s="5" t="inlineStr">
        <is>
          <t>Should reconcile to tracker disconnects</t>
        </is>
      </c>
      <c r="E12" s="14">
        <f>IF(COUNT(E7:E11)=0,"",SUM(E7:E11))</f>
        <v/>
      </c>
      <c r="F12" s="14">
        <f>IF(COUNT(F7:F11)=0,"",SUM(F7:F11))</f>
        <v/>
      </c>
      <c r="G12" s="14">
        <f>IF(COUNT(G7:G11)=0,"",SUM(G7:G11))</f>
        <v/>
      </c>
      <c r="H12" s="14">
        <f>IF(COUNT(H7:H11)=0,"",SUM(H7:H11))</f>
        <v/>
      </c>
      <c r="I12" s="14">
        <f>IF(COUNT(I7:I11)=0,"",SUM(I7:I11))</f>
        <v/>
      </c>
      <c r="J12" s="14">
        <f>IF(COUNT(J7:J11)=0,"",SUM(J7:J11))</f>
        <v/>
      </c>
      <c r="K12" s="14">
        <f>IF(COUNT(K7:K11)=0,"",SUM(K7:K11))</f>
        <v/>
      </c>
      <c r="L12" s="14">
        <f>IF(COUNT(L7:L11)=0,"",SUM(L7:L11))</f>
        <v/>
      </c>
      <c r="M12" s="14">
        <f>IF(COUNT(M7:M11)=0,"",SUM(M7:M11))</f>
        <v/>
      </c>
      <c r="N12" s="14">
        <f>IF(COUNT(N7:N11)=0,"",SUM(N7:N11))</f>
        <v/>
      </c>
      <c r="O12" s="14">
        <f>IF(COUNT(O7:O11)=0,"",SUM(O7:O11))</f>
        <v/>
      </c>
      <c r="P12" s="14">
        <f>IF(COUNT(P7:P11)=0,"",SUM(P7:P11))</f>
        <v/>
      </c>
    </row>
    <row r="14">
      <c r="A14" s="9" t="inlineStr">
        <is>
          <t>WHO · tenure at disconnect</t>
        </is>
      </c>
      <c r="B14" s="2" t="n"/>
      <c r="C14" s="2" t="n"/>
      <c r="D14" s="2" t="n"/>
      <c r="E14" s="2" t="n"/>
      <c r="F14" s="2" t="n"/>
      <c r="G14" s="2" t="n"/>
      <c r="H14" s="3" t="n"/>
    </row>
    <row r="15">
      <c r="A15" s="10" t="inlineStr">
        <is>
          <t>ID</t>
        </is>
      </c>
      <c r="B15" s="10" t="inlineStr">
        <is>
          <t>Cut</t>
        </is>
      </c>
      <c r="C15" s="10" t="inlineStr">
        <is>
          <t>Tag</t>
        </is>
      </c>
      <c r="D15" s="10" t="inlineStr">
        <is>
          <t>PPTX S1 skews low-tenure; S2 skews established / high-ARPU</t>
        </is>
      </c>
      <c r="E15" s="10" t="inlineStr">
        <is>
          <t>Q1 2024</t>
        </is>
      </c>
      <c r="F15" s="10" t="inlineStr">
        <is>
          <t>Q2 2024</t>
        </is>
      </c>
      <c r="G15" s="10" t="inlineStr">
        <is>
          <t>Q3 2024</t>
        </is>
      </c>
      <c r="H15" s="10" t="inlineStr">
        <is>
          <t>Q4 2024</t>
        </is>
      </c>
      <c r="I15" s="10" t="inlineStr">
        <is>
          <t>Q1 2025</t>
        </is>
      </c>
      <c r="J15" s="10" t="inlineStr">
        <is>
          <t>Q2 2025</t>
        </is>
      </c>
      <c r="K15" s="10" t="inlineStr">
        <is>
          <t>Q3 2025</t>
        </is>
      </c>
      <c r="L15" s="10" t="inlineStr">
        <is>
          <t>Q4 2025</t>
        </is>
      </c>
      <c r="M15" s="10" t="inlineStr">
        <is>
          <t>Q1 2026</t>
        </is>
      </c>
      <c r="N15" s="10" t="inlineStr">
        <is>
          <t>Q2 2026</t>
        </is>
      </c>
      <c r="O15" s="10" t="inlineStr">
        <is>
          <t>Q3 2026</t>
        </is>
      </c>
      <c r="P15" s="10" t="inlineStr">
        <is>
          <t>Q4 2026</t>
        </is>
      </c>
    </row>
    <row r="16">
      <c r="A16" s="11" t="inlineStr">
        <is>
          <t>N1</t>
        </is>
      </c>
      <c r="B16" s="6" t="inlineStr">
        <is>
          <t>0–12 months</t>
        </is>
      </c>
      <c r="C16" s="6" t="inlineStr">
        <is>
          <t>INPUT</t>
        </is>
      </c>
      <c r="D16" s="5" t="inlineStr">
        <is>
          <t>Disconnect counts</t>
        </is>
      </c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</row>
    <row r="17">
      <c r="A17" s="11" t="inlineStr">
        <is>
          <t>N2</t>
        </is>
      </c>
      <c r="B17" s="6" t="inlineStr">
        <is>
          <t>12–36 months</t>
        </is>
      </c>
      <c r="C17" s="6" t="inlineStr">
        <is>
          <t>INPUT</t>
        </is>
      </c>
      <c r="D17" s="5" t="inlineStr">
        <is>
          <t>Disconnect counts</t>
        </is>
      </c>
      <c r="E17" s="27" t="n"/>
      <c r="F17" s="27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</row>
    <row r="18">
      <c r="A18" s="11" t="inlineStr">
        <is>
          <t>N3</t>
        </is>
      </c>
      <c r="B18" s="6" t="inlineStr">
        <is>
          <t>36+ months</t>
        </is>
      </c>
      <c r="C18" s="6" t="inlineStr">
        <is>
          <t>INPUT</t>
        </is>
      </c>
      <c r="D18" s="5" t="inlineStr">
        <is>
          <t>Disconnect counts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</row>
    <row r="19">
      <c r="A19" s="6" t="inlineStr"/>
      <c r="B19" s="11" t="inlineStr">
        <is>
          <t>Sum (formula)</t>
        </is>
      </c>
      <c r="C19" s="6" t="inlineStr">
        <is>
          <t>DERIVED</t>
        </is>
      </c>
      <c r="D19" s="5" t="inlineStr">
        <is>
          <t>Should reconcile to tracker disconnects</t>
        </is>
      </c>
      <c r="E19" s="14">
        <f>IF(COUNT(E16:E18)=0,"",SUM(E16:E18))</f>
        <v/>
      </c>
      <c r="F19" s="14">
        <f>IF(COUNT(F16:F18)=0,"",SUM(F16:F18))</f>
        <v/>
      </c>
      <c r="G19" s="14">
        <f>IF(COUNT(G16:G18)=0,"",SUM(G16:G18))</f>
        <v/>
      </c>
      <c r="H19" s="14">
        <f>IF(COUNT(H16:H18)=0,"",SUM(H16:H18))</f>
        <v/>
      </c>
      <c r="I19" s="14">
        <f>IF(COUNT(I16:I18)=0,"",SUM(I16:I18))</f>
        <v/>
      </c>
      <c r="J19" s="14">
        <f>IF(COUNT(J16:J18)=0,"",SUM(J16:J18))</f>
        <v/>
      </c>
      <c r="K19" s="14">
        <f>IF(COUNT(K16:K18)=0,"",SUM(K16:K18))</f>
        <v/>
      </c>
      <c r="L19" s="14">
        <f>IF(COUNT(L16:L18)=0,"",SUM(L16:L18))</f>
        <v/>
      </c>
      <c r="M19" s="14">
        <f>IF(COUNT(M16:M18)=0,"",SUM(M16:M18))</f>
        <v/>
      </c>
      <c r="N19" s="14">
        <f>IF(COUNT(N16:N18)=0,"",SUM(N16:N18))</f>
        <v/>
      </c>
      <c r="O19" s="14">
        <f>IF(COUNT(O16:O18)=0,"",SUM(O16:O18))</f>
        <v/>
      </c>
      <c r="P19" s="14">
        <f>IF(COUNT(P16:P18)=0,"",SUM(P16:P18))</f>
        <v/>
      </c>
    </row>
    <row r="21">
      <c r="A21" s="9" t="inlineStr">
        <is>
          <t>WHO · product mix at leave</t>
        </is>
      </c>
      <c r="B21" s="2" t="n"/>
      <c r="C21" s="2" t="n"/>
      <c r="D21" s="2" t="n"/>
      <c r="E21" s="2" t="n"/>
      <c r="F21" s="2" t="n"/>
      <c r="G21" s="2" t="n"/>
      <c r="H21" s="3" t="n"/>
    </row>
    <row r="22">
      <c r="A22" s="10" t="inlineStr">
        <is>
          <t>ID</t>
        </is>
      </c>
      <c r="B22" s="10" t="inlineStr">
        <is>
          <t>Cut</t>
        </is>
      </c>
      <c r="C22" s="10" t="inlineStr">
        <is>
          <t>Tag</t>
        </is>
      </c>
      <c r="D22" s="10" t="inlineStr">
        <is>
          <t>G1 cut. Tests whether video lock-in left and whether mobile holds</t>
        </is>
      </c>
      <c r="E22" s="10" t="inlineStr">
        <is>
          <t>Q1 2024</t>
        </is>
      </c>
      <c r="F22" s="10" t="inlineStr">
        <is>
          <t>Q2 2024</t>
        </is>
      </c>
      <c r="G22" s="10" t="inlineStr">
        <is>
          <t>Q3 2024</t>
        </is>
      </c>
      <c r="H22" s="10" t="inlineStr">
        <is>
          <t>Q4 2024</t>
        </is>
      </c>
      <c r="I22" s="10" t="inlineStr">
        <is>
          <t>Q1 2025</t>
        </is>
      </c>
      <c r="J22" s="10" t="inlineStr">
        <is>
          <t>Q2 2025</t>
        </is>
      </c>
      <c r="K22" s="10" t="inlineStr">
        <is>
          <t>Q3 2025</t>
        </is>
      </c>
      <c r="L22" s="10" t="inlineStr">
        <is>
          <t>Q4 2025</t>
        </is>
      </c>
      <c r="M22" s="10" t="inlineStr">
        <is>
          <t>Q1 2026</t>
        </is>
      </c>
      <c r="N22" s="10" t="inlineStr">
        <is>
          <t>Q2 2026</t>
        </is>
      </c>
      <c r="O22" s="10" t="inlineStr">
        <is>
          <t>Q3 2026</t>
        </is>
      </c>
      <c r="P22" s="10" t="inlineStr">
        <is>
          <t>Q4 2026</t>
        </is>
      </c>
    </row>
    <row r="23">
      <c r="A23" s="11" t="inlineStr">
        <is>
          <t>M1</t>
        </is>
      </c>
      <c r="B23" s="6" t="inlineStr">
        <is>
          <t>Internet-only</t>
        </is>
      </c>
      <c r="C23" s="6" t="inlineStr">
        <is>
          <t>INPUT</t>
        </is>
      </c>
      <c r="D23" s="5" t="inlineStr">
        <is>
          <t>Disconnect counts</t>
        </is>
      </c>
      <c r="E23" s="27" t="n"/>
      <c r="F23" s="27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</row>
    <row r="24">
      <c r="A24" s="11" t="inlineStr">
        <is>
          <t>M2</t>
        </is>
      </c>
      <c r="B24" s="6" t="inlineStr">
        <is>
          <t>Internet + mobile</t>
        </is>
      </c>
      <c r="C24" s="6" t="inlineStr">
        <is>
          <t>INPUT</t>
        </is>
      </c>
      <c r="D24" s="5" t="inlineStr">
        <is>
          <t>Disconnect counts</t>
        </is>
      </c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</row>
    <row r="25">
      <c r="A25" s="11" t="inlineStr">
        <is>
          <t>M3</t>
        </is>
      </c>
      <c r="B25" s="6" t="inlineStr">
        <is>
          <t>Internet + video</t>
        </is>
      </c>
      <c r="C25" s="6" t="inlineStr">
        <is>
          <t>INPUT</t>
        </is>
      </c>
      <c r="D25" s="5" t="inlineStr">
        <is>
          <t>Disconnect counts</t>
        </is>
      </c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</row>
    <row r="26">
      <c r="A26" s="11" t="inlineStr">
        <is>
          <t>M4</t>
        </is>
      </c>
      <c r="B26" s="6" t="inlineStr">
        <is>
          <t>Triple-play</t>
        </is>
      </c>
      <c r="C26" s="6" t="inlineStr">
        <is>
          <t>INPUT</t>
        </is>
      </c>
      <c r="D26" s="5" t="inlineStr">
        <is>
          <t>Disconnect counts</t>
        </is>
      </c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</row>
    <row r="27">
      <c r="A27" s="6" t="inlineStr"/>
      <c r="B27" s="11" t="inlineStr">
        <is>
          <t>Sum (formula)</t>
        </is>
      </c>
      <c r="C27" s="6" t="inlineStr">
        <is>
          <t>DERIVED</t>
        </is>
      </c>
      <c r="D27" s="5" t="inlineStr">
        <is>
          <t>Should reconcile to tracker disconnects</t>
        </is>
      </c>
      <c r="E27" s="14">
        <f>IF(COUNT(E23:E26)=0,"",SUM(E23:E26))</f>
        <v/>
      </c>
      <c r="F27" s="14">
        <f>IF(COUNT(F23:F26)=0,"",SUM(F23:F26))</f>
        <v/>
      </c>
      <c r="G27" s="14">
        <f>IF(COUNT(G23:G26)=0,"",SUM(G23:G26))</f>
        <v/>
      </c>
      <c r="H27" s="14">
        <f>IF(COUNT(H23:H26)=0,"",SUM(H23:H26))</f>
        <v/>
      </c>
      <c r="I27" s="14">
        <f>IF(COUNT(I23:I26)=0,"",SUM(I23:I26))</f>
        <v/>
      </c>
      <c r="J27" s="14">
        <f>IF(COUNT(J23:J26)=0,"",SUM(J23:J26))</f>
        <v/>
      </c>
      <c r="K27" s="14">
        <f>IF(COUNT(K23:K26)=0,"",SUM(K23:K26))</f>
        <v/>
      </c>
      <c r="L27" s="14">
        <f>IF(COUNT(L23:L26)=0,"",SUM(L23:L26))</f>
        <v/>
      </c>
      <c r="M27" s="14">
        <f>IF(COUNT(M23:M26)=0,"",SUM(M23:M26))</f>
        <v/>
      </c>
      <c r="N27" s="14">
        <f>IF(COUNT(N23:N26)=0,"",SUM(N23:N26))</f>
        <v/>
      </c>
      <c r="O27" s="14">
        <f>IF(COUNT(O23:O26)=0,"",SUM(O23:O26))</f>
        <v/>
      </c>
      <c r="P27" s="14">
        <f>IF(COUNT(P23:P26)=0,"",SUM(P23:P26))</f>
        <v/>
      </c>
    </row>
    <row r="29">
      <c r="A29" s="9" t="inlineStr">
        <is>
          <t>WHO · ARPU tier (pptx value-cohort)</t>
        </is>
      </c>
      <c r="B29" s="2" t="n"/>
      <c r="C29" s="2" t="n"/>
      <c r="D29" s="2" t="n"/>
      <c r="E29" s="2" t="n"/>
      <c r="F29" s="2" t="n"/>
      <c r="G29" s="2" t="n"/>
      <c r="H29" s="3" t="n"/>
    </row>
    <row r="30">
      <c r="A30" s="10" t="inlineStr">
        <is>
          <t>ID</t>
        </is>
      </c>
      <c r="B30" s="10" t="inlineStr">
        <is>
          <t>Cut</t>
        </is>
      </c>
      <c r="C30" s="10" t="inlineStr">
        <is>
          <t>Tag</t>
        </is>
      </c>
      <c r="D30" s="10" t="inlineStr">
        <is>
          <t>PPTX loss matrix = cause-cohort × value-cohort</t>
        </is>
      </c>
      <c r="E30" s="10" t="inlineStr">
        <is>
          <t>Q1 2024</t>
        </is>
      </c>
      <c r="F30" s="10" t="inlineStr">
        <is>
          <t>Q2 2024</t>
        </is>
      </c>
      <c r="G30" s="10" t="inlineStr">
        <is>
          <t>Q3 2024</t>
        </is>
      </c>
      <c r="H30" s="10" t="inlineStr">
        <is>
          <t>Q4 2024</t>
        </is>
      </c>
      <c r="I30" s="10" t="inlineStr">
        <is>
          <t>Q1 2025</t>
        </is>
      </c>
      <c r="J30" s="10" t="inlineStr">
        <is>
          <t>Q2 2025</t>
        </is>
      </c>
      <c r="K30" s="10" t="inlineStr">
        <is>
          <t>Q3 2025</t>
        </is>
      </c>
      <c r="L30" s="10" t="inlineStr">
        <is>
          <t>Q4 2025</t>
        </is>
      </c>
      <c r="M30" s="10" t="inlineStr">
        <is>
          <t>Q1 2026</t>
        </is>
      </c>
      <c r="N30" s="10" t="inlineStr">
        <is>
          <t>Q2 2026</t>
        </is>
      </c>
      <c r="O30" s="10" t="inlineStr">
        <is>
          <t>Q3 2026</t>
        </is>
      </c>
      <c r="P30" s="10" t="inlineStr">
        <is>
          <t>Q4 2026</t>
        </is>
      </c>
    </row>
    <row r="31">
      <c r="A31" s="11" t="inlineStr">
        <is>
          <t>V1</t>
        </is>
      </c>
      <c r="B31" s="6" t="inlineStr">
        <is>
          <t>Low ARPU</t>
        </is>
      </c>
      <c r="C31" s="6" t="inlineStr">
        <is>
          <t>INPUT</t>
        </is>
      </c>
      <c r="D31" s="5" t="inlineStr">
        <is>
          <t>Disconnect counts</t>
        </is>
      </c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</row>
    <row r="32">
      <c r="A32" s="11" t="inlineStr">
        <is>
          <t>V2</t>
        </is>
      </c>
      <c r="B32" s="6" t="inlineStr">
        <is>
          <t>Mid ARPU</t>
        </is>
      </c>
      <c r="C32" s="6" t="inlineStr">
        <is>
          <t>INPUT</t>
        </is>
      </c>
      <c r="D32" s="5" t="inlineStr">
        <is>
          <t>Disconnect counts</t>
        </is>
      </c>
      <c r="E32" s="27" t="n"/>
      <c r="F32" s="27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</row>
    <row r="33">
      <c r="A33" s="11" t="inlineStr">
        <is>
          <t>V3</t>
        </is>
      </c>
      <c r="B33" s="6" t="inlineStr">
        <is>
          <t>High ARPU</t>
        </is>
      </c>
      <c r="C33" s="6" t="inlineStr">
        <is>
          <t>INPUT</t>
        </is>
      </c>
      <c r="D33" s="5" t="inlineStr">
        <is>
          <t>Disconnect counts</t>
        </is>
      </c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</row>
    <row r="34">
      <c r="A34" s="6" t="inlineStr"/>
      <c r="B34" s="11" t="inlineStr">
        <is>
          <t>Sum (formula)</t>
        </is>
      </c>
      <c r="C34" s="6" t="inlineStr">
        <is>
          <t>DERIVED</t>
        </is>
      </c>
      <c r="D34" s="5" t="inlineStr">
        <is>
          <t>Should reconcile to tracker disconnects</t>
        </is>
      </c>
      <c r="E34" s="14">
        <f>IF(COUNT(E31:E33)=0,"",SUM(E31:E33))</f>
        <v/>
      </c>
      <c r="F34" s="14">
        <f>IF(COUNT(F31:F33)=0,"",SUM(F31:F33))</f>
        <v/>
      </c>
      <c r="G34" s="14">
        <f>IF(COUNT(G31:G33)=0,"",SUM(G31:G33))</f>
        <v/>
      </c>
      <c r="H34" s="14">
        <f>IF(COUNT(H31:H33)=0,"",SUM(H31:H33))</f>
        <v/>
      </c>
      <c r="I34" s="14">
        <f>IF(COUNT(I31:I33)=0,"",SUM(I31:I33))</f>
        <v/>
      </c>
      <c r="J34" s="14">
        <f>IF(COUNT(J31:J33)=0,"",SUM(J31:J33))</f>
        <v/>
      </c>
      <c r="K34" s="14">
        <f>IF(COUNT(K31:K33)=0,"",SUM(K31:K33))</f>
        <v/>
      </c>
      <c r="L34" s="14">
        <f>IF(COUNT(L31:L33)=0,"",SUM(L31:L33))</f>
        <v/>
      </c>
      <c r="M34" s="14">
        <f>IF(COUNT(M31:M33)=0,"",SUM(M31:M33))</f>
        <v/>
      </c>
      <c r="N34" s="14">
        <f>IF(COUNT(N31:N33)=0,"",SUM(N31:N33))</f>
        <v/>
      </c>
      <c r="O34" s="14">
        <f>IF(COUNT(O31:O33)=0,"",SUM(O31:O33))</f>
        <v/>
      </c>
      <c r="P34" s="14">
        <f>IF(COUNT(P31:P33)=0,"",SUM(P31:P33))</f>
        <v/>
      </c>
    </row>
    <row r="36">
      <c r="A36" s="9" t="inlineStr">
        <is>
          <t>MEASURED EXIT SIGNAL (sampled survey / port-out — not agent codes)</t>
        </is>
      </c>
      <c r="B36" s="2" t="n"/>
      <c r="C36" s="2" t="n"/>
      <c r="D36" s="2" t="n"/>
      <c r="E36" s="2" t="n"/>
      <c r="F36" s="2" t="n"/>
      <c r="G36" s="2" t="n"/>
      <c r="H36" s="3" t="n"/>
    </row>
    <row r="37">
      <c r="A37" s="10" t="inlineStr">
        <is>
          <t>ID</t>
        </is>
      </c>
      <c r="B37" s="10" t="inlineStr">
        <is>
          <t>Cut</t>
        </is>
      </c>
      <c r="C37" s="10" t="inlineStr">
        <is>
          <t>Tag</t>
        </is>
      </c>
      <c r="D37" s="10" t="inlineStr">
        <is>
          <t>PPTX slide 4: sample-audit codes against reality every quarter</t>
        </is>
      </c>
      <c r="E37" s="10" t="inlineStr">
        <is>
          <t>Q1 2024</t>
        </is>
      </c>
      <c r="F37" s="10" t="inlineStr">
        <is>
          <t>Q2 2024</t>
        </is>
      </c>
      <c r="G37" s="10" t="inlineStr">
        <is>
          <t>Q3 2024</t>
        </is>
      </c>
      <c r="H37" s="10" t="inlineStr">
        <is>
          <t>Q4 2024</t>
        </is>
      </c>
      <c r="I37" s="10" t="inlineStr">
        <is>
          <t>Q1 2025</t>
        </is>
      </c>
      <c r="J37" s="10" t="inlineStr">
        <is>
          <t>Q2 2025</t>
        </is>
      </c>
      <c r="K37" s="10" t="inlineStr">
        <is>
          <t>Q3 2025</t>
        </is>
      </c>
      <c r="L37" s="10" t="inlineStr">
        <is>
          <t>Q4 2025</t>
        </is>
      </c>
      <c r="M37" s="10" t="inlineStr">
        <is>
          <t>Q1 2026</t>
        </is>
      </c>
      <c r="N37" s="10" t="inlineStr">
        <is>
          <t>Q2 2026</t>
        </is>
      </c>
      <c r="O37" s="10" t="inlineStr">
        <is>
          <t>Q3 2026</t>
        </is>
      </c>
      <c r="P37" s="10" t="inlineStr">
        <is>
          <t>Q4 2026</t>
        </is>
      </c>
    </row>
    <row r="38">
      <c r="A38" s="11" t="inlineStr">
        <is>
          <t>X1</t>
        </is>
      </c>
      <c r="B38" s="6" t="inlineStr">
        <is>
          <t>Price</t>
        </is>
      </c>
      <c r="C38" s="6" t="inlineStr">
        <is>
          <t>INPUT</t>
        </is>
      </c>
      <c r="D38" s="5" t="inlineStr">
        <is>
          <t>Disconnect counts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</row>
    <row r="39">
      <c r="A39" s="11" t="inlineStr">
        <is>
          <t>X2</t>
        </is>
      </c>
      <c r="B39" s="6" t="inlineStr">
        <is>
          <t>Speed / reliability / upload</t>
        </is>
      </c>
      <c r="C39" s="6" t="inlineStr">
        <is>
          <t>INPUT</t>
        </is>
      </c>
      <c r="D39" s="5" t="inlineStr">
        <is>
          <t>Disconnect counts</t>
        </is>
      </c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</row>
    <row r="40">
      <c r="A40" s="11" t="inlineStr">
        <is>
          <t>X3</t>
        </is>
      </c>
      <c r="B40" s="6" t="inlineStr">
        <is>
          <t>Move-out</t>
        </is>
      </c>
      <c r="C40" s="6" t="inlineStr">
        <is>
          <t>INPUT</t>
        </is>
      </c>
      <c r="D40" s="5" t="inlineStr">
        <is>
          <t>Disconnect counts</t>
        </is>
      </c>
      <c r="E40" s="27" t="n"/>
      <c r="F40" s="27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</row>
    <row r="41">
      <c r="A41" s="11" t="inlineStr">
        <is>
          <t>X4</t>
        </is>
      </c>
      <c r="B41" s="6" t="inlineStr">
        <is>
          <t>Non-pay</t>
        </is>
      </c>
      <c r="C41" s="6" t="inlineStr">
        <is>
          <t>INPUT</t>
        </is>
      </c>
      <c r="D41" s="5" t="inlineStr">
        <is>
          <t>Disconnect counts</t>
        </is>
      </c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</row>
    <row r="42">
      <c r="A42" s="11" t="inlineStr">
        <is>
          <t>X5</t>
        </is>
      </c>
      <c r="B42" s="6" t="inlineStr">
        <is>
          <t>Other / unknown</t>
        </is>
      </c>
      <c r="C42" s="6" t="inlineStr">
        <is>
          <t>INPUT</t>
        </is>
      </c>
      <c r="D42" s="5" t="inlineStr">
        <is>
          <t>Disconnect counts</t>
        </is>
      </c>
      <c r="E42" s="27" t="n"/>
      <c r="F42" s="27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</row>
    <row r="43">
      <c r="A43" s="6" t="inlineStr"/>
      <c r="B43" s="11" t="inlineStr">
        <is>
          <t>Sum (formula)</t>
        </is>
      </c>
      <c r="C43" s="6" t="inlineStr">
        <is>
          <t>DERIVED</t>
        </is>
      </c>
      <c r="D43" s="5" t="inlineStr">
        <is>
          <t>Should reconcile to tracker disconnects</t>
        </is>
      </c>
      <c r="E43" s="14">
        <f>IF(COUNT(E38:E42)=0,"",SUM(E38:E42))</f>
        <v/>
      </c>
      <c r="F43" s="14">
        <f>IF(COUNT(F38:F42)=0,"",SUM(F38:F42))</f>
        <v/>
      </c>
      <c r="G43" s="14">
        <f>IF(COUNT(G38:G42)=0,"",SUM(G38:G42))</f>
        <v/>
      </c>
      <c r="H43" s="14">
        <f>IF(COUNT(H38:H42)=0,"",SUM(H38:H42))</f>
        <v/>
      </c>
      <c r="I43" s="14">
        <f>IF(COUNT(I38:I42)=0,"",SUM(I38:I42))</f>
        <v/>
      </c>
      <c r="J43" s="14">
        <f>IF(COUNT(J38:J42)=0,"",SUM(J38:J42))</f>
        <v/>
      </c>
      <c r="K43" s="14">
        <f>IF(COUNT(K38:K42)=0,"",SUM(K38:K42))</f>
        <v/>
      </c>
      <c r="L43" s="14">
        <f>IF(COUNT(L38:L42)=0,"",SUM(L38:L42))</f>
        <v/>
      </c>
      <c r="M43" s="14">
        <f>IF(COUNT(M38:M42)=0,"",SUM(M38:M42))</f>
        <v/>
      </c>
      <c r="N43" s="14">
        <f>IF(COUNT(N38:N42)=0,"",SUM(N38:N42))</f>
        <v/>
      </c>
      <c r="O43" s="14">
        <f>IF(COUNT(O38:O42)=0,"",SUM(O38:O42))</f>
        <v/>
      </c>
      <c r="P43" s="14">
        <f>IF(COUNT(P38:P42)=0,"",SUM(P38:P42))</f>
        <v/>
      </c>
    </row>
    <row r="45">
      <c r="A45" s="9" t="inlineStr">
        <is>
          <t>OPTIONAL BEGIN PSUs FOR RATES (WHERE)</t>
        </is>
      </c>
      <c r="B45" s="2" t="n"/>
      <c r="C45" s="2" t="n"/>
      <c r="D45" s="3" t="n"/>
    </row>
    <row r="46">
      <c r="A46" s="10" t="inlineStr">
        <is>
          <t>ID</t>
        </is>
      </c>
      <c r="B46" s="10" t="inlineStr">
        <is>
          <t>Cut</t>
        </is>
      </c>
      <c r="C46" s="10" t="inlineStr">
        <is>
          <t>Tag</t>
        </is>
      </c>
      <c r="D46" s="10" t="inlineStr">
        <is>
          <t>Beginning residential Internet PSUs in this cut</t>
        </is>
      </c>
      <c r="E46" s="10" t="inlineStr">
        <is>
          <t>Q1 2024</t>
        </is>
      </c>
      <c r="F46" s="10" t="inlineStr">
        <is>
          <t>Q2 2024</t>
        </is>
      </c>
      <c r="G46" s="10" t="inlineStr">
        <is>
          <t>Q3 2024</t>
        </is>
      </c>
      <c r="H46" s="10" t="inlineStr">
        <is>
          <t>Q4 2024</t>
        </is>
      </c>
      <c r="I46" s="10" t="inlineStr">
        <is>
          <t>Q1 2025</t>
        </is>
      </c>
      <c r="J46" s="10" t="inlineStr">
        <is>
          <t>Q2 2025</t>
        </is>
      </c>
      <c r="K46" s="10" t="inlineStr">
        <is>
          <t>Q3 2025</t>
        </is>
      </c>
      <c r="L46" s="10" t="inlineStr">
        <is>
          <t>Q4 2025</t>
        </is>
      </c>
      <c r="M46" s="10" t="inlineStr">
        <is>
          <t>Q1 2026</t>
        </is>
      </c>
      <c r="N46" s="10" t="inlineStr">
        <is>
          <t>Q2 2026</t>
        </is>
      </c>
      <c r="O46" s="10" t="inlineStr">
        <is>
          <t>Q3 2026</t>
        </is>
      </c>
      <c r="P46" s="10" t="inlineStr">
        <is>
          <t>Q4 2026</t>
        </is>
      </c>
    </row>
    <row r="47">
      <c r="A47" s="11" t="inlineStr">
        <is>
          <t>B1</t>
        </is>
      </c>
      <c r="B47" s="6" t="inlineStr">
        <is>
          <t>Core begin</t>
        </is>
      </c>
      <c r="C47" s="6" t="inlineStr">
        <is>
          <t>INPUT</t>
        </is>
      </c>
      <c r="D47" s="5" t="inlineStr">
        <is>
          <t>Needed for a rate, not just a share</t>
        </is>
      </c>
      <c r="E47" s="27" t="n"/>
      <c r="F47" s="27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</row>
    <row r="48">
      <c r="A48" s="11" t="inlineStr">
        <is>
          <t>B2</t>
        </is>
      </c>
      <c r="B48" s="6" t="inlineStr">
        <is>
          <t>Rural begin</t>
        </is>
      </c>
      <c r="C48" s="6" t="inlineStr">
        <is>
          <t>INPUT</t>
        </is>
      </c>
      <c r="D48" s="5" t="inlineStr">
        <is>
          <t>Needed for a rate, not just a share</t>
        </is>
      </c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</row>
    <row r="51">
      <c r="A51" s="9" t="inlineStr">
        <is>
          <t>SELECTED-QUARTER DIAGNOSTIC (Dashboard feed — do not edit)</t>
        </is>
      </c>
      <c r="B51" s="2" t="n"/>
      <c r="C51" s="2" t="n"/>
      <c r="D51" s="2" t="n"/>
      <c r="E51" s="2" t="n"/>
      <c r="F51" s="2" t="n"/>
      <c r="G51" s="2" t="n"/>
      <c r="H51" s="3" t="n"/>
    </row>
    <row r="52">
      <c r="A52" s="10" t="inlineStr">
        <is>
          <t>Cut</t>
        </is>
      </c>
      <c r="B52" s="10" t="inlineStr">
        <is>
          <t>Segment</t>
        </is>
      </c>
      <c r="C52" s="10" t="inlineStr">
        <is>
          <t>Disconnects</t>
        </is>
      </c>
      <c r="D52" s="10" t="inlineStr">
        <is>
          <t>Share of this cut</t>
        </is>
      </c>
      <c r="E52" s="10" t="inlineStr">
        <is>
          <t>Begin PSUs</t>
        </is>
      </c>
      <c r="F52" s="10" t="inlineStr">
        <is>
          <t>Rate</t>
        </is>
      </c>
      <c r="G52" s="10" t="inlineStr">
        <is>
          <t>vs company rate</t>
        </is>
      </c>
      <c r="H52" s="10" t="inlineStr">
        <is>
          <t>Flag</t>
        </is>
      </c>
    </row>
    <row r="53">
      <c r="A53" s="6" t="inlineStr">
        <is>
          <t>WHERE</t>
        </is>
      </c>
      <c r="B53" s="6" t="inlineStr">
        <is>
          <t>Core</t>
        </is>
      </c>
      <c r="C53" s="14">
        <f>IFERROR(INDEX('Segments'!$E$7:$P$7,MATCH(Param_Quarter,'Segments'!$E$5:$P$5,0)),"")</f>
        <v/>
      </c>
      <c r="D53" s="15">
        <f>IF(OR(C53="",SUM($C$53:$C$57)=0),"",C53/SUM($C$53:$C$57))</f>
        <v/>
      </c>
      <c r="E53" s="14">
        <f>IFERROR(INDEX('Segments'!$E$47:$P$47,MATCH(Param_Quarter,'Segments'!$E$5:$P$5,0)),"")</f>
        <v/>
      </c>
      <c r="F53" s="30">
        <f>IF(OR(C53="",E53="",E53=0),"",C53/E53)</f>
        <v/>
      </c>
      <c r="G53" s="31">
        <f>IF(OR(F53="",'Net-loss tracker'!B43=""),"",F53/'Net-loss tracker'!B43)</f>
        <v/>
      </c>
      <c r="H53" s="12">
        <f>IF(C53="","",IF(D53=MAX($D$53:$D$57),"Largest share",""))</f>
        <v/>
      </c>
    </row>
    <row r="54">
      <c r="A54" s="6" t="inlineStr">
        <is>
          <t>WHERE</t>
        </is>
      </c>
      <c r="B54" s="6" t="inlineStr">
        <is>
          <t>Rural</t>
        </is>
      </c>
      <c r="C54" s="14">
        <f>IFERROR(INDEX('Segments'!$E$8:$P$8,MATCH(Param_Quarter,'Segments'!$E$5:$P$5,0)),"")</f>
        <v/>
      </c>
      <c r="D54" s="15">
        <f>IF(OR(C54="",SUM($C$53:$C$57)=0),"",C54/SUM($C$53:$C$57))</f>
        <v/>
      </c>
      <c r="E54" s="14">
        <f>IFERROR(INDEX('Segments'!$E$48:$P$48,MATCH(Param_Quarter,'Segments'!$E$5:$P$5,0)),"")</f>
        <v/>
      </c>
      <c r="F54" s="30">
        <f>IF(OR(C54="",E54="",E54=0),"",C54/E54)</f>
        <v/>
      </c>
      <c r="G54" s="31">
        <f>IF(OR(F54="",'Net-loss tracker'!B43=""),"",F54/'Net-loss tracker'!B43)</f>
        <v/>
      </c>
      <c r="H54" s="12">
        <f>IF(C54="","",IF(D54=MAX($D$53:$D$57),"Largest share",""))</f>
        <v/>
      </c>
    </row>
    <row r="55">
      <c r="A55" s="6" t="inlineStr">
        <is>
          <t>WHERE</t>
        </is>
      </c>
      <c r="B55" s="6" t="inlineStr">
        <is>
          <t>AT&amp;T overlap</t>
        </is>
      </c>
      <c r="C55" s="14">
        <f>IFERROR(INDEX('Segments'!$E$9:$P$9,MATCH(Param_Quarter,'Segments'!$E$5:$P$5,0)),"")</f>
        <v/>
      </c>
      <c r="D55" s="15">
        <f>IF(OR(C55="",SUM($C$53:$C$57)=0),"",C55/SUM($C$53:$C$57))</f>
        <v/>
      </c>
      <c r="E55" s="12" t="inlineStr"/>
      <c r="F55" s="30">
        <f>IF(OR(C55="",E55="",E55=0),"",C55/E55)</f>
        <v/>
      </c>
      <c r="G55" s="31">
        <f>IF(OR(F55="",'Net-loss tracker'!B43=""),"",F55/'Net-loss tracker'!B43)</f>
        <v/>
      </c>
      <c r="H55" s="12">
        <f>IF(C55="","",IF(D55=MAX($D$53:$D$57),"Largest share",""))</f>
        <v/>
      </c>
    </row>
    <row r="56">
      <c r="A56" s="6" t="inlineStr">
        <is>
          <t>WHERE</t>
        </is>
      </c>
      <c r="B56" s="6" t="inlineStr">
        <is>
          <t>Verizon overlap</t>
        </is>
      </c>
      <c r="C56" s="14">
        <f>IFERROR(INDEX('Segments'!$E$10:$P$10,MATCH(Param_Quarter,'Segments'!$E$5:$P$5,0)),"")</f>
        <v/>
      </c>
      <c r="D56" s="15">
        <f>IF(OR(C56="",SUM($C$53:$C$57)=0),"",C56/SUM($C$53:$C$57))</f>
        <v/>
      </c>
      <c r="E56" s="12" t="inlineStr"/>
      <c r="F56" s="30">
        <f>IF(OR(C56="",E56="",E56=0),"",C56/E56)</f>
        <v/>
      </c>
      <c r="G56" s="31">
        <f>IF(OR(F56="",'Net-loss tracker'!B43=""),"",F56/'Net-loss tracker'!B43)</f>
        <v/>
      </c>
      <c r="H56" s="12">
        <f>IF(C56="","",IF(D56=MAX($D$53:$D$57),"Largest share",""))</f>
        <v/>
      </c>
    </row>
    <row r="57">
      <c r="A57" s="6" t="inlineStr">
        <is>
          <t>WHERE</t>
        </is>
      </c>
      <c r="B57" s="6" t="inlineStr">
        <is>
          <t>Rest of footprint</t>
        </is>
      </c>
      <c r="C57" s="14">
        <f>IFERROR(INDEX('Segments'!$E$11:$P$11,MATCH(Param_Quarter,'Segments'!$E$5:$P$5,0)),"")</f>
        <v/>
      </c>
      <c r="D57" s="15">
        <f>IF(OR(C57="",SUM($C$53:$C$57)=0),"",C57/SUM($C$53:$C$57))</f>
        <v/>
      </c>
      <c r="E57" s="12" t="inlineStr"/>
      <c r="F57" s="30">
        <f>IF(OR(C57="",E57="",E57=0),"",C57/E57)</f>
        <v/>
      </c>
      <c r="G57" s="31">
        <f>IF(OR(F57="",'Net-loss tracker'!B43=""),"",F57/'Net-loss tracker'!B43)</f>
        <v/>
      </c>
      <c r="H57" s="12">
        <f>IF(C57="","",IF(D57=MAX($D$53:$D$57),"Largest share",""))</f>
        <v/>
      </c>
    </row>
    <row r="59">
      <c r="A59" s="10" t="inlineStr">
        <is>
          <t>Tenure</t>
        </is>
      </c>
      <c r="B59" s="10" t="inlineStr">
        <is>
          <t>Segment</t>
        </is>
      </c>
      <c r="C59" s="10" t="inlineStr">
        <is>
          <t>Disconnects</t>
        </is>
      </c>
      <c r="D59" s="10" t="inlineStr">
        <is>
          <t>Share</t>
        </is>
      </c>
    </row>
    <row r="60">
      <c r="A60" s="6" t="inlineStr">
        <is>
          <t>TENURE</t>
        </is>
      </c>
      <c r="B60" s="6" t="inlineStr">
        <is>
          <t>0–12 months</t>
        </is>
      </c>
      <c r="C60" s="14">
        <f>IFERROR(INDEX('Segments'!$E$16:$P$16,MATCH(Param_Quarter,'Segments'!$E$5:$P$5,0)),"")</f>
        <v/>
      </c>
      <c r="D60" s="15">
        <f>IF(OR(C60="",SUM($C$60:$C$62)=0),"",C60/SUM($C$60:$C$62))</f>
        <v/>
      </c>
    </row>
    <row r="61">
      <c r="A61" s="6" t="inlineStr">
        <is>
          <t>TENURE</t>
        </is>
      </c>
      <c r="B61" s="6" t="inlineStr">
        <is>
          <t>12–36 months</t>
        </is>
      </c>
      <c r="C61" s="14">
        <f>IFERROR(INDEX('Segments'!$E$17:$P$17,MATCH(Param_Quarter,'Segments'!$E$5:$P$5,0)),"")</f>
        <v/>
      </c>
      <c r="D61" s="15">
        <f>IF(OR(C61="",SUM($C$60:$C$62)=0),"",C61/SUM($C$60:$C$62))</f>
        <v/>
      </c>
    </row>
    <row r="62">
      <c r="A62" s="6" t="inlineStr">
        <is>
          <t>TENURE</t>
        </is>
      </c>
      <c r="B62" s="6" t="inlineStr">
        <is>
          <t>36+ months</t>
        </is>
      </c>
      <c r="C62" s="14">
        <f>IFERROR(INDEX('Segments'!$E$18:$P$18,MATCH(Param_Quarter,'Segments'!$E$5:$P$5,0)),"")</f>
        <v/>
      </c>
      <c r="D62" s="15">
        <f>IF(OR(C62="",SUM($C$60:$C$62)=0),"",C62/SUM($C$60:$C$62))</f>
        <v/>
      </c>
    </row>
    <row r="64">
      <c r="A64" s="10" t="inlineStr">
        <is>
          <t>Product</t>
        </is>
      </c>
      <c r="B64" s="10" t="inlineStr">
        <is>
          <t>Segment</t>
        </is>
      </c>
      <c r="C64" s="10" t="inlineStr">
        <is>
          <t>Disconnects</t>
        </is>
      </c>
      <c r="D64" s="10" t="inlineStr">
        <is>
          <t>Share</t>
        </is>
      </c>
    </row>
    <row r="65">
      <c r="A65" s="6" t="inlineStr">
        <is>
          <t>PRODUCT</t>
        </is>
      </c>
      <c r="B65" s="6" t="inlineStr">
        <is>
          <t>Internet-only</t>
        </is>
      </c>
      <c r="C65" s="14">
        <f>IFERROR(INDEX('Segments'!$E$23:$P$23,MATCH(Param_Quarter,'Segments'!$E$5:$P$5,0)),"")</f>
        <v/>
      </c>
      <c r="D65" s="15">
        <f>IF(OR(C65="",SUM($C$65:$C$68)=0),"",C65/SUM($C$65:$C$68))</f>
        <v/>
      </c>
    </row>
    <row r="66">
      <c r="A66" s="6" t="inlineStr">
        <is>
          <t>PRODUCT</t>
        </is>
      </c>
      <c r="B66" s="6" t="inlineStr">
        <is>
          <t>Internet + mobile</t>
        </is>
      </c>
      <c r="C66" s="14">
        <f>IFERROR(INDEX('Segments'!$E$24:$P$24,MATCH(Param_Quarter,'Segments'!$E$5:$P$5,0)),"")</f>
        <v/>
      </c>
      <c r="D66" s="15">
        <f>IF(OR(C66="",SUM($C$65:$C$68)=0),"",C66/SUM($C$65:$C$68))</f>
        <v/>
      </c>
    </row>
    <row r="67">
      <c r="A67" s="6" t="inlineStr">
        <is>
          <t>PRODUCT</t>
        </is>
      </c>
      <c r="B67" s="6" t="inlineStr">
        <is>
          <t>Internet + video</t>
        </is>
      </c>
      <c r="C67" s="14">
        <f>IFERROR(INDEX('Segments'!$E$25:$P$25,MATCH(Param_Quarter,'Segments'!$E$5:$P$5,0)),"")</f>
        <v/>
      </c>
      <c r="D67" s="15">
        <f>IF(OR(C67="",SUM($C$65:$C$68)=0),"",C67/SUM($C$65:$C$68))</f>
        <v/>
      </c>
    </row>
    <row r="68">
      <c r="A68" s="6" t="inlineStr">
        <is>
          <t>PRODUCT</t>
        </is>
      </c>
      <c r="B68" s="6" t="inlineStr">
        <is>
          <t>Triple-play</t>
        </is>
      </c>
      <c r="C68" s="14">
        <f>IFERROR(INDEX('Segments'!$E$26:$P$26,MATCH(Param_Quarter,'Segments'!$E$5:$P$5,0)),"")</f>
        <v/>
      </c>
      <c r="D68" s="15">
        <f>IF(OR(C68="",SUM($C$65:$C$68)=0),"",C68/SUM($C$65:$C$68))</f>
        <v/>
      </c>
    </row>
    <row r="70">
      <c r="A70" s="10" t="inlineStr">
        <is>
          <t>Exit signal</t>
        </is>
      </c>
      <c r="B70" s="10" t="inlineStr">
        <is>
          <t>Signal</t>
        </is>
      </c>
      <c r="C70" s="10" t="inlineStr">
        <is>
          <t>Count</t>
        </is>
      </c>
      <c r="D70" s="10" t="inlineStr">
        <is>
          <t>Share</t>
        </is>
      </c>
    </row>
    <row r="71">
      <c r="A71" s="6" t="inlineStr">
        <is>
          <t>EXIT</t>
        </is>
      </c>
      <c r="B71" s="6" t="inlineStr">
        <is>
          <t>Price</t>
        </is>
      </c>
      <c r="C71" s="14">
        <f>IFERROR(INDEX('Segments'!$E$38:$P$38,MATCH(Param_Quarter,'Segments'!$E$5:$P$5,0)),"")</f>
        <v/>
      </c>
      <c r="D71" s="15">
        <f>IF(OR(C71="",SUM($C$71:$C$75)=0),"",C71/SUM($C$71:$C$75))</f>
        <v/>
      </c>
    </row>
    <row r="72">
      <c r="A72" s="6" t="inlineStr">
        <is>
          <t>EXIT</t>
        </is>
      </c>
      <c r="B72" s="6" t="inlineStr">
        <is>
          <t>Speed / reliability / upload</t>
        </is>
      </c>
      <c r="C72" s="14">
        <f>IFERROR(INDEX('Segments'!$E$39:$P$39,MATCH(Param_Quarter,'Segments'!$E$5:$P$5,0)),"")</f>
        <v/>
      </c>
      <c r="D72" s="15">
        <f>IF(OR(C72="",SUM($C$71:$C$75)=0),"",C72/SUM($C$71:$C$75))</f>
        <v/>
      </c>
    </row>
    <row r="73">
      <c r="A73" s="6" t="inlineStr">
        <is>
          <t>EXIT</t>
        </is>
      </c>
      <c r="B73" s="6" t="inlineStr">
        <is>
          <t>Move-out</t>
        </is>
      </c>
      <c r="C73" s="14">
        <f>IFERROR(INDEX('Segments'!$E$40:$P$40,MATCH(Param_Quarter,'Segments'!$E$5:$P$5,0)),"")</f>
        <v/>
      </c>
      <c r="D73" s="15">
        <f>IF(OR(C73="",SUM($C$71:$C$75)=0),"",C73/SUM($C$71:$C$75))</f>
        <v/>
      </c>
    </row>
    <row r="74">
      <c r="A74" s="6" t="inlineStr">
        <is>
          <t>EXIT</t>
        </is>
      </c>
      <c r="B74" s="6" t="inlineStr">
        <is>
          <t>Non-pay</t>
        </is>
      </c>
      <c r="C74" s="14">
        <f>IFERROR(INDEX('Segments'!$E$41:$P$41,MATCH(Param_Quarter,'Segments'!$E$5:$P$5,0)),"")</f>
        <v/>
      </c>
      <c r="D74" s="15">
        <f>IF(OR(C74="",SUM($C$71:$C$75)=0),"",C74/SUM($C$71:$C$75))</f>
        <v/>
      </c>
    </row>
    <row r="75">
      <c r="A75" s="6" t="inlineStr">
        <is>
          <t>EXIT</t>
        </is>
      </c>
      <c r="B75" s="6" t="inlineStr">
        <is>
          <t>Other / unknown</t>
        </is>
      </c>
      <c r="C75" s="14">
        <f>IFERROR(INDEX('Segments'!$E$42:$P$42,MATCH(Param_Quarter,'Segments'!$E$5:$P$5,0)),"")</f>
        <v/>
      </c>
      <c r="D75" s="15">
        <f>IF(OR(C75="",SUM($C$71:$C$75)=0),"",C75/SUM($C$71:$C$75))</f>
        <v/>
      </c>
    </row>
    <row r="77">
      <c r="A77" s="9" t="inlineStr">
        <is>
          <t>SEGMENT FLAGS</t>
        </is>
      </c>
      <c r="B77" s="2" t="n"/>
      <c r="C77" s="2" t="n"/>
      <c r="D77" s="3" t="n"/>
    </row>
    <row r="78">
      <c r="A78" s="11" t="inlineStr">
        <is>
          <t>F1</t>
        </is>
      </c>
      <c r="B78" s="6" t="inlineStr">
        <is>
          <t>WHERE driver</t>
        </is>
      </c>
      <c r="C78" s="12">
        <f>IF(COUNT(C53:C57)=0,"EMPTY — no WHERE fill",INDEX(B53:B57,MATCH(MAX(D53:D57),D53:D57,0))&amp;" holds "&amp;TEXT(MAX(D53:D57),"0%")&amp;" of WHERE disconnects")</f>
        <v/>
      </c>
      <c r="D78" s="2" t="n"/>
      <c r="E78" s="2" t="n"/>
      <c r="F78" s="2" t="n"/>
      <c r="G78" s="2" t="n"/>
      <c r="H78" s="3" t="n"/>
    </row>
    <row r="79">
      <c r="A79" s="11" t="inlineStr">
        <is>
          <t>F2</t>
        </is>
      </c>
      <c r="B79" s="6" t="inlineStr">
        <is>
          <t>Core vs rural rule</t>
        </is>
      </c>
      <c r="C79" s="12">
        <f>IF(COUNT(C53:C54)=0,"EMPTY",IF(D53&gt;=Parameters!C14,"Core drives the print — do not add rural miles (W1 / kill rule 5)",IF(D54&gt;=Parameters!C14,"Rural Internet (once filled) is the leak — take on lit plant, not more miles (W2)","Neither cut clears the core-share threshold — read the reason play on both")))</f>
        <v/>
      </c>
      <c r="D79" s="2" t="n"/>
      <c r="E79" s="2" t="n"/>
      <c r="F79" s="2" t="n"/>
      <c r="G79" s="2" t="n"/>
      <c r="H79" s="3" t="n"/>
    </row>
    <row r="80">
      <c r="A80" s="11" t="inlineStr">
        <is>
          <t>F3</t>
        </is>
      </c>
      <c r="B80" s="6" t="inlineStr">
        <is>
          <t>Overlap vs footprint</t>
        </is>
      </c>
      <c r="C80" s="12">
        <f>IF(COUNT(C55:C57)=0,"EMPTY — 27%/16% are footprint mix, not losses",IF(AND(ABS(D55-0.27)&lt;0.05,ABS(D56-0.16)&lt;0.05),"Losses follow footprint (~27% / ~16%) — overlap is not Root B; kill overlap GTM spend",IF(D55+D56&gt;=0.5,"Overlap zips concentrate losses — concentrate the reason play there (W3)","Rest-of-footprint leak — fiber (R3) is the wrong play off-overlap (W4)")))</f>
        <v/>
      </c>
      <c r="D80" s="2" t="n"/>
      <c r="E80" s="2" t="n"/>
      <c r="F80" s="2" t="n"/>
      <c r="G80" s="2" t="n"/>
      <c r="H80" s="3" t="n"/>
    </row>
    <row r="81">
      <c r="A81" s="11" t="inlineStr">
        <is>
          <t>F4</t>
        </is>
      </c>
      <c r="B81" s="6" t="inlineStr">
        <is>
          <t>Tenure / ARPU skew (pptx S1 vs S2)</t>
        </is>
      </c>
      <c r="C81" s="12">
        <f>IF(COUNT(C60:C62)=0,"EMPTY",IF(D60&gt;=0.4,"Low-tenure skew — consistent with FWA / price (S1)",IF(D62&gt;=0.4,"Long-tenure skew — check fiber / high-ARPU (S2)","Tenure is mixed")))</f>
        <v/>
      </c>
      <c r="D81" s="2" t="n"/>
      <c r="E81" s="2" t="n"/>
      <c r="F81" s="2" t="n"/>
      <c r="G81" s="2" t="n"/>
      <c r="H81" s="3" t="n"/>
    </row>
    <row r="82">
      <c r="A82" s="11" t="inlineStr">
        <is>
          <t>F5</t>
        </is>
      </c>
      <c r="B82" s="6" t="inlineStr">
        <is>
          <t>Exit signal (sampled)</t>
        </is>
      </c>
      <c r="C82" s="12">
        <f>IF(COUNT(C71:C75)=0,"EMPTY — do not use agent codes as a substitute",INDEX(B71:B75,MATCH(MAX(D71:D75),D71:D75,0))&amp;" is the largest audited exit signal")</f>
        <v/>
      </c>
      <c r="D82" s="2" t="n"/>
      <c r="E82" s="2" t="n"/>
      <c r="F82" s="2" t="n"/>
      <c r="G82" s="2" t="n"/>
      <c r="H82" s="3" t="n"/>
    </row>
    <row r="83">
      <c r="A83" s="11" t="inlineStr">
        <is>
          <t>F6</t>
        </is>
      </c>
      <c r="B83" s="6" t="inlineStr">
        <is>
          <t>Product at leave</t>
        </is>
      </c>
      <c r="C83" s="12">
        <f>IF(COUNT(C65:C68)=0,"EMPTY",INDEX(B65:B68,MATCH(MAX(D65:D68),D65:D68,0))&amp;" is the largest leave mix")</f>
        <v/>
      </c>
      <c r="D83" s="2" t="n"/>
      <c r="E83" s="2" t="n"/>
      <c r="F83" s="2" t="n"/>
      <c r="G83" s="2" t="n"/>
      <c r="H83" s="3" t="n"/>
    </row>
    <row r="85">
      <c r="A85" s="5" t="inlineStr">
        <is>
          <t>27% / 16% on Parameters are not typed here — they are 10-K footprint shares. Do not fire W3 on those shares alone (decisions.md). Rural +41k CR is not W2.</t>
        </is>
      </c>
      <c r="B85" s="2" t="n"/>
      <c r="C85" s="2" t="n"/>
      <c r="D85" s="2" t="n"/>
      <c r="E85" s="2" t="n"/>
      <c r="F85" s="2" t="n"/>
      <c r="G85" s="2" t="n"/>
      <c r="H85" s="3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17">
    <mergeCell ref="A1:H1"/>
    <mergeCell ref="A45:D45"/>
    <mergeCell ref="C81:H81"/>
    <mergeCell ref="A21:H21"/>
    <mergeCell ref="A2:L3"/>
    <mergeCell ref="A29:H29"/>
    <mergeCell ref="A77:D77"/>
    <mergeCell ref="A51:H51"/>
    <mergeCell ref="C80:H80"/>
    <mergeCell ref="C78:H78"/>
    <mergeCell ref="C79:H79"/>
    <mergeCell ref="A85:H85"/>
    <mergeCell ref="A36:H36"/>
    <mergeCell ref="A14:H14"/>
    <mergeCell ref="C83:H83"/>
    <mergeCell ref="A5:H5"/>
    <mergeCell ref="C82:H82"/>
  </mergeCells>
  <pageMargins left="0.4" right="0.4" top="0.5" bottom="0.5" header="0.5" footer="0.5"/>
  <pageSetup orientation="landscape" paperSize="3" fitToHeight="0" fitToWidth="1" horizontalDpi="300"/>
  <headerFooter>
    <oddHeader>&amp;LCHTR Rec 1 · Attribution diagnostic TEMPLATE</oddHeader>
    <oddFooter>&amp;LYellow = INPUT · Green = RETRIEVED Ex99.1 · Gray = formula · Not a filled mix&amp;RPage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E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2" customWidth="1" min="3" max="3"/>
    <col width="16" customWidth="1" min="4" max="4"/>
    <col width="62" customWidth="1" min="5" max="5"/>
    <col width="18" customWidth="1" min="6" max="6"/>
  </cols>
  <sheetData>
    <row r="1" ht="24" customHeight="1">
      <c r="A1" s="1" t="inlineStr">
        <is>
          <t>PARAMETERS</t>
        </is>
      </c>
      <c r="B1" s="2" t="n"/>
      <c r="C1" s="2" t="n"/>
      <c r="D1" s="2" t="n"/>
      <c r="E1" s="3" t="n"/>
    </row>
    <row r="2" ht="28" customHeight="1">
      <c r="A2" s="5" t="inlineStr">
        <is>
          <t>Yellow = INPUT. Blue fill = ESTIMATED template default the user can change. PPTX slide 5: ≥40% dominant · 25–40% mixed · &lt;25% null. FWA signal &gt;35–40%. Thresholds are judgment calls, set in advance (pptx notes: arbitrary-but-stated beats unstated).</t>
        </is>
      </c>
      <c r="B2" s="16" t="n"/>
      <c r="C2" s="16" t="n"/>
      <c r="D2" s="16" t="n"/>
      <c r="E2" s="17" t="n"/>
    </row>
    <row r="3" ht="16" customHeight="1">
      <c r="A3" s="20" t="n"/>
      <c r="B3" s="21" t="n"/>
      <c r="C3" s="21" t="n"/>
      <c r="D3" s="21" t="n"/>
      <c r="E3" s="22" t="n"/>
    </row>
    <row r="4" ht="16" customHeight="1">
      <c r="A4" s="10" t="inlineStr">
        <is>
          <t>ID</t>
        </is>
      </c>
      <c r="B4" s="10" t="inlineStr">
        <is>
          <t>Parameter</t>
        </is>
      </c>
      <c r="C4" s="10" t="inlineStr">
        <is>
          <t>Value</t>
        </is>
      </c>
      <c r="D4" s="10" t="inlineStr">
        <is>
          <t>Tag</t>
        </is>
      </c>
      <c r="E4" s="10" t="inlineStr">
        <is>
          <t>Source / why it is here</t>
        </is>
      </c>
    </row>
    <row r="5" ht="32" customHeight="1">
      <c r="A5" s="11" t="inlineStr">
        <is>
          <t>P1</t>
        </is>
      </c>
      <c r="B5" s="6" t="inlineStr">
        <is>
          <t>Selected quarter</t>
        </is>
      </c>
      <c r="C5" s="32" t="inlineStr">
        <is>
          <t>Q1 2026</t>
        </is>
      </c>
      <c r="D5" s="6" t="inlineStr">
        <is>
          <t>INPUT</t>
        </is>
      </c>
      <c r="E5" s="5" t="inlineStr">
        <is>
          <t>Assignment anchor is Q1 2026. Q2 is a later public fact (pptx + six-recommendation-areas).</t>
        </is>
      </c>
    </row>
    <row r="6" ht="32" customHeight="1">
      <c r="A6" s="11" t="inlineStr">
        <is>
          <t>P2</t>
        </is>
      </c>
      <c r="B6" s="6" t="inlineStr">
        <is>
          <t>Reason taxonomy</t>
        </is>
      </c>
      <c r="C6" s="32" t="inlineStr">
        <is>
          <t>PPTX 6-scenario</t>
        </is>
      </c>
      <c r="D6" s="6" t="inlineStr">
        <is>
          <t>INPUT</t>
        </is>
      </c>
      <c r="E6" s="5" t="inlineStr">
        <is>
          <t>PPTX scenarios 1–6. Alternate label only — codes stay R1–R4 + satellite + residual.</t>
        </is>
      </c>
    </row>
    <row r="7" ht="32" customHeight="1">
      <c r="A7" s="11" t="inlineStr">
        <is>
          <t>P3</t>
        </is>
      </c>
      <c r="B7" s="6" t="inlineStr">
        <is>
          <t>Highlight color (tables)</t>
        </is>
      </c>
      <c r="C7" s="32" t="inlineStr">
        <is>
          <t>2E75B6</t>
        </is>
      </c>
      <c r="D7" s="6" t="inlineStr">
        <is>
          <t>INPUT</t>
        </is>
      </c>
      <c r="E7" s="5" t="inlineStr">
        <is>
          <t>One accent. Charts use this hex for the story series; peers stay gray.</t>
        </is>
      </c>
    </row>
    <row r="8" ht="32" customHeight="1">
      <c r="A8" s="11" t="inlineStr">
        <is>
          <t>P4</t>
        </is>
      </c>
      <c r="B8" s="6" t="inlineStr">
        <is>
          <t>Dominant-driver threshold</t>
        </is>
      </c>
      <c r="C8" s="33" t="n">
        <v>0.4</v>
      </c>
      <c r="D8" s="6" t="inlineStr">
        <is>
          <t>ESTIMATED</t>
        </is>
      </c>
      <c r="E8" s="5" t="inlineStr">
        <is>
          <t>PPTX slide 5: one cause-cohort ≥40% of quarterly losses → fire that lead play at scale.</t>
        </is>
      </c>
    </row>
    <row r="9" ht="32" customHeight="1">
      <c r="A9" s="11" t="inlineStr">
        <is>
          <t>P5</t>
        </is>
      </c>
      <c r="B9" s="6" t="inlineStr">
        <is>
          <t>Mixed-picture floor</t>
        </is>
      </c>
      <c r="C9" s="33" t="n">
        <v>0.25</v>
      </c>
      <c r="D9" s="6" t="inlineStr">
        <is>
          <t>ESTIMATED</t>
        </is>
      </c>
      <c r="E9" s="5" t="inlineStr">
        <is>
          <t>PPTX slide 5: 25–40% mixed (top two as experiments). &lt;25% → Scenario 6 null.</t>
        </is>
      </c>
    </row>
    <row r="10" ht="32" customHeight="1">
      <c r="A10" s="11" t="inlineStr">
        <is>
          <t>P6</t>
        </is>
      </c>
      <c r="B10" s="6" t="inlineStr">
        <is>
          <t>FWA scenario trigger</t>
        </is>
      </c>
      <c r="C10" s="33" t="n">
        <v>0.35</v>
      </c>
      <c r="D10" s="6" t="inlineStr">
        <is>
          <t>ESTIMATED</t>
        </is>
      </c>
      <c r="E10" s="5" t="inlineStr">
        <is>
          <t>PPTX S1: FWA-covered losses &gt;35–40%; skew low-tenure / low-ARPU; exit cites price.</t>
        </is>
      </c>
    </row>
    <row r="11" ht="32" customHeight="1">
      <c r="A11" s="11" t="inlineStr">
        <is>
          <t>P7</t>
        </is>
      </c>
      <c r="B11" s="6" t="inlineStr">
        <is>
          <t>Fiber scenario trigger</t>
        </is>
      </c>
      <c r="C11" s="33" t="n">
        <v>0.4</v>
      </c>
      <c r="D11" s="6" t="inlineStr">
        <is>
          <t>ESTIMATED</t>
        </is>
      </c>
      <c r="E11" s="5" t="inlineStr">
        <is>
          <t>PPTX S2: fiber-DMA losses dominate; high-ARPU; exit cites speed / reliability / upload.</t>
        </is>
      </c>
    </row>
    <row r="12" ht="32" customHeight="1">
      <c r="A12" s="11" t="inlineStr">
        <is>
          <t>P8</t>
        </is>
      </c>
      <c r="B12" s="6" t="inlineStr">
        <is>
          <t>Satellite scenario trigger</t>
        </is>
      </c>
      <c r="C12" s="33" t="n">
        <v>0.25</v>
      </c>
      <c r="D12" s="6" t="inlineStr">
        <is>
          <t>ESTIMATED</t>
        </is>
      </c>
      <c r="E12" s="5" t="inlineStr">
        <is>
          <t>PPTX S3: losses map to satellite-only low-density blocks. No numeric cut in the deck — template default.</t>
        </is>
      </c>
    </row>
    <row r="13" ht="32" customHeight="1">
      <c r="A13" s="11" t="inlineStr">
        <is>
          <t>P9</t>
        </is>
      </c>
      <c r="B13" s="6" t="inlineStr">
        <is>
          <t>Co-equal band (pp of mix)</t>
        </is>
      </c>
      <c r="C13" s="33" t="n">
        <v>0.05</v>
      </c>
      <c r="D13" s="6" t="inlineStr">
        <is>
          <t>ESTIMATED</t>
        </is>
      </c>
      <c r="E13" s="5" t="inlineStr">
        <is>
          <t>GAP: co-equal cells fire the cheaper lever first. Two expensive levers do not fire in the same quarter.</t>
        </is>
      </c>
    </row>
    <row r="14" ht="32" customHeight="1">
      <c r="A14" s="11" t="inlineStr">
        <is>
          <t>P10</t>
        </is>
      </c>
      <c r="B14" s="6" t="inlineStr">
        <is>
          <t>Core-drives-print share</t>
        </is>
      </c>
      <c r="C14" s="33" t="n">
        <v>0.7</v>
      </c>
      <c r="D14" s="6" t="inlineStr">
        <is>
          <t>ESTIMATED</t>
        </is>
      </c>
      <c r="E14" s="5" t="inlineStr">
        <is>
          <t>WHERE overlay (decisions.md W1): if core is the Internet leak, fire the reason play on the core — do not add rural miles.</t>
        </is>
      </c>
    </row>
    <row r="15" ht="32" customHeight="1">
      <c r="A15" s="11" t="inlineStr">
        <is>
          <t>P11</t>
        </is>
      </c>
      <c r="B15" s="6" t="inlineStr">
        <is>
          <t>Segment rate-skew vs company</t>
        </is>
      </c>
      <c r="C15" s="34" t="n">
        <v>1.5</v>
      </c>
      <c r="D15" s="6" t="inlineStr">
        <is>
          <t>ESTIMATED</t>
        </is>
      </c>
      <c r="E15" s="5" t="inlineStr">
        <is>
          <t>Flag a segment whose net-loss rate is ≥ this multiple of the company residential rate.</t>
        </is>
      </c>
    </row>
    <row r="16" ht="32" customHeight="1">
      <c r="A16" s="11" t="inlineStr">
        <is>
          <t>P12</t>
        </is>
      </c>
      <c r="B16" s="6" t="inlineStr">
        <is>
          <t>Require two consecutive quarters before full-scale?</t>
        </is>
      </c>
      <c r="C16" s="35" t="inlineStr">
        <is>
          <t>Yes</t>
        </is>
      </c>
      <c r="D16" s="6" t="inlineStr">
        <is>
          <t>ESTIMATED</t>
        </is>
      </c>
      <c r="E16" s="5" t="inlineStr">
        <is>
          <t>PPTX slide 11 risk interlock: thresholds require two consecutive quarters before full-scale (experiments can start on one).</t>
        </is>
      </c>
    </row>
    <row r="17" ht="32" customHeight="1">
      <c r="A17" s="11" t="inlineStr">
        <is>
          <t>P13</t>
        </is>
      </c>
      <c r="B17" s="6" t="inlineStr">
        <is>
          <t>Tracker already exists and is used quarterly?</t>
        </is>
      </c>
      <c r="C17" s="32" t="inlineStr">
        <is>
          <t>No — fill G1 first</t>
        </is>
      </c>
      <c r="D17" s="6" t="inlineStr">
        <is>
          <t>INPUT</t>
        </is>
      </c>
      <c r="E17" s="5" t="inlineStr">
        <is>
          <t>Kill rule 1 (six-recommendation-areas / decisions.md): if yes, skip Area 1 build and go to mix control.</t>
        </is>
      </c>
    </row>
    <row r="18" ht="32" customHeight="1">
      <c r="A18" s="11" t="inlineStr">
        <is>
          <t>P14</t>
        </is>
      </c>
      <c r="B18" s="6" t="inlineStr">
        <is>
          <t>Use Comcast benchmark?</t>
        </is>
      </c>
      <c r="C18" s="32" t="inlineStr">
        <is>
          <t>Yes</t>
        </is>
      </c>
      <c r="D18" s="6" t="inlineStr">
        <is>
          <t>INPUT</t>
        </is>
      </c>
      <c r="E18" s="5" t="inlineStr">
        <is>
          <t>Apples-to-apples is residential broadband (CHTR res. Internet vs CMCSA domestic resid. BB).</t>
        </is>
      </c>
    </row>
    <row r="19" ht="32" customHeight="1">
      <c r="A19" s="11" t="inlineStr">
        <is>
          <t>P15</t>
        </is>
      </c>
      <c r="B19" s="6" t="inlineStr">
        <is>
          <t>Attribution input mode</t>
        </is>
      </c>
      <c r="C19" s="32" t="inlineStr">
        <is>
          <t>Counts</t>
        </is>
      </c>
      <c r="D19" s="6" t="inlineStr">
        <is>
          <t>INPUT</t>
        </is>
      </c>
      <c r="E19" s="5" t="inlineStr">
        <is>
          <t>Counts (preferred) = sampled disconnects. Percent allocates the selected base — not a measured rate.</t>
        </is>
      </c>
    </row>
    <row r="20" ht="32" customHeight="1">
      <c r="A20" s="11" t="inlineStr">
        <is>
          <t>P16</t>
        </is>
      </c>
      <c r="B20" s="6" t="inlineStr">
        <is>
          <t>If only % is filled, allocate against</t>
        </is>
      </c>
      <c r="C20" s="35" t="inlineStr">
        <is>
          <t>Disconnects (if known), else |public print|</t>
        </is>
      </c>
      <c r="D20" s="6" t="inlineStr">
        <is>
          <t>ESTIMATED</t>
        </is>
      </c>
      <c r="E20" s="5" t="inlineStr">
        <is>
          <t>Playbook: do not invent a mix. Allocating the net print is a PLACEHOLDER, not a churn rate.</t>
        </is>
      </c>
    </row>
    <row r="21" ht="32" customHeight="1">
      <c r="A21" s="11" t="inlineStr">
        <is>
          <t>P17</t>
        </is>
      </c>
      <c r="B21" s="6" t="inlineStr">
        <is>
          <t>Material share of peer excess</t>
        </is>
      </c>
      <c r="C21" s="33" t="n">
        <v>0.25</v>
      </c>
      <c r="D21" s="6" t="inlineStr">
        <is>
          <t>ESTIMATED</t>
        </is>
      </c>
      <c r="E21" s="5" t="inlineStr">
        <is>
          <t>GAP: a branch fires only if it is largest/co-equal AND closing the Comcast gap in that cell would absorb a material share of the excess.</t>
        </is>
      </c>
    </row>
    <row r="22" ht="32" customHeight="1">
      <c r="A22" s="11" t="inlineStr">
        <is>
          <t>P18</t>
        </is>
      </c>
      <c r="B22" s="6" t="inlineStr">
        <is>
          <t>Playbook committed excess (customers)</t>
        </is>
      </c>
      <c r="C22" s="36" t="n">
        <v>54000</v>
      </c>
      <c r="D22" s="6" t="inlineStr">
        <is>
          <t>RETRIEVED</t>
        </is>
      </c>
      <c r="E22" s="5" t="inlineStr">
        <is>
          <t>six-recommendation-areas.md / network_churn_model.py: 54k (round down from 54.4k) · 1.8× Comcast. Q1 identity only. Not in the pptx.</t>
        </is>
      </c>
    </row>
    <row r="23" ht="16" customHeight="1"/>
    <row r="24" ht="16" customHeight="1">
      <c r="A24" s="9" t="inlineStr">
        <is>
          <t>REASON TAXONOMY (edit labels — codes stay fixed)</t>
        </is>
      </c>
      <c r="B24" s="2" t="n"/>
      <c r="C24" s="2" t="n"/>
      <c r="D24" s="2" t="n"/>
      <c r="E24" s="3" t="n"/>
    </row>
    <row r="25" ht="16" customHeight="1">
      <c r="A25" s="10" t="inlineStr">
        <is>
          <t>Code</t>
        </is>
      </c>
      <c r="B25" s="10" t="inlineStr">
        <is>
          <t>Dashboard label (INPUT)</t>
        </is>
      </c>
      <c r="C25" s="10" t="inlineStr">
        <is>
          <t>PPTX scenario</t>
        </is>
      </c>
      <c r="D25" s="10" t="inlineStr">
        <is>
          <t>GAP branch</t>
        </is>
      </c>
      <c r="E25" s="10" t="inlineStr">
        <is>
          <t>Lead play (do not fire from empty cells)</t>
        </is>
      </c>
    </row>
    <row r="26" ht="16" customHeight="1">
      <c r="A26" s="11" t="inlineStr">
        <is>
          <t>R-FWA</t>
        </is>
      </c>
      <c r="B26" s="23" t="inlineStr">
        <is>
          <t>Competitive FWA</t>
        </is>
      </c>
      <c r="C26" s="6" t="inlineStr">
        <is>
          <t>S1 FWA-driven</t>
        </is>
      </c>
      <c r="D26" s="6" t="inlineStr">
        <is>
          <t>R2</t>
        </is>
      </c>
      <c r="E26" s="5" t="inlineStr">
        <is>
          <t>Convergence pricing / FWA-match in FWA zones; economics gate on MVNO unit cost.</t>
        </is>
      </c>
    </row>
    <row r="27" ht="16" customHeight="1">
      <c r="A27" s="11" t="inlineStr">
        <is>
          <t>R-FIB</t>
        </is>
      </c>
      <c r="B27" s="23" t="inlineStr">
        <is>
          <t>Competitive fiber (overbuild)</t>
        </is>
      </c>
      <c r="C27" s="6" t="inlineStr">
        <is>
          <t>S2 Fiber-driven</t>
        </is>
      </c>
      <c r="D27" s="6" t="inlineStr">
        <is>
          <t>R3</t>
        </is>
      </c>
      <c r="E27" s="5" t="inlineStr">
        <is>
          <t>Re-sequence DOCSIS 4.0 by exposure + symmetric win-back. Node-split only if sample names speed.</t>
        </is>
      </c>
    </row>
    <row r="28" ht="16" customHeight="1">
      <c r="A28" s="11" t="inlineStr">
        <is>
          <t>R-SAT</t>
        </is>
      </c>
      <c r="B28" s="23" t="inlineStr">
        <is>
          <t>LEO satellite</t>
        </is>
      </c>
      <c r="C28" s="6" t="inlineStr">
        <is>
          <t>S3 Satellite-driven</t>
        </is>
      </c>
      <c r="D28" s="6" t="inlineStr">
        <is>
          <t>W2 overlay</t>
        </is>
      </c>
      <c r="E28" s="5" t="inlineStr">
        <is>
          <t>Accelerate rural subsidized activation ahead of Starlink/Kuiper. Honor RDOF/BEAD.</t>
        </is>
      </c>
    </row>
    <row r="29" ht="16" customHeight="1">
      <c r="A29" s="11" t="inlineStr">
        <is>
          <t>R-MOV</t>
        </is>
      </c>
      <c r="B29" s="23" t="inlineStr">
        <is>
          <t>Move-out / housing</t>
        </is>
      </c>
      <c r="C29" s="6" t="inlineStr">
        <is>
          <t>S4 Housing-driven</t>
        </is>
      </c>
      <c r="D29" s="6" t="inlineStr">
        <is>
          <t>R1</t>
        </is>
      </c>
      <c r="E29" s="5" t="inlineStr">
        <is>
          <t>Mover capture: Community Solutions / MDU / instant-on. Not a save-offer problem.</t>
        </is>
      </c>
    </row>
    <row r="30" ht="16" customHeight="1">
      <c r="A30" s="11" t="inlineStr">
        <is>
          <t>R-NPY</t>
        </is>
      </c>
      <c r="B30" s="23" t="inlineStr">
        <is>
          <t>Non-pay / economic</t>
        </is>
      </c>
      <c r="C30" s="6" t="inlineStr">
        <is>
          <t>S5 Non-pay</t>
        </is>
      </c>
      <c r="D30" s="6" t="inlineStr">
        <is>
          <t>R4</t>
        </is>
      </c>
      <c r="E30" s="5" t="inlineStr">
        <is>
          <t>Payment arrangement / value tier at delinquency. Funded by care opex if this is the leak.</t>
        </is>
      </c>
    </row>
    <row r="31" ht="16" customHeight="1">
      <c r="A31" s="11" t="inlineStr">
        <is>
          <t>R-OTH</t>
        </is>
      </c>
      <c r="B31" s="23" t="inlineStr">
        <is>
          <t>Service / other</t>
        </is>
      </c>
      <c r="C31" s="6" t="inlineStr">
        <is>
          <t>Residual</t>
        </is>
      </c>
      <c r="D31" s="6" t="inlineStr">
        <is>
          <t>—</t>
        </is>
      </c>
      <c r="E31" s="5" t="inlineStr">
        <is>
          <t>Unmapped residual. If this is largest, the sample is incomplete — do not fire a plant program.</t>
        </is>
      </c>
    </row>
    <row r="32" ht="16" customHeight="1"/>
    <row r="33" ht="16" customHeight="1">
      <c r="A33" s="9" t="inlineStr">
        <is>
          <t>Dropdown lists (do not edit structure)</t>
        </is>
      </c>
      <c r="B33" s="2" t="n"/>
      <c r="C33" s="3" t="n"/>
    </row>
    <row r="34" ht="16" customHeight="1">
      <c r="A34" s="6" t="inlineStr">
        <is>
          <t>Q1 2024</t>
        </is>
      </c>
      <c r="B34" s="6" t="inlineStr">
        <is>
          <t>Yes</t>
        </is>
      </c>
      <c r="C34" s="6" t="inlineStr">
        <is>
          <t>Yes — skip Area 1 build</t>
        </is>
      </c>
      <c r="D34" s="6" t="inlineStr">
        <is>
          <t>Counts</t>
        </is>
      </c>
      <c r="E34" s="6" t="inlineStr">
        <is>
          <t>PPTX 6-scenario</t>
        </is>
      </c>
    </row>
    <row r="35" ht="16" customHeight="1">
      <c r="A35" s="6" t="inlineStr">
        <is>
          <t>Q2 2024</t>
        </is>
      </c>
      <c r="B35" s="6" t="inlineStr">
        <is>
          <t>No</t>
        </is>
      </c>
      <c r="C35" s="6" t="inlineStr">
        <is>
          <t>No — fill G1 first</t>
        </is>
      </c>
      <c r="D35" s="6" t="inlineStr">
        <is>
          <t>Percent</t>
        </is>
      </c>
      <c r="E35" s="6" t="inlineStr">
        <is>
          <t>GAP R1–R4 only</t>
        </is>
      </c>
    </row>
    <row r="36" ht="16" customHeight="1">
      <c r="A36" s="6" t="inlineStr">
        <is>
          <t>Q3 2024</t>
        </is>
      </c>
    </row>
    <row r="37" ht="16" customHeight="1">
      <c r="A37" s="6" t="inlineStr">
        <is>
          <t>Q4 2024</t>
        </is>
      </c>
    </row>
    <row r="38" ht="16" customHeight="1">
      <c r="A38" s="6" t="inlineStr">
        <is>
          <t>Q1 2025</t>
        </is>
      </c>
    </row>
    <row r="39" ht="16" customHeight="1">
      <c r="A39" s="6" t="inlineStr">
        <is>
          <t>Q2 2025</t>
        </is>
      </c>
    </row>
    <row r="40" ht="16" customHeight="1">
      <c r="A40" s="6" t="inlineStr">
        <is>
          <t>Q3 2025</t>
        </is>
      </c>
    </row>
    <row r="41" ht="16" customHeight="1">
      <c r="A41" s="6" t="inlineStr">
        <is>
          <t>Q4 2025</t>
        </is>
      </c>
    </row>
    <row r="42" ht="16" customHeight="1">
      <c r="A42" s="6" t="inlineStr">
        <is>
          <t>Q1 2026</t>
        </is>
      </c>
    </row>
    <row r="43" ht="16" customHeight="1">
      <c r="A43" s="6" t="inlineStr">
        <is>
          <t>Q2 2026</t>
        </is>
      </c>
    </row>
    <row r="44" ht="16" customHeight="1">
      <c r="A44" s="6" t="inlineStr">
        <is>
          <t>Q3 2026</t>
        </is>
      </c>
    </row>
    <row r="45" ht="16" customHeight="1">
      <c r="A45" s="6" t="inlineStr">
        <is>
          <t>Q4 2026</t>
        </is>
      </c>
    </row>
    <row r="46" ht="16" customHeight="1"/>
    <row r="47" ht="16" customHeight="1">
      <c r="A47" s="5" t="inlineStr">
        <is>
          <t>Comcast Q1 2026 residential broadband −65,000 and begin 28,719,000 are RETRIEVED (CMCSA Ex99.1; network_churn_model.py). Other Comcast quarters stay INPUT. 54,000 is the playbook commit (round down from 54.4k) — cite six-recommendation-areas.md, not the pptx.</t>
        </is>
      </c>
      <c r="B47" s="16" t="n"/>
      <c r="C47" s="16" t="n"/>
      <c r="D47" s="16" t="n"/>
      <c r="E47" s="17" t="n"/>
    </row>
    <row r="48" ht="16" customHeight="1">
      <c r="A48" s="20" t="n"/>
      <c r="B48" s="21" t="n"/>
      <c r="C48" s="21" t="n"/>
      <c r="D48" s="21" t="n"/>
      <c r="E48" s="22" t="n"/>
    </row>
    <row r="49" ht="16" customHeight="1"/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5">
    <mergeCell ref="A33:C33"/>
    <mergeCell ref="A47:E48"/>
    <mergeCell ref="A24:E24"/>
    <mergeCell ref="A2:E3"/>
    <mergeCell ref="A1:E1"/>
  </mergeCells>
  <dataValidations count="5">
    <dataValidation sqref="C5" showDropDown="0" showInputMessage="0" showErrorMessage="0" allowBlank="0" type="list">
      <formula1>$A$34:$A$45</formula1>
    </dataValidation>
    <dataValidation sqref="C17" showDropDown="0" showInputMessage="0" showErrorMessage="0" allowBlank="0" type="list">
      <formula1>$C$34:$C$35</formula1>
    </dataValidation>
    <dataValidation sqref="C16 C18" showDropDown="0" showInputMessage="0" showErrorMessage="0" allowBlank="0" type="list">
      <formula1>$B$34:$B$35</formula1>
    </dataValidation>
    <dataValidation sqref="C19" showDropDown="0" showInputMessage="0" showErrorMessage="0" allowBlank="0" type="list">
      <formula1>$D$34:$D$35</formula1>
    </dataValidation>
    <dataValidation sqref="C6" showDropDown="0" showInputMessage="0" showErrorMessage="0" allowBlank="0" type="list">
      <formula1>$E$34:$E$35</formula1>
    </dataValidation>
  </dataValidations>
  <pageMargins left="0.4" right="0.4" top="0.5" bottom="0.5" header="0.5" footer="0.5"/>
  <pageSetup orientation="portrait" paperSize="1" fitToHeight="0" fitToWidth="1" horizontalDpi="300"/>
  <headerFooter>
    <oddHeader>&amp;LCHTR Rec 1 · Attribution diagnostic TEMPLATE</oddHeader>
    <oddFooter>&amp;LYellow = INPUT · Green = RETRIEVED Ex99.1 · Gray = formula · Not a filled mix&amp;RPage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G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16" customWidth="1" min="3" max="3"/>
    <col width="14" customWidth="1" min="4" max="4"/>
    <col width="22" customWidth="1" min="5" max="5"/>
    <col width="56" customWidth="1" min="6" max="6"/>
    <col width="14" customWidth="1" min="7" max="7"/>
  </cols>
  <sheetData>
    <row r="1">
      <c r="A1" s="1" t="inlineStr">
        <is>
          <t>ASSUMPTION REGISTER  ·  one line per input</t>
        </is>
      </c>
      <c r="B1" s="2" t="n"/>
      <c r="C1" s="2" t="n"/>
      <c r="D1" s="2" t="n"/>
      <c r="E1" s="2" t="n"/>
      <c r="F1" s="3" t="n"/>
    </row>
    <row r="2">
      <c r="A2" s="5" t="inlineStr">
        <is>
          <t>Solving playbook: one assumption per line with a line ID; derived lines are formulas. Tag every input RETRIEVED or INPUT (user-entered). Thresholds are ESTIMATED template defaults. Dollar-weight is not meaningful until Attribution is filled — then the mix is 100% INPUT.</t>
        </is>
      </c>
      <c r="B2" s="16" t="n"/>
      <c r="C2" s="16" t="n"/>
      <c r="D2" s="16" t="n"/>
      <c r="E2" s="16" t="n"/>
      <c r="F2" s="17" t="n"/>
    </row>
    <row r="3">
      <c r="A3" s="20" t="n"/>
      <c r="B3" s="21" t="n"/>
      <c r="C3" s="21" t="n"/>
      <c r="D3" s="21" t="n"/>
      <c r="E3" s="21" t="n"/>
      <c r="F3" s="22" t="n"/>
    </row>
    <row r="5">
      <c r="A5" s="10" t="inlineStr">
        <is>
          <t>ID</t>
        </is>
      </c>
      <c r="B5" s="10" t="inlineStr">
        <is>
          <t>Line</t>
        </is>
      </c>
      <c r="C5" s="10" t="inlineStr">
        <is>
          <t>Value / pointer</t>
        </is>
      </c>
      <c r="D5" s="10" t="inlineStr">
        <is>
          <t>Tag</t>
        </is>
      </c>
      <c r="E5" s="10" t="inlineStr">
        <is>
          <t>Origin</t>
        </is>
      </c>
      <c r="F5" s="10" t="inlineStr">
        <is>
          <t>Formula or citation</t>
        </is>
      </c>
      <c r="G5" s="10" t="inlineStr">
        <is>
          <t>Confidence</t>
        </is>
      </c>
    </row>
    <row r="6" ht="20" customHeight="1">
      <c r="A6" s="11" t="inlineStr">
        <is>
          <t>T1</t>
        </is>
      </c>
      <c r="B6" s="6" t="inlineStr">
        <is>
          <t>Beginning res. Internet PSUs by quarter</t>
        </is>
      </c>
      <c r="C6" s="6" t="inlineStr">
        <is>
          <t>Net-loss tracker!E6:P6</t>
        </is>
      </c>
      <c r="D6" s="6" t="inlineStr">
        <is>
          <t>RETRIEVED / INPUT</t>
        </is>
      </c>
      <c r="E6" s="5" t="inlineStr">
        <is>
          <t>Ex99.1 trending EOP identity; overwrite if internal</t>
        </is>
      </c>
      <c r="F6" s="5" t="inlineStr">
        <is>
          <t>Prior EOP. Q1 2026 = 27,641,000</t>
        </is>
      </c>
      <c r="G6" s="5" t="inlineStr">
        <is>
          <t>High where green</t>
        </is>
      </c>
    </row>
    <row r="7" ht="20" customHeight="1">
      <c r="A7" s="11" t="inlineStr">
        <is>
          <t>T2</t>
        </is>
      </c>
      <c r="B7" s="6" t="inlineStr">
        <is>
          <t>Gross adds</t>
        </is>
      </c>
      <c r="C7" s="6" t="inlineStr">
        <is>
          <t>Net-loss tracker!E7:P7</t>
        </is>
      </c>
      <c r="D7" s="6" t="inlineStr">
        <is>
          <t>INPUT</t>
        </is>
      </c>
      <c r="E7" s="5" t="inlineStr">
        <is>
          <t>Internal billing</t>
        </is>
      </c>
      <c r="F7" s="5" t="inlineStr">
        <is>
          <t>Blank until filled</t>
        </is>
      </c>
      <c r="G7" s="5" t="inlineStr">
        <is>
          <t>—</t>
        </is>
      </c>
    </row>
    <row r="8" ht="20" customHeight="1">
      <c r="A8" s="11" t="inlineStr">
        <is>
          <t>T3</t>
        </is>
      </c>
      <c r="B8" s="6" t="inlineStr">
        <is>
          <t>Disconnects</t>
        </is>
      </c>
      <c r="C8" s="6" t="inlineStr">
        <is>
          <t>Net-loss tracker!E8:P8</t>
        </is>
      </c>
      <c r="D8" s="6" t="inlineStr">
        <is>
          <t>INPUT</t>
        </is>
      </c>
      <c r="E8" s="5" t="inlineStr">
        <is>
          <t>Sampled disconnect file, not agent codes</t>
        </is>
      </c>
      <c r="F8" s="5" t="inlineStr">
        <is>
          <t>Blank until filled</t>
        </is>
      </c>
      <c r="G8" s="5" t="inlineStr">
        <is>
          <t>—</t>
        </is>
      </c>
    </row>
    <row r="9" ht="20" customHeight="1">
      <c r="A9" s="11" t="inlineStr">
        <is>
          <t>T4</t>
        </is>
      </c>
      <c r="B9" s="6" t="inlineStr">
        <is>
          <t>Internal net</t>
        </is>
      </c>
      <c r="C9" s="6" t="inlineStr">
        <is>
          <t>Net-loss tracker!E9:P9</t>
        </is>
      </c>
      <c r="D9" s="6" t="inlineStr">
        <is>
          <t>DERIVED</t>
        </is>
      </c>
      <c r="E9" s="5" t="inlineStr">
        <is>
          <t>T2 - T3</t>
        </is>
      </c>
      <c r="F9" s="5">
        <f>gross-disconnects</f>
        <v/>
      </c>
      <c r="G9" s="5" t="inlineStr">
        <is>
          <t>Formula</t>
        </is>
      </c>
    </row>
    <row r="10" ht="20" customHeight="1">
      <c r="A10" s="11" t="inlineStr">
        <is>
          <t>T5</t>
        </is>
      </c>
      <c r="B10" s="6" t="inlineStr">
        <is>
          <t>Public res. Internet print</t>
        </is>
      </c>
      <c r="C10" s="6" t="inlineStr">
        <is>
          <t>Net-loss tracker!E10:P10</t>
        </is>
      </c>
      <c r="D10" s="6" t="inlineStr">
        <is>
          <t>RETRIEVED</t>
        </is>
      </c>
      <c r="E10" s="5" t="inlineStr">
        <is>
          <t>CHTR Ex99.1 / Q1 2026 trending</t>
        </is>
      </c>
      <c r="F10" s="5" t="inlineStr">
        <is>
          <t>Q1 2026 -117,000 · Q2 2026 -166,000</t>
        </is>
      </c>
      <c r="G10" s="5" t="inlineStr">
        <is>
          <t>High</t>
        </is>
      </c>
    </row>
    <row r="11" ht="20" customHeight="1">
      <c r="A11" s="11" t="inlineStr">
        <is>
          <t>T6</t>
        </is>
      </c>
      <c r="B11" s="6" t="inlineStr">
        <is>
          <t>Print used</t>
        </is>
      </c>
      <c r="C11" s="6" t="inlineStr">
        <is>
          <t>Net-loss tracker!E11:P11</t>
        </is>
      </c>
      <c r="D11" s="6" t="inlineStr">
        <is>
          <t>DERIVED</t>
        </is>
      </c>
      <c r="E11" s="5" t="inlineStr">
        <is>
          <t>T4 if both internals filled, else T5</t>
        </is>
      </c>
      <c r="F11" s="5" t="inlineStr">
        <is>
          <t>IF(T4&lt;&gt;"",T4,T5)</t>
        </is>
      </c>
      <c r="G11" s="5" t="inlineStr">
        <is>
          <t>Formula</t>
        </is>
      </c>
    </row>
    <row r="12" ht="20" customHeight="1">
      <c r="A12" s="11" t="inlineStr">
        <is>
          <t>T7</t>
        </is>
      </c>
      <c r="B12" s="6" t="inlineStr">
        <is>
          <t>Company Internet print</t>
        </is>
      </c>
      <c r="C12" s="6" t="inlineStr">
        <is>
          <t>Net-loss tracker!E12:P12</t>
        </is>
      </c>
      <c r="D12" s="6" t="inlineStr">
        <is>
          <t>RETRIEVED</t>
        </is>
      </c>
      <c r="E12" s="5" t="inlineStr">
        <is>
          <t>Ex99.1 total Internet</t>
        </is>
      </c>
      <c r="F12" s="5" t="inlineStr">
        <is>
          <t>Q1 -120,000 · Q2 -172,000 — context, not T6</t>
        </is>
      </c>
      <c r="G12" s="5" t="inlineStr">
        <is>
          <t>High</t>
        </is>
      </c>
    </row>
    <row r="13" ht="20" customHeight="1">
      <c r="A13" s="11" t="inlineStr">
        <is>
          <t>T8</t>
        </is>
      </c>
      <c r="B13" s="6" t="inlineStr">
        <is>
          <t>Rural CR adds</t>
        </is>
      </c>
      <c r="C13" s="6" t="inlineStr">
        <is>
          <t>Net-loss tracker!E13:P13</t>
        </is>
      </c>
      <c r="D13" s="6" t="inlineStr">
        <is>
          <t>RETRIEVED</t>
        </is>
      </c>
      <c r="E13" s="5" t="inlineStr">
        <is>
          <t>Ex99.1 rural-footprint CR</t>
        </is>
      </c>
      <c r="F13" s="5" t="inlineStr">
        <is>
          <t>Q1 +41,000 · Q2 +47,000 — NOT an Internet cut</t>
        </is>
      </c>
      <c r="G13" s="5" t="inlineStr">
        <is>
          <t>High / wrong unit</t>
        </is>
      </c>
    </row>
    <row r="14" ht="20" customHeight="1">
      <c r="A14" s="11" t="inlineStr">
        <is>
          <t>T9</t>
        </is>
      </c>
      <c r="B14" s="6" t="inlineStr">
        <is>
          <t>CMCSA resid. BB net adds</t>
        </is>
      </c>
      <c r="C14" s="6" t="inlineStr">
        <is>
          <t>Net-loss tracker!E14:P14</t>
        </is>
      </c>
      <c r="D14" s="6" t="inlineStr">
        <is>
          <t>RETRIEVED / INPUT</t>
        </is>
      </c>
      <c r="E14" s="5" t="inlineStr">
        <is>
          <t>CMCSA Ex99.1 Q1 2026; other qtrs INPUT</t>
        </is>
      </c>
      <c r="F14" s="5" t="inlineStr">
        <is>
          <t>Q1 2026 -65,000</t>
        </is>
      </c>
      <c r="G14" s="5" t="inlineStr">
        <is>
          <t>High for Q1</t>
        </is>
      </c>
    </row>
    <row r="15" ht="20" customHeight="1">
      <c r="A15" s="11" t="inlineStr">
        <is>
          <t>T10</t>
        </is>
      </c>
      <c r="B15" s="6" t="inlineStr">
        <is>
          <t>CMCSA begin PSUs</t>
        </is>
      </c>
      <c r="C15" s="6" t="inlineStr">
        <is>
          <t>Net-loss tracker!E15:P15</t>
        </is>
      </c>
      <c r="D15" s="6" t="inlineStr">
        <is>
          <t>RETRIEVED / INPUT</t>
        </is>
      </c>
      <c r="E15" s="5" t="inlineStr">
        <is>
          <t>28,654k EOP - (-65k)</t>
        </is>
      </c>
      <c r="F15" s="5" t="inlineStr">
        <is>
          <t>Q1 2026 28,719,000</t>
        </is>
      </c>
      <c r="G15" s="5" t="inlineStr">
        <is>
          <t>High for Q1</t>
        </is>
      </c>
    </row>
    <row r="16" ht="20" customHeight="1">
      <c r="A16" s="11" t="inlineStr">
        <is>
          <t>T11</t>
        </is>
      </c>
      <c r="B16" s="6" t="inlineStr">
        <is>
          <t>CMCSA net-loss rate</t>
        </is>
      </c>
      <c r="C16" s="6" t="inlineStr">
        <is>
          <t>Net-loss tracker!E16:P16</t>
        </is>
      </c>
      <c r="D16" s="6" t="inlineStr">
        <is>
          <t>DERIVED</t>
        </is>
      </c>
      <c r="E16" s="5" t="inlineStr">
        <is>
          <t>|T9|/T10</t>
        </is>
      </c>
      <c r="F16" s="5" t="inlineStr">
        <is>
          <t>Q1 ~ 0.226%</t>
        </is>
      </c>
      <c r="G16" s="5" t="inlineStr">
        <is>
          <t>Formula</t>
        </is>
      </c>
    </row>
    <row r="17" ht="20" customHeight="1">
      <c r="A17" s="11" t="inlineStr">
        <is>
          <t>T12</t>
        </is>
      </c>
      <c r="B17" s="6" t="inlineStr">
        <is>
          <t>CHTR res. net-loss rate</t>
        </is>
      </c>
      <c r="C17" s="6" t="inlineStr">
        <is>
          <t>Net-loss tracker!E17:P17</t>
        </is>
      </c>
      <c r="D17" s="6" t="inlineStr">
        <is>
          <t>DERIVED</t>
        </is>
      </c>
      <c r="E17" s="5" t="inlineStr">
        <is>
          <t>|T6|/T1</t>
        </is>
      </c>
      <c r="F17" s="5" t="inlineStr">
        <is>
          <t>Q1 ~ 0.423%</t>
        </is>
      </c>
      <c r="G17" s="5" t="inlineStr">
        <is>
          <t>Formula</t>
        </is>
      </c>
    </row>
    <row r="18" ht="20" customHeight="1">
      <c r="A18" s="11" t="inlineStr">
        <is>
          <t>T13</t>
        </is>
      </c>
      <c r="B18" s="6" t="inlineStr">
        <is>
          <t>Rate ratio</t>
        </is>
      </c>
      <c r="C18" s="6" t="inlineStr">
        <is>
          <t>Net-loss tracker!E18:P18</t>
        </is>
      </c>
      <c r="D18" s="6" t="inlineStr">
        <is>
          <t>DERIVED</t>
        </is>
      </c>
      <c r="E18" s="5" t="inlineStr">
        <is>
          <t>T12/T11</t>
        </is>
      </c>
      <c r="F18" s="5" t="inlineStr">
        <is>
          <t>Unrounded ~1.87x; commit 1.8x</t>
        </is>
      </c>
      <c r="G18" s="5" t="inlineStr">
        <is>
          <t>Formula</t>
        </is>
      </c>
    </row>
    <row r="19" ht="20" customHeight="1">
      <c r="A19" s="11" t="inlineStr">
        <is>
          <t>T14</t>
        </is>
      </c>
      <c r="B19" s="6" t="inlineStr">
        <is>
          <t>Expected losses at peer rate</t>
        </is>
      </c>
      <c r="C19" s="6" t="inlineStr">
        <is>
          <t>Net-loss tracker!E19:P19</t>
        </is>
      </c>
      <c r="D19" s="6" t="inlineStr">
        <is>
          <t>DERIVED</t>
        </is>
      </c>
      <c r="E19" s="5" t="inlineStr">
        <is>
          <t>T11*T1</t>
        </is>
      </c>
      <c r="F19" s="5" t="inlineStr">
        <is>
          <t>Q1 ~ 62.6k</t>
        </is>
      </c>
      <c r="G19" s="5" t="inlineStr">
        <is>
          <t>Formula</t>
        </is>
      </c>
    </row>
    <row r="20" ht="20" customHeight="1">
      <c r="A20" s="11" t="inlineStr">
        <is>
          <t>T15</t>
        </is>
      </c>
      <c r="B20" s="6" t="inlineStr">
        <is>
          <t>Excess vs Comcast</t>
        </is>
      </c>
      <c r="C20" s="6" t="inlineStr">
        <is>
          <t>Net-loss tracker!E20:P20</t>
        </is>
      </c>
      <c r="D20" s="6" t="inlineStr">
        <is>
          <t>DERIVED</t>
        </is>
      </c>
      <c r="E20" s="5" t="inlineStr">
        <is>
          <t>|T6|-T14</t>
        </is>
      </c>
      <c r="F20" s="5" t="inlineStr">
        <is>
          <t>Q1 ~ 54.4k; P18 commits 54,000 (six-recommendation-areas.md)</t>
        </is>
      </c>
      <c r="G20" s="5" t="inlineStr">
        <is>
          <t>Formula</t>
        </is>
      </c>
    </row>
    <row r="21" ht="20" customHeight="1">
      <c r="A21" s="11" t="inlineStr">
        <is>
          <t>P18</t>
        </is>
      </c>
      <c r="B21" s="6" t="inlineStr">
        <is>
          <t>Playbook committed excess</t>
        </is>
      </c>
      <c r="C21" s="6" t="inlineStr">
        <is>
          <t>Parameters!C22</t>
        </is>
      </c>
      <c r="D21" s="6" t="inlineStr">
        <is>
          <t>RETRIEVED</t>
        </is>
      </c>
      <c r="E21" s="5" t="inlineStr">
        <is>
          <t>six-recommendation-areas.md / network_churn_model.py — not the pptx</t>
        </is>
      </c>
      <c r="F21" s="5" t="inlineStr">
        <is>
          <t>54,000 customers</t>
        </is>
      </c>
      <c r="G21" s="5" t="inlineStr">
        <is>
          <t>Commit / round down</t>
        </is>
      </c>
    </row>
    <row r="22" ht="20" customHeight="1">
      <c r="A22" s="11" t="inlineStr">
        <is>
          <t>A1-A6</t>
        </is>
      </c>
      <c r="B22" s="6" t="inlineStr">
        <is>
          <t>Disconnect counts by cause-cohort</t>
        </is>
      </c>
      <c r="C22" s="6" t="inlineStr">
        <is>
          <t>Attribution!E6:P11</t>
        </is>
      </c>
      <c r="D22" s="6" t="inlineStr">
        <is>
          <t>INPUT</t>
        </is>
      </c>
      <c r="E22" s="5" t="inlineStr">
        <is>
          <t>Sampled disconnect / port-out / audited survey</t>
        </is>
      </c>
      <c r="F22" s="5" t="inlineStr">
        <is>
          <t>Blank — PLACEHOLDER empty</t>
        </is>
      </c>
      <c r="G22" s="5" t="inlineStr">
        <is>
          <t>—</t>
        </is>
      </c>
    </row>
    <row r="23" ht="20" customHeight="1">
      <c r="A23" s="11" t="inlineStr">
        <is>
          <t>A7</t>
        </is>
      </c>
      <c r="B23" s="6" t="inlineStr">
        <is>
          <t>Residual</t>
        </is>
      </c>
      <c r="C23" s="6" t="inlineStr">
        <is>
          <t>Attribution!E12:P12</t>
        </is>
      </c>
      <c r="D23" s="6" t="inlineStr">
        <is>
          <t>DERIVED</t>
        </is>
      </c>
      <c r="E23" s="5" t="inlineStr">
        <is>
          <t>T3 - SUM(A1:A6)</t>
        </is>
      </c>
      <c r="F23" s="5" t="inlineStr">
        <is>
          <t>Data-quality flag if material</t>
        </is>
      </c>
      <c r="G23" s="5" t="inlineStr">
        <is>
          <t>Formula</t>
        </is>
      </c>
    </row>
    <row r="24" ht="20" customHeight="1">
      <c r="A24" s="11" t="inlineStr">
        <is>
          <t>E1-E4</t>
        </is>
      </c>
      <c r="B24" s="6" t="inlineStr">
        <is>
          <t>Exposure-class disconnects</t>
        </is>
      </c>
      <c r="C24" s="6" t="inlineStr">
        <is>
          <t>Attribution!E66:P69</t>
        </is>
      </c>
      <c r="D24" s="6" t="inlineStr">
        <is>
          <t>INPUT</t>
        </is>
      </c>
      <c r="E24" s="5" t="inlineStr">
        <is>
          <t>BDC join (pptx sensor)</t>
        </is>
      </c>
      <c r="F24" s="5" t="inlineStr">
        <is>
          <t>Blank</t>
        </is>
      </c>
      <c r="G24" s="5" t="inlineStr">
        <is>
          <t>—</t>
        </is>
      </c>
    </row>
    <row r="25" ht="20" customHeight="1">
      <c r="A25" s="11" t="inlineStr">
        <is>
          <t>E5-E8</t>
        </is>
      </c>
      <c r="B25" s="6" t="inlineStr">
        <is>
          <t>Exposure-class begin PSUs</t>
        </is>
      </c>
      <c r="C25" s="6" t="inlineStr">
        <is>
          <t>Attribution!E70:P73</t>
        </is>
      </c>
      <c r="D25" s="6" t="inlineStr">
        <is>
          <t>INPUT</t>
        </is>
      </c>
      <c r="E25" s="5" t="inlineStr">
        <is>
          <t>Needed for rate vs uncontested control</t>
        </is>
      </c>
      <c r="F25" s="5" t="inlineStr">
        <is>
          <t>Blank</t>
        </is>
      </c>
      <c r="G25" s="5" t="inlineStr">
        <is>
          <t>—</t>
        </is>
      </c>
    </row>
    <row r="26" ht="20" customHeight="1">
      <c r="A26" s="11" t="inlineStr">
        <is>
          <t>W1-W5</t>
        </is>
      </c>
      <c r="B26" s="6" t="inlineStr">
        <is>
          <t>WHERE disconnects</t>
        </is>
      </c>
      <c r="C26" s="6" t="inlineStr">
        <is>
          <t>Segments!E7:P11</t>
        </is>
      </c>
      <c r="D26" s="6" t="inlineStr">
        <is>
          <t>INPUT</t>
        </is>
      </c>
      <c r="E26" s="5" t="inlineStr">
        <is>
          <t>Core / rural / AT&amp;T / Verizon / rest</t>
        </is>
      </c>
      <c r="F26" s="5" t="inlineStr">
        <is>
          <t>Blank. 27%/16% are footprint, not this row</t>
        </is>
      </c>
      <c r="G26" s="5" t="inlineStr">
        <is>
          <t>—</t>
        </is>
      </c>
    </row>
    <row r="27" ht="20" customHeight="1">
      <c r="A27" s="11" t="inlineStr">
        <is>
          <t>N1-N3</t>
        </is>
      </c>
      <c r="B27" s="6" t="inlineStr">
        <is>
          <t>Tenure disconnects</t>
        </is>
      </c>
      <c r="C27" s="6" t="inlineStr">
        <is>
          <t>Segments!E16:P18</t>
        </is>
      </c>
      <c r="D27" s="6" t="inlineStr">
        <is>
          <t>INPUT</t>
        </is>
      </c>
      <c r="E27" s="5" t="inlineStr">
        <is>
          <t>Billing tenure</t>
        </is>
      </c>
      <c r="F27" s="5" t="inlineStr">
        <is>
          <t>Blank</t>
        </is>
      </c>
      <c r="G27" s="5" t="inlineStr">
        <is>
          <t>—</t>
        </is>
      </c>
    </row>
    <row r="28" ht="20" customHeight="1">
      <c r="A28" s="11" t="inlineStr">
        <is>
          <t>M1-M4</t>
        </is>
      </c>
      <c r="B28" s="6" t="inlineStr">
        <is>
          <t>Product mix at leave</t>
        </is>
      </c>
      <c r="C28" s="6" t="inlineStr">
        <is>
          <t>Segments!E23:P26</t>
        </is>
      </c>
      <c r="D28" s="6" t="inlineStr">
        <is>
          <t>INPUT</t>
        </is>
      </c>
      <c r="E28" s="5" t="inlineStr">
        <is>
          <t>G1 cut</t>
        </is>
      </c>
      <c r="F28" s="5" t="inlineStr">
        <is>
          <t>Blank</t>
        </is>
      </c>
      <c r="G28" s="5" t="inlineStr">
        <is>
          <t>—</t>
        </is>
      </c>
    </row>
    <row r="29" ht="20" customHeight="1">
      <c r="A29" s="11" t="inlineStr">
        <is>
          <t>V1-V3</t>
        </is>
      </c>
      <c r="B29" s="6" t="inlineStr">
        <is>
          <t>ARPU tier</t>
        </is>
      </c>
      <c r="C29" s="6" t="inlineStr">
        <is>
          <t>Segments!E31:P33</t>
        </is>
      </c>
      <c r="D29" s="6" t="inlineStr">
        <is>
          <t>INPUT</t>
        </is>
      </c>
      <c r="E29" s="5" t="inlineStr">
        <is>
          <t>PPTX value-cohort</t>
        </is>
      </c>
      <c r="F29" s="5" t="inlineStr">
        <is>
          <t>Blank</t>
        </is>
      </c>
      <c r="G29" s="5" t="inlineStr">
        <is>
          <t>—</t>
        </is>
      </c>
    </row>
    <row r="30" ht="20" customHeight="1">
      <c r="A30" s="11" t="inlineStr">
        <is>
          <t>X1-X5</t>
        </is>
      </c>
      <c r="B30" s="6" t="inlineStr">
        <is>
          <t>Audited exit signal</t>
        </is>
      </c>
      <c r="C30" s="6" t="inlineStr">
        <is>
          <t>Segments!E38:P42</t>
        </is>
      </c>
      <c r="D30" s="6" t="inlineStr">
        <is>
          <t>INPUT</t>
        </is>
      </c>
      <c r="E30" s="5" t="inlineStr">
        <is>
          <t>Survey / port-out — not agent codes</t>
        </is>
      </c>
      <c r="F30" s="5" t="inlineStr">
        <is>
          <t>Blank</t>
        </is>
      </c>
      <c r="G30" s="5" t="inlineStr">
        <is>
          <t>—</t>
        </is>
      </c>
    </row>
    <row r="31" ht="20" customHeight="1">
      <c r="A31" s="11" t="inlineStr">
        <is>
          <t>P4</t>
        </is>
      </c>
      <c r="B31" s="6" t="inlineStr">
        <is>
          <t>Dominant threshold</t>
        </is>
      </c>
      <c r="C31" s="6" t="inlineStr">
        <is>
          <t>Parameters!C8</t>
        </is>
      </c>
      <c r="D31" s="6" t="inlineStr">
        <is>
          <t>ESTIMATED</t>
        </is>
      </c>
      <c r="E31" s="5" t="inlineStr">
        <is>
          <t>PPTX slide 5</t>
        </is>
      </c>
      <c r="F31" s="5" t="inlineStr">
        <is>
          <t>40%</t>
        </is>
      </c>
      <c r="G31" s="5" t="inlineStr">
        <is>
          <t>Template default</t>
        </is>
      </c>
    </row>
    <row r="32" ht="20" customHeight="1">
      <c r="A32" s="11" t="inlineStr">
        <is>
          <t>P5</t>
        </is>
      </c>
      <c r="B32" s="6" t="inlineStr">
        <is>
          <t>Mixed floor</t>
        </is>
      </c>
      <c r="C32" s="6" t="inlineStr">
        <is>
          <t>Parameters!C9</t>
        </is>
      </c>
      <c r="D32" s="6" t="inlineStr">
        <is>
          <t>ESTIMATED</t>
        </is>
      </c>
      <c r="E32" s="5" t="inlineStr">
        <is>
          <t>PPTX slide 5</t>
        </is>
      </c>
      <c r="F32" s="5" t="inlineStr">
        <is>
          <t>25%</t>
        </is>
      </c>
      <c r="G32" s="5" t="inlineStr">
        <is>
          <t>Template default</t>
        </is>
      </c>
    </row>
    <row r="33" ht="20" customHeight="1">
      <c r="A33" s="11" t="inlineStr">
        <is>
          <t>P6</t>
        </is>
      </c>
      <c r="B33" s="6" t="inlineStr">
        <is>
          <t>FWA trigger</t>
        </is>
      </c>
      <c r="C33" s="6" t="inlineStr">
        <is>
          <t>Parameters!C10</t>
        </is>
      </c>
      <c r="D33" s="6" t="inlineStr">
        <is>
          <t>ESTIMATED</t>
        </is>
      </c>
      <c r="E33" s="5" t="inlineStr">
        <is>
          <t>PPTX S1 &gt;35-40%</t>
        </is>
      </c>
      <c r="F33" s="5" t="inlineStr">
        <is>
          <t>35%</t>
        </is>
      </c>
      <c r="G33" s="5" t="inlineStr">
        <is>
          <t>Template default</t>
        </is>
      </c>
    </row>
    <row r="34" ht="20" customHeight="1">
      <c r="A34" s="11" t="inlineStr">
        <is>
          <t>P7</t>
        </is>
      </c>
      <c r="B34" s="6" t="inlineStr">
        <is>
          <t>Fiber trigger</t>
        </is>
      </c>
      <c r="C34" s="6" t="inlineStr">
        <is>
          <t>Parameters!C11</t>
        </is>
      </c>
      <c r="D34" s="6" t="inlineStr">
        <is>
          <t>ESTIMATED</t>
        </is>
      </c>
      <c r="E34" s="5" t="inlineStr">
        <is>
          <t>PPTX S2 dominate</t>
        </is>
      </c>
      <c r="F34" s="5" t="inlineStr">
        <is>
          <t>40%</t>
        </is>
      </c>
      <c r="G34" s="5" t="inlineStr">
        <is>
          <t>Template default</t>
        </is>
      </c>
    </row>
    <row r="35" ht="20" customHeight="1">
      <c r="A35" s="11" t="inlineStr">
        <is>
          <t>P8</t>
        </is>
      </c>
      <c r="B35" s="6" t="inlineStr">
        <is>
          <t>Satellite trigger</t>
        </is>
      </c>
      <c r="C35" s="6" t="inlineStr">
        <is>
          <t>Parameters!C12</t>
        </is>
      </c>
      <c r="D35" s="6" t="inlineStr">
        <is>
          <t>ESTIMATED</t>
        </is>
      </c>
      <c r="E35" s="5" t="inlineStr">
        <is>
          <t>PPTX S3 has no numeric cut — template default</t>
        </is>
      </c>
      <c r="F35" s="5" t="inlineStr">
        <is>
          <t>25%</t>
        </is>
      </c>
      <c r="G35" s="5" t="inlineStr">
        <is>
          <t>Low — user should ratify</t>
        </is>
      </c>
    </row>
    <row r="36" ht="20" customHeight="1">
      <c r="A36" s="11" t="inlineStr">
        <is>
          <t>P9</t>
        </is>
      </c>
      <c r="B36" s="6" t="inlineStr">
        <is>
          <t>Co-equal band</t>
        </is>
      </c>
      <c r="C36" s="6" t="inlineStr">
        <is>
          <t>Parameters!C13</t>
        </is>
      </c>
      <c r="D36" s="6" t="inlineStr">
        <is>
          <t>ESTIMATED</t>
        </is>
      </c>
      <c r="E36" s="5" t="inlineStr">
        <is>
          <t>GAP cheaper-first</t>
        </is>
      </c>
      <c r="F36" s="5" t="inlineStr">
        <is>
          <t>5 pp</t>
        </is>
      </c>
      <c r="G36" s="5" t="inlineStr">
        <is>
          <t>Template default</t>
        </is>
      </c>
    </row>
    <row r="37" ht="20" customHeight="1">
      <c r="A37" s="11" t="inlineStr">
        <is>
          <t>P10</t>
        </is>
      </c>
      <c r="B37" s="6" t="inlineStr">
        <is>
          <t>Core-share flag</t>
        </is>
      </c>
      <c r="C37" s="6" t="inlineStr">
        <is>
          <t>Parameters!C14</t>
        </is>
      </c>
      <c r="D37" s="6" t="inlineStr">
        <is>
          <t>ESTIMATED</t>
        </is>
      </c>
      <c r="E37" s="5" t="inlineStr">
        <is>
          <t>decisions.md W1</t>
        </is>
      </c>
      <c r="F37" s="5" t="inlineStr">
        <is>
          <t>70%</t>
        </is>
      </c>
      <c r="G37" s="5" t="inlineStr">
        <is>
          <t>Template default</t>
        </is>
      </c>
    </row>
    <row r="38" ht="20" customHeight="1">
      <c r="A38" s="11" t="inlineStr">
        <is>
          <t>P12</t>
        </is>
      </c>
      <c r="B38" s="6" t="inlineStr">
        <is>
          <t>Two-quarter interlock</t>
        </is>
      </c>
      <c r="C38" s="6" t="inlineStr">
        <is>
          <t>Parameters!C16</t>
        </is>
      </c>
      <c r="D38" s="6" t="inlineStr">
        <is>
          <t>ESTIMATED</t>
        </is>
      </c>
      <c r="E38" s="5" t="inlineStr">
        <is>
          <t>PPTX slide 11</t>
        </is>
      </c>
      <c r="F38" s="5" t="inlineStr">
        <is>
          <t>Yes</t>
        </is>
      </c>
      <c r="G38" s="5" t="inlineStr">
        <is>
          <t>Template default</t>
        </is>
      </c>
    </row>
    <row r="40">
      <c r="A40" s="9" t="inlineStr">
        <is>
          <t>WEIGHT</t>
        </is>
      </c>
      <c r="B40" s="2" t="n"/>
      <c r="C40" s="2" t="n"/>
      <c r="D40" s="2" t="n"/>
      <c r="E40" s="2" t="n"/>
      <c r="F40" s="3" t="n"/>
    </row>
    <row r="41">
      <c r="A41" s="11" t="inlineStr">
        <is>
          <t>W1</t>
        </is>
      </c>
      <c r="B41" s="6" t="inlineStr">
        <is>
          <t>Count of register lines by tag (this template, before a fill)</t>
        </is>
      </c>
      <c r="C41" s="12">
        <f>COUNTIF(D6:D38,"RETRIEVED")&amp;" RETRIEVED  ·  "&amp;COUNTIF(D6:D38,"INPUT")&amp;" INPUT  ·  "&amp;COUNTIF(D6:D38,"ESTIMATED")&amp;" ESTIMATED  ·  "&amp;COUNTIF(D6:D38,"DERIVED")&amp;" DERIVED"</f>
        <v/>
      </c>
      <c r="D41" s="2" t="n"/>
      <c r="E41" s="2" t="n"/>
      <c r="F41" s="3" t="n"/>
    </row>
    <row r="42">
      <c r="A42" s="11" t="inlineStr">
        <is>
          <t>W2</t>
        </is>
      </c>
      <c r="B42" s="6" t="inlineStr">
        <is>
          <t>Dollar-weighted once Attribution is filled</t>
        </is>
      </c>
      <c r="C42" s="12">
        <f>IF(Attribution!C49="No","Not meaningful — mix is empty. Do not quote a retrieved % of a mix that does not exist.","Once filled, 100% of the reason mix is INPUT (sampled disconnects). Public prints do not validate the mix.")</f>
        <v/>
      </c>
      <c r="D42" s="2" t="n"/>
      <c r="E42" s="2" t="n"/>
      <c r="F42" s="3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autoFilter ref="A5:G38"/>
  <mergeCells count="5">
    <mergeCell ref="A2:F3"/>
    <mergeCell ref="A1:F1"/>
    <mergeCell ref="A40:F40"/>
    <mergeCell ref="C41:F41"/>
    <mergeCell ref="C42:F42"/>
  </mergeCells>
  <pageMargins left="0.4" right="0.4" top="0.5" bottom="0.5" header="0.5" footer="0.5"/>
  <pageSetup orientation="landscape" paperSize="3" fitToHeight="0" fitToWidth="1" horizontalDpi="300"/>
  <headerFooter>
    <oddHeader>&amp;LCHTR Rec 1 · Attribution diagnostic TEMPLATE</oddHeader>
    <oddFooter>&amp;LYellow = INPUT · Green = RETRIEVED Ex99.1 · Gray = formula · Not a filled mix&amp;RPage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G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6" customWidth="1" min="3" max="3"/>
    <col width="40" customWidth="1" min="4" max="4"/>
    <col width="32" customWidth="1" min="5" max="5"/>
    <col width="36" customWidth="1" min="6" max="6"/>
    <col width="32" customWidth="1" min="7" max="7"/>
  </cols>
  <sheetData>
    <row r="1">
      <c r="A1" s="1" t="inlineStr">
        <is>
          <t>PLAYBOOK ON A PAGE  ·  reference only — does not fire from empty cells</t>
        </is>
      </c>
      <c r="B1" s="2" t="n"/>
      <c r="C1" s="2" t="n"/>
      <c r="D1" s="2" t="n"/>
      <c r="E1" s="2" t="n"/>
      <c r="F1" s="2" t="n"/>
      <c r="G1" s="3" t="n"/>
    </row>
    <row r="2">
      <c r="A2" s="5" t="inlineStr">
        <is>
          <t>PPTX slides 6-9 (scenarios 1-6) plus GAP R1-R4 / WHERE overlays from decisions.md. Budgets and owners are pre-authorized in the deck, not sized here. Dashboard routes a scenario; this sheet is the leave-behind.</t>
        </is>
      </c>
      <c r="B2" s="16" t="n"/>
      <c r="C2" s="16" t="n"/>
      <c r="D2" s="16" t="n"/>
      <c r="E2" s="16" t="n"/>
      <c r="F2" s="16" t="n"/>
      <c r="G2" s="17" t="n"/>
    </row>
    <row r="3">
      <c r="A3" s="20" t="n"/>
      <c r="B3" s="21" t="n"/>
      <c r="C3" s="21" t="n"/>
      <c r="D3" s="21" t="n"/>
      <c r="E3" s="21" t="n"/>
      <c r="F3" s="21" t="n"/>
      <c r="G3" s="22" t="n"/>
    </row>
    <row r="5">
      <c r="A5" s="10" t="inlineStr">
        <is>
          <t>#</t>
        </is>
      </c>
      <c r="B5" s="10" t="inlineStr">
        <is>
          <t>Trigger (signal)</t>
        </is>
      </c>
      <c r="C5" s="10" t="inlineStr">
        <is>
          <t>Lead play</t>
        </is>
      </c>
      <c r="D5" s="10" t="inlineStr">
        <is>
          <t>Economics gate</t>
        </is>
      </c>
      <c r="E5" s="10" t="inlineStr">
        <is>
          <t>Proof</t>
        </is>
      </c>
      <c r="F5" s="10" t="inlineStr">
        <is>
          <t>Kill</t>
        </is>
      </c>
      <c r="G5" s="10" t="inlineStr">
        <is>
          <t>Fallback</t>
        </is>
      </c>
    </row>
    <row r="6" ht="64" customHeight="1">
      <c r="A6" s="11" t="inlineStr">
        <is>
          <t>S1</t>
        </is>
      </c>
      <c r="B6" s="5" t="inlineStr">
        <is>
          <t>FWA-covered losses &gt;35-40%; low-tenure / low-ARPU; audited exit cites price.</t>
        </is>
      </c>
      <c r="C6" s="5" t="inlineStr">
        <is>
          <t>Convergence pricing attack: internet + unlimited mobile at/below T-Mobile Home Internet, FWA-exposed zones only.</t>
        </is>
      </c>
      <c r="D6" s="5" t="inlineStr">
        <is>
          <t>Bundle discount &lt; churn-avoided LTV. Needs MVNO wholesale cost/line (pptx open item).</t>
        </is>
      </c>
      <c r="E6" s="5" t="inlineStr">
        <is>
          <t>Churn delta, treated vs untreated FWA zones, 2 quarters, pre-registered.</t>
        </is>
      </c>
      <c r="F6" s="5" t="inlineStr">
        <is>
          <t>No churn separation after 2 quarters, or bundle margin negative after CBRS-offload.</t>
        </is>
      </c>
      <c r="G6" s="5" t="inlineStr">
        <is>
          <t>Value flanker tier — or concede the segment and route budget to S2/S6.</t>
        </is>
      </c>
    </row>
    <row r="7" ht="64" customHeight="1">
      <c r="A7" s="11" t="inlineStr">
        <is>
          <t>S2</t>
        </is>
      </c>
      <c r="B7" s="5" t="inlineStr">
        <is>
          <t>Losses skew to AT&amp;T/Verizon/Frontier fiber DMAs; higher-ARPU; exit cites speed / reliability / upload.</t>
        </is>
      </c>
      <c r="C7" s="5" t="inlineStr">
        <is>
          <t>Re-sequence DOCSIS 4.0 / high-split by competitive exposure (not construction cost) + symmetric win-back.</t>
        </is>
      </c>
      <c r="D7" s="5" t="inlineStr">
        <is>
          <t>Re-sequencing premium vs LTV at risk. End-2027 completion is the binding constraint to test — not the closer.</t>
        </is>
      </c>
      <c r="E7" s="5" t="inlineStr">
        <is>
          <t>Churn in evolution-complete vs incomplete overbuilt zones (cleanest natural experiment).</t>
        </is>
      </c>
      <c r="F7" s="5" t="inlineStr">
        <is>
          <t>Parity product, continued losses — completed zones bleed at the same rate.</t>
        </is>
      </c>
      <c r="G7" s="5" t="inlineStr">
        <is>
          <t>Harvest, don't chase: stop defending unwinnable zones at full cost.</t>
        </is>
      </c>
    </row>
    <row r="8" ht="64" customHeight="1">
      <c r="A8" s="11" t="inlineStr">
        <is>
          <t>S3</t>
        </is>
      </c>
      <c r="B8" s="5" t="inlineStr">
        <is>
          <t>Losses map to low-density census blocks where Starlink (Kuiper next) is the only alternative.</t>
        </is>
      </c>
      <c r="C8" s="5" t="inlineStr">
        <is>
          <t>Accelerate rural subsidized build activation — penetrate new passings before satellite entrenches.</t>
        </is>
      </c>
      <c r="D8" s="5" t="inlineStr">
        <is>
          <t>Program already funded; variable is activation pace vs BEAD/RDOF milestone penalties.</t>
        </is>
      </c>
      <c r="E8" s="5" t="inlineStr">
        <is>
          <t>Penetration on new rural passings vs vintage cohorts. Rural CR already +41k Q1 / +47k Q2 (wrong unit for Internet).</t>
        </is>
      </c>
      <c r="F8" s="5" t="inlineStr">
        <is>
          <t>Penetration on new passings falls below the underwriting curve.</t>
        </is>
      </c>
      <c r="G8" s="5" t="inlineStr">
        <is>
          <t>Slow non-committed rural extensions; subsidy-committed builds continue.</t>
        </is>
      </c>
    </row>
    <row r="9" ht="64" customHeight="1">
      <c r="A9" s="11" t="inlineStr">
        <is>
          <t>S4</t>
        </is>
      </c>
      <c r="B9" s="5" t="inlineStr">
        <is>
          <t>Gross adds down, competitor churn flat; disconnects cluster on move-outs; losses spread across exposure classes.</t>
        </is>
      </c>
      <c r="C9" s="5" t="inlineStr">
        <is>
          <t>No attacker to fight. Mover capture: Community Solutions / MDU / instant-on self-install.</t>
        </is>
      </c>
      <c r="D9" s="5" t="inlineStr">
        <is>
          <t>Mover-capture cost per connect vs standard acquisition; MDU deals building-by-building.</t>
        </is>
      </c>
      <c r="E9" s="5" t="inlineStr">
        <is>
          <t>Connect share of new move-ins; gross-add recovery as housing turnover normalizes.</t>
        </is>
      </c>
      <c r="F9" s="5" t="inlineStr">
        <is>
          <t>Port-out destination data contradicts the macro story -&gt; re-route to S1-S2.</t>
        </is>
      </c>
      <c r="G9" s="5" t="inlineStr">
        <is>
          <t>Disclose losses by cohort so the multiple stops pricing macro softness as share loss.</t>
        </is>
      </c>
    </row>
    <row r="10" ht="64" customHeight="1">
      <c r="A10" s="11" t="inlineStr">
        <is>
          <t>S5</t>
        </is>
      </c>
      <c r="B10" s="5" t="inlineStr">
        <is>
          <t>Losses skew to non-pay / downgrades; ACP-echo demographics. FY2025 60+ day delinquencies improved (~82k vs ~103k) — size before funding.</t>
        </is>
      </c>
      <c r="C10" s="5" t="inlineStr">
        <is>
          <t>Retention-priced value tier with credit-friendly terms at the point of delinquency.</t>
        </is>
      </c>
      <c r="D10" s="5" t="inlineStr">
        <is>
          <t>Save-rate x retained margin vs discount cost + bad-debt exposure.</t>
        </is>
      </c>
      <c r="E10" s="5" t="inlineStr">
        <is>
          <t>Save-rate on treated delinquent accounts vs control; 6-month survival.</t>
        </is>
      </c>
      <c r="F10" s="5" t="inlineStr">
        <is>
          <t>Save-rate economics below LTV — then let it churn.</t>
        </is>
      </c>
      <c r="G10" s="5" t="inlineStr">
        <is>
          <t>None — self-limiting.</t>
        </is>
      </c>
    </row>
    <row r="11" ht="64" customHeight="1">
      <c r="A11" s="11" t="inlineStr">
        <is>
          <t>S6</t>
        </is>
      </c>
      <c r="B11" s="5" t="inlineStr">
        <is>
          <t>No cause-cohort exceeds ~25-30% of losses. Plausibly the true state of the world.</t>
        </is>
      </c>
      <c r="C11" s="5" t="inlineStr">
        <is>
          <t>Change-what-the-market-prices track: re-segment disclosure (rural vs core), post-2027 capex guidance, plus spend-capped experiments from S1-S3.</t>
        </is>
      </c>
      <c r="D11" s="5" t="inlineStr">
        <is>
          <t>Disclosure costs ~nothing; experiments are spend-capped.</t>
        </is>
      </c>
      <c r="E11" s="5" t="inlineStr">
        <is>
          <t>Multiple response to disclosure; experiment read-outs feed the next cycle.</t>
        </is>
      </c>
      <c r="F11" s="5" t="inlineStr">
        <is>
          <t>A later quarter crosses a threshold -&gt; that scenario fires. Null is a state, not a verdict.</t>
        </is>
      </c>
      <c r="G11" s="5" t="inlineStr">
        <is>
          <t>Not applicable — S6 is the floor.</t>
        </is>
      </c>
    </row>
    <row r="13">
      <c r="A13" s="9" t="inlineStr">
        <is>
          <t>GAP overlay (does not replace S1-S6)</t>
        </is>
      </c>
      <c r="B13" s="2" t="n"/>
      <c r="C13" s="2" t="n"/>
      <c r="D13" s="2" t="n"/>
      <c r="E13" s="2" t="n"/>
      <c r="F13" s="2" t="n"/>
      <c r="G13" s="3" t="n"/>
    </row>
    <row r="14" ht="56" customHeight="1">
      <c r="A14" s="11" t="inlineStr">
        <is>
          <t>R1-R4</t>
        </is>
      </c>
      <c r="B14" s="5" t="inlineStr">
        <is>
          <t>If lost to move-out -&gt; TOS/MDU (6 months). FWA -&gt; 12-month rate-lock on and off overlap (hand on-overlap FWA to fiber if it is a stepping-stone). Fiber -&gt; overlap-zip gig/symmetry; node-split only if the sample names speed. Nonpay -&gt; payment arrangement / 90-day first-bill save. WHERE: fire on the core; do not add rural miles. WHO (mix/tenure) sizes the offer — it is not a fifth spend program. Funding: named pools P1-P4 only. Never two expensive levers in the same quarter.</t>
        </is>
      </c>
      <c r="C14" s="2" t="n"/>
      <c r="D14" s="2" t="n"/>
      <c r="E14" s="2" t="n"/>
      <c r="F14" s="2" t="n"/>
      <c r="G14" s="3" t="n"/>
    </row>
    <row r="16">
      <c r="A16" s="11" t="inlineStr">
        <is>
          <t>Timeline</t>
        </is>
      </c>
      <c r="B16" s="5" t="inlineStr">
        <is>
          <t>PPTX slide 10: Q+1 sensor live · Q+2 first attribution read · Q+3 plays trigger · Q+4-5 proof or kill. six-recommendation-areas: G1 question this week; first fill in one quarter; reason-play 2-4 quarters after fill.</t>
        </is>
      </c>
      <c r="C16" s="2" t="n"/>
      <c r="D16" s="2" t="n"/>
      <c r="E16" s="2" t="n"/>
      <c r="F16" s="2" t="n"/>
      <c r="G16" s="3" t="n"/>
    </row>
    <row r="18">
      <c r="A18" s="11" t="inlineStr">
        <is>
          <t>Open items (pptx slide 12)</t>
        </is>
      </c>
      <c r="B18" s="5" t="inlineStr">
        <is>
          <t>MVNO wholesale cost per line (gates S1) · any existing internal churn split by exposure class (accelerates Q+2 to Q+1) · whether 4.0-4.5x leverage and the buyback program are board constants (shapes S6). None of those are prefilled as fact.</t>
        </is>
      </c>
      <c r="C18" s="2" t="n"/>
      <c r="D18" s="2" t="n"/>
      <c r="E18" s="2" t="n"/>
      <c r="F18" s="2" t="n"/>
      <c r="G18" s="3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6">
    <mergeCell ref="A13:G13"/>
    <mergeCell ref="B16:G16"/>
    <mergeCell ref="A1:G1"/>
    <mergeCell ref="B14:G14"/>
    <mergeCell ref="B18:G18"/>
    <mergeCell ref="A2:G3"/>
  </mergeCells>
  <pageMargins left="0.4" right="0.4" top="0.5" bottom="0.5" header="0.5" footer="0.5"/>
  <pageSetup orientation="landscape" paperSize="3" fitToHeight="0" fitToWidth="1" horizontalDpi="300"/>
  <headerFooter>
    <oddHeader>&amp;LCHTR Rec 1 · Attribution diagnostic TEMPLATE</oddHeader>
    <oddFooter>&amp;LYellow = INPUT · Green = RETRIEVED Ex99.1 · Gray = formula · Not a filled mix&amp;RPage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2026-09-22T16:00:54Z</dcterms:created>
  <dcterms:modified xmlns:dcterms="http://purl.org/dc/terms/" xmlns:xsi="http://www.w3.org/2001/XMLSchema-instance" xsi:type="dcterms:W3CDTF">2026-09-22T16:00:54Z</dcterms:modified>
</cp:coreProperties>
</file>